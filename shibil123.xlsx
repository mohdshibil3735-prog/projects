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192.168.1.69\data science\NOTES\STUDENT WORK CDV\"/>
    </mc:Choice>
  </mc:AlternateContent>
  <xr:revisionPtr revIDLastSave="0" documentId="13_ncr:1_{A1819B6C-3ACA-47D4-9E6F-D8B449DFF8F7}" xr6:coauthVersionLast="47" xr6:coauthVersionMax="47" xr10:uidLastSave="{00000000-0000-0000-0000-000000000000}"/>
  <bookViews>
    <workbookView xWindow="-120" yWindow="-120" windowWidth="20730" windowHeight="11160" firstSheet="35" activeTab="41" xr2:uid="{9911E3C8-5668-4B14-AC58-19D268921E22}"/>
  </bookViews>
  <sheets>
    <sheet name="Sheet1" sheetId="1" r:id="rId1"/>
    <sheet name="Sheet2" sheetId="2" r:id="rId2"/>
    <sheet name="Sheet3" sheetId="3" r:id="rId3"/>
    <sheet name="Sheet4" sheetId="4" r:id="rId4"/>
    <sheet name="Sheet5" sheetId="5" r:id="rId5"/>
    <sheet name="Sheet6" sheetId="6" r:id="rId6"/>
    <sheet name="Sheet7" sheetId="7" r:id="rId7"/>
    <sheet name="IS functions" sheetId="9" r:id="rId8"/>
    <sheet name="Mathematical" sheetId="10" r:id="rId9"/>
    <sheet name="FIND&amp; SEARCH" sheetId="11" r:id="rId10"/>
    <sheet name="Date &amp; time" sheetId="12" r:id="rId11"/>
    <sheet name="REFERENCE" sheetId="13" r:id="rId12"/>
    <sheet name="LOGICAL" sheetId="14" r:id="rId13"/>
    <sheet name="MISC." sheetId="15" r:id="rId14"/>
    <sheet name="RANK" sheetId="16" r:id="rId15"/>
    <sheet name="CONDITIONAL" sheetId="17" r:id="rId16"/>
    <sheet name="LOOKUP" sheetId="18" r:id="rId17"/>
    <sheet name="IF QS" sheetId="19" r:id="rId18"/>
    <sheet name="MATHS" sheetId="20" r:id="rId19"/>
    <sheet name="LOGICAL QS" sheetId="21" r:id="rId20"/>
    <sheet name="FIND AND SEARCH QS" sheetId="22" r:id="rId21"/>
    <sheet name="DATE&amp;TIME" sheetId="23" r:id="rId22"/>
    <sheet name="REF.." sheetId="25" r:id="rId23"/>
    <sheet name="LOOKUP QS" sheetId="26" r:id="rId24"/>
    <sheet name="RANK QS" sheetId="27" r:id="rId25"/>
    <sheet name="misc.qs" sheetId="28" r:id="rId26"/>
    <sheet name="Scenario Summary" sheetId="30" r:id="rId27"/>
    <sheet name="what if qs" sheetId="29" r:id="rId28"/>
    <sheet name="data validation qs" sheetId="31" r:id="rId29"/>
    <sheet name="conditional qs" sheetId="32" r:id="rId30"/>
    <sheet name="Sheet10" sheetId="47" r:id="rId31"/>
    <sheet name="Sheet8" sheetId="38" r:id="rId32"/>
    <sheet name="Sheet9" sheetId="37" r:id="rId33"/>
    <sheet name="Sheet11" sheetId="52" r:id="rId34"/>
    <sheet name="DASHBOARD" sheetId="40" r:id="rId35"/>
    <sheet name="Sheet16" sheetId="46" r:id="rId36"/>
    <sheet name="Sheet15" sheetId="44" r:id="rId37"/>
    <sheet name="Sheet12" sheetId="41" r:id="rId38"/>
    <sheet name="Sheet14" sheetId="55" r:id="rId39"/>
    <sheet name="Sheet18" sheetId="57" r:id="rId40"/>
    <sheet name="project" sheetId="54" r:id="rId41"/>
    <sheet name=" 45" sheetId="56" r:id="rId42"/>
    <sheet name="macro" sheetId="61" r:id="rId43"/>
  </sheets>
  <definedNames>
    <definedName name="_xlnm._FilterDatabase" localSheetId="0" hidden="1">Sheet1!$A$1:$G$5</definedName>
    <definedName name="_xlnm._FilterDatabase" localSheetId="4" hidden="1">Sheet5!$A$1:$F$9</definedName>
    <definedName name="ExternalData_1" localSheetId="40" hidden="1">project!$A$1:$L$601</definedName>
    <definedName name="NativeTimeline_Order_Date">#N/A</definedName>
    <definedName name="Sales_Data">REFERENCE!$C$60</definedName>
    <definedName name="Slicer_Brand">#N/A</definedName>
    <definedName name="Slicer_Category">#N/A</definedName>
    <definedName name="Slicer_Category1">#N/A</definedName>
    <definedName name="Slicer_City">#N/A</definedName>
    <definedName name="Slicer_Full_Time_Result">#N/A</definedName>
    <definedName name="Slicer_Home_Team">#N/A</definedName>
    <definedName name="Slicer_League">#N/A</definedName>
    <definedName name="Slicer_Notes">#N/A</definedName>
    <definedName name="Slicer_Payment_Method">#N/A</definedName>
    <definedName name="Slicer_Product">#N/A</definedName>
    <definedName name="Slicer_Region">#N/A</definedName>
    <definedName name="Slicer_Salesperson">#N/A</definedName>
    <definedName name="Slicer_Season">#N/A</definedName>
    <definedName name="Slicer_Stadium">#N/A</definedName>
    <definedName name="Z_A940248E_CD2C_4301_BD92_D3A0066C5FBD_.wvu.Cols" localSheetId="0" hidden="1">Sheet1!$D:$D,Sheet1!$G:$G</definedName>
    <definedName name="Z_ADCAC967_9EC2_4FFD_8C50_17CD4528FF25_.wvu.FilterData" localSheetId="0" hidden="1">Sheet1!$A$1:$G$5</definedName>
    <definedName name="Z_AF73C271_AF69_4F43_A506_0A9C5565C830_.wvu.FilterData" localSheetId="0" hidden="1">Sheet1!$A$1:$G$5</definedName>
  </definedNames>
  <calcPr calcId="191029"/>
  <customWorkbookViews>
    <customWorkbookView name="ALL DATA" guid="{45B84AB3-1472-42D4-82BA-EFC7ECECF5E3}" maximized="1" xWindow="-8" yWindow="-8" windowWidth="1616" windowHeight="876" activeSheetId="1"/>
    <customWorkbookView name="MANAGER VIEW" guid="{A940248E-CD2C-4301-BD92-D3A0066C5FBD}" maximized="1" xWindow="-8" yWindow="-8" windowWidth="1616" windowHeight="876" activeSheetId="1"/>
    <customWorkbookView name="SOUTH REGION ONLY" guid="{ADCAC967-9EC2-4FFD-8C50-17CD4528FF25}" maximized="1" xWindow="-8" yWindow="-8" windowWidth="1616" windowHeight="876" activeSheetId="1"/>
    <customWorkbookView name="TOP PERFOMERS" guid="{AF73C271-AF69-4F43-A506-0A9C5565C830}" maximized="1" xWindow="-8" yWindow="-8" windowWidth="1616" windowHeight="876" activeSheetId="1"/>
  </customWorkbookViews>
  <pivotCaches>
    <pivotCache cacheId="0" r:id="rId44"/>
    <pivotCache cacheId="1" r:id="rId45"/>
    <pivotCache cacheId="2" r:id="rId46"/>
  </pivotCaches>
  <extLst>
    <ext xmlns:x14="http://schemas.microsoft.com/office/spreadsheetml/2009/9/main" uri="{876F7934-8845-4945-9796-88D515C7AA90}">
      <x14:pivotCaches>
        <pivotCache cacheId="3" r:id="rId47"/>
      </x14:pivotCaches>
    </ext>
    <ext xmlns:x14="http://schemas.microsoft.com/office/spreadsheetml/2009/9/main" uri="{BBE1A952-AA13-448e-AADC-164F8A28A991}">
      <x14:slicerCaches>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1" l="1"/>
  <c r="E6" i="61"/>
  <c r="E5" i="61"/>
  <c r="E4" i="61"/>
  <c r="E3" i="61"/>
  <c r="E2" i="61"/>
  <c r="R7" i="56"/>
  <c r="N7" i="56"/>
  <c r="J7" i="56"/>
  <c r="F7" i="56"/>
  <c r="Q9" i="44"/>
  <c r="O9" i="44"/>
  <c r="M9" i="44"/>
  <c r="K9" i="44"/>
  <c r="I9" i="44"/>
  <c r="G9" i="44"/>
  <c r="F7" i="40"/>
  <c r="H7" i="40"/>
  <c r="J7" i="40"/>
  <c r="L7" i="40"/>
  <c r="B65" i="37"/>
  <c r="B48" i="37"/>
  <c r="E62" i="37"/>
  <c r="D65" i="37"/>
  <c r="D33" i="37"/>
  <c r="I71" i="37"/>
  <c r="I22" i="37"/>
  <c r="I23" i="37"/>
  <c r="I24" i="37"/>
  <c r="I25" i="37"/>
  <c r="I26" i="37"/>
  <c r="I27" i="37"/>
  <c r="I28" i="37"/>
  <c r="I29" i="37"/>
  <c r="I30" i="37"/>
  <c r="I31" i="37"/>
  <c r="I32" i="37"/>
  <c r="I33" i="37"/>
  <c r="I34" i="37"/>
  <c r="I35" i="37"/>
  <c r="I36" i="37"/>
  <c r="I37" i="37"/>
  <c r="I38" i="37"/>
  <c r="I39" i="37"/>
  <c r="I40" i="37"/>
  <c r="I41" i="37"/>
  <c r="I42" i="37"/>
  <c r="I43" i="37"/>
  <c r="I44" i="37"/>
  <c r="I45" i="37"/>
  <c r="I46" i="37"/>
  <c r="I47" i="37"/>
  <c r="I48" i="37"/>
  <c r="I49" i="37"/>
  <c r="I50" i="37"/>
  <c r="I51" i="37"/>
  <c r="I52" i="37"/>
  <c r="I53" i="37"/>
  <c r="I54" i="37"/>
  <c r="I55" i="37"/>
  <c r="I56" i="37"/>
  <c r="I57" i="37"/>
  <c r="I58" i="37"/>
  <c r="I59" i="37"/>
  <c r="I60" i="37"/>
  <c r="I61" i="37"/>
  <c r="I62" i="37"/>
  <c r="I63" i="37"/>
  <c r="I64" i="37"/>
  <c r="I65" i="37"/>
  <c r="I66" i="37"/>
  <c r="I67" i="37"/>
  <c r="I68" i="37"/>
  <c r="I69" i="37"/>
  <c r="I70" i="37"/>
  <c r="I18" i="37"/>
  <c r="I19" i="37"/>
  <c r="I20" i="37"/>
  <c r="I21" i="37"/>
  <c r="I3" i="37"/>
  <c r="I4" i="37"/>
  <c r="I5" i="37"/>
  <c r="I6" i="37"/>
  <c r="I7" i="37"/>
  <c r="I8" i="37"/>
  <c r="I9" i="37"/>
  <c r="I10" i="37"/>
  <c r="I11" i="37"/>
  <c r="I12" i="37"/>
  <c r="I13" i="37"/>
  <c r="I14" i="37"/>
  <c r="I15" i="37"/>
  <c r="I16" i="37"/>
  <c r="I17" i="37"/>
  <c r="I2" i="37"/>
  <c r="D13" i="32"/>
  <c r="D12" i="32"/>
  <c r="D11" i="32"/>
  <c r="D10" i="32"/>
  <c r="D9" i="32"/>
  <c r="D8" i="32"/>
  <c r="D7" i="32"/>
  <c r="D6" i="32"/>
  <c r="D5" i="32"/>
  <c r="B7" i="29"/>
  <c r="N6" i="28"/>
  <c r="N7" i="28"/>
  <c r="N8" i="28"/>
  <c r="N9" i="28"/>
  <c r="N10" i="28"/>
  <c r="N11" i="28"/>
  <c r="N12" i="28"/>
  <c r="M6" i="28"/>
  <c r="M7" i="28"/>
  <c r="M8" i="28"/>
  <c r="M9" i="28"/>
  <c r="M10" i="28"/>
  <c r="M11" i="28"/>
  <c r="M12" i="28"/>
  <c r="M5" i="28"/>
  <c r="L5" i="28"/>
  <c r="K5" i="28"/>
  <c r="J5" i="28"/>
  <c r="I5" i="28"/>
  <c r="H5" i="28" a="1"/>
  <c r="H6" i="27"/>
  <c r="H7" i="27"/>
  <c r="H8" i="27"/>
  <c r="H9" i="27"/>
  <c r="H10" i="27"/>
  <c r="H11" i="27"/>
  <c r="H12" i="27"/>
  <c r="H5" i="27"/>
  <c r="G7" i="27"/>
  <c r="G6" i="27"/>
  <c r="G5" i="27"/>
  <c r="F6" i="27"/>
  <c r="F7" i="27"/>
  <c r="F8" i="27"/>
  <c r="F9" i="27"/>
  <c r="F10" i="27"/>
  <c r="F11" i="27"/>
  <c r="F12" i="27"/>
  <c r="F5" i="27"/>
  <c r="D6" i="27"/>
  <c r="D7" i="27"/>
  <c r="D8" i="27"/>
  <c r="D9" i="27"/>
  <c r="D10" i="27"/>
  <c r="D11" i="27"/>
  <c r="D12" i="27"/>
  <c r="D5" i="27"/>
  <c r="D17" i="26"/>
  <c r="I5" i="25"/>
  <c r="H12" i="25"/>
  <c r="H9" i="25" a="1"/>
  <c r="H8" i="25"/>
  <c r="H7" i="25"/>
  <c r="H6" i="25"/>
  <c r="H5" i="25"/>
  <c r="E6" i="23"/>
  <c r="E7" i="23"/>
  <c r="E8" i="23"/>
  <c r="E9" i="23"/>
  <c r="E5" i="23"/>
  <c r="G15" i="23"/>
  <c r="G16" i="23"/>
  <c r="G17" i="23"/>
  <c r="G14" i="23"/>
  <c r="F15" i="23"/>
  <c r="F16" i="23"/>
  <c r="F17" i="23"/>
  <c r="F14" i="23"/>
  <c r="G6" i="23"/>
  <c r="G7" i="23"/>
  <c r="G8" i="23"/>
  <c r="G9" i="23"/>
  <c r="G5" i="23"/>
  <c r="J15" i="23"/>
  <c r="J16" i="23"/>
  <c r="J17" i="23"/>
  <c r="J14" i="23"/>
  <c r="I15" i="23"/>
  <c r="I16" i="23"/>
  <c r="I17" i="23"/>
  <c r="I14" i="23"/>
  <c r="H15" i="23"/>
  <c r="H16" i="23"/>
  <c r="H17" i="23"/>
  <c r="H14" i="23"/>
  <c r="E15" i="23"/>
  <c r="E16" i="23"/>
  <c r="E17" i="23"/>
  <c r="E14" i="23"/>
  <c r="D15" i="23"/>
  <c r="D16" i="23"/>
  <c r="D17" i="23"/>
  <c r="D14" i="23"/>
  <c r="F9" i="23"/>
  <c r="F6" i="23"/>
  <c r="F7" i="23"/>
  <c r="F8" i="23"/>
  <c r="F5" i="23"/>
  <c r="I6" i="22"/>
  <c r="I7" i="22"/>
  <c r="I8" i="22"/>
  <c r="I9" i="22"/>
  <c r="I10" i="22"/>
  <c r="I5" i="22"/>
  <c r="E6" i="22"/>
  <c r="E7" i="22"/>
  <c r="E8" i="22"/>
  <c r="E9" i="22"/>
  <c r="E10" i="22"/>
  <c r="E5" i="22"/>
  <c r="H6" i="22"/>
  <c r="H7" i="22"/>
  <c r="H8" i="22"/>
  <c r="H9" i="22"/>
  <c r="H10" i="22"/>
  <c r="H5" i="22"/>
  <c r="G5" i="22" a="1"/>
  <c r="K6" i="21"/>
  <c r="K7" i="21"/>
  <c r="K8" i="21"/>
  <c r="K9" i="21"/>
  <c r="K10" i="21"/>
  <c r="K11" i="21"/>
  <c r="K12" i="21"/>
  <c r="K13" i="21"/>
  <c r="K14" i="21"/>
  <c r="K5" i="21"/>
  <c r="H6" i="21"/>
  <c r="H7" i="21"/>
  <c r="H8" i="21"/>
  <c r="H9" i="21"/>
  <c r="H10" i="21"/>
  <c r="H11" i="21"/>
  <c r="H12" i="21"/>
  <c r="H13" i="21"/>
  <c r="H14" i="21"/>
  <c r="H5" i="21"/>
  <c r="G6" i="21"/>
  <c r="G7" i="21"/>
  <c r="G8" i="21"/>
  <c r="G9" i="21"/>
  <c r="G10" i="21"/>
  <c r="G11" i="21"/>
  <c r="G12" i="21"/>
  <c r="G13" i="21"/>
  <c r="G14" i="21"/>
  <c r="G5" i="21"/>
  <c r="I6" i="21"/>
  <c r="I7" i="21"/>
  <c r="I8" i="21"/>
  <c r="I9" i="21"/>
  <c r="I10" i="21"/>
  <c r="I11" i="21"/>
  <c r="I12" i="21"/>
  <c r="I13" i="21"/>
  <c r="I14" i="21"/>
  <c r="I5" i="21"/>
  <c r="L6" i="21"/>
  <c r="L7" i="21"/>
  <c r="L8" i="21"/>
  <c r="L9" i="21"/>
  <c r="L10" i="21"/>
  <c r="L11" i="21"/>
  <c r="L12" i="21"/>
  <c r="L13" i="21"/>
  <c r="L14" i="21"/>
  <c r="L5" i="21"/>
  <c r="J6" i="21"/>
  <c r="J7" i="21"/>
  <c r="J8" i="21"/>
  <c r="J9" i="21"/>
  <c r="J10" i="21"/>
  <c r="J11" i="21"/>
  <c r="J12" i="21"/>
  <c r="J13" i="21"/>
  <c r="J14" i="21"/>
  <c r="J5" i="21"/>
  <c r="I5" i="20"/>
  <c r="H5" i="20" a="1"/>
  <c r="Q5" i="20" a="1"/>
  <c r="P5" i="20" a="1"/>
  <c r="N5" i="20"/>
  <c r="M6" i="20"/>
  <c r="M7" i="20"/>
  <c r="M8" i="20"/>
  <c r="M9" i="20"/>
  <c r="M10" i="20"/>
  <c r="M11" i="20"/>
  <c r="M12" i="20"/>
  <c r="M13" i="20"/>
  <c r="M14" i="20"/>
  <c r="M5" i="20"/>
  <c r="K5" i="20"/>
  <c r="L5" i="20"/>
  <c r="G6" i="20"/>
  <c r="G7" i="20"/>
  <c r="G8" i="20"/>
  <c r="G9" i="20"/>
  <c r="G10" i="20"/>
  <c r="G11" i="20"/>
  <c r="G12" i="20"/>
  <c r="G13" i="20"/>
  <c r="G14" i="20"/>
  <c r="G5" i="20"/>
  <c r="J5" i="20" s="1" a="1"/>
  <c r="K6" i="19"/>
  <c r="K7" i="19"/>
  <c r="K8" i="19"/>
  <c r="K9" i="19"/>
  <c r="K10" i="19"/>
  <c r="K11" i="19"/>
  <c r="K12" i="19"/>
  <c r="K13" i="19"/>
  <c r="K14" i="19"/>
  <c r="K15" i="19"/>
  <c r="K16" i="19"/>
  <c r="K5" i="19"/>
  <c r="J10" i="19"/>
  <c r="J6" i="19"/>
  <c r="J7" i="19"/>
  <c r="J8" i="19"/>
  <c r="J9" i="19"/>
  <c r="J11" i="19"/>
  <c r="J12" i="19"/>
  <c r="J13" i="19"/>
  <c r="J14" i="19"/>
  <c r="J15" i="19"/>
  <c r="J16" i="19"/>
  <c r="J5" i="19"/>
  <c r="I6" i="19"/>
  <c r="I7" i="19"/>
  <c r="I8" i="19"/>
  <c r="I9" i="19"/>
  <c r="I10" i="19"/>
  <c r="I11" i="19"/>
  <c r="I12" i="19"/>
  <c r="I13" i="19"/>
  <c r="I14" i="19"/>
  <c r="I15" i="19"/>
  <c r="I16" i="19"/>
  <c r="I5" i="19"/>
  <c r="F6" i="19"/>
  <c r="F7" i="19"/>
  <c r="F8" i="19"/>
  <c r="F9" i="19"/>
  <c r="F10" i="19"/>
  <c r="F11" i="19"/>
  <c r="F12" i="19"/>
  <c r="F13" i="19"/>
  <c r="F14" i="19"/>
  <c r="F15" i="19"/>
  <c r="F16" i="19"/>
  <c r="F5" i="19"/>
  <c r="E6" i="19"/>
  <c r="E7" i="19"/>
  <c r="E8" i="19"/>
  <c r="E9" i="19"/>
  <c r="E10" i="19"/>
  <c r="E11" i="19"/>
  <c r="E12" i="19"/>
  <c r="E13" i="19"/>
  <c r="E14" i="19"/>
  <c r="E15" i="19"/>
  <c r="E16" i="19"/>
  <c r="E5" i="19"/>
  <c r="H6" i="19"/>
  <c r="H7" i="19"/>
  <c r="H8" i="19"/>
  <c r="H9" i="19"/>
  <c r="H10" i="19"/>
  <c r="H11" i="19"/>
  <c r="H12" i="19"/>
  <c r="H13" i="19"/>
  <c r="H14" i="19"/>
  <c r="H15" i="19"/>
  <c r="H16" i="19"/>
  <c r="H5" i="19"/>
  <c r="G6" i="19"/>
  <c r="G7" i="19"/>
  <c r="G8" i="19"/>
  <c r="G9" i="19"/>
  <c r="G10" i="19"/>
  <c r="G11" i="19"/>
  <c r="G12" i="19"/>
  <c r="G13" i="19"/>
  <c r="G14" i="19"/>
  <c r="G15" i="19"/>
  <c r="G16" i="19"/>
  <c r="G5" i="19"/>
  <c r="B45" i="18"/>
  <c r="B46" i="18"/>
  <c r="B48" i="18"/>
  <c r="B47" i="18"/>
  <c r="I41" i="18"/>
  <c r="H41" i="18"/>
  <c r="I40" i="18"/>
  <c r="H40" i="18"/>
  <c r="I39" i="18"/>
  <c r="H39" i="18"/>
  <c r="I38" i="18"/>
  <c r="H38" i="18"/>
  <c r="F31" i="18"/>
  <c r="F30" i="18"/>
  <c r="F29" i="18"/>
  <c r="F20" i="18"/>
  <c r="F19" i="18"/>
  <c r="F18" i="18"/>
  <c r="F17" i="18"/>
  <c r="G10" i="18"/>
  <c r="G9" i="18"/>
  <c r="G8" i="18"/>
  <c r="G7" i="18"/>
  <c r="G6" i="18"/>
  <c r="F172" i="17"/>
  <c r="F163" i="17"/>
  <c r="F162" i="17"/>
  <c r="F161" i="17"/>
  <c r="F151" i="17"/>
  <c r="F150" i="17"/>
  <c r="F134" i="17"/>
  <c r="F133" i="17"/>
  <c r="F132" i="17"/>
  <c r="F114" i="17"/>
  <c r="F113" i="17"/>
  <c r="F96" i="17"/>
  <c r="F95" i="17"/>
  <c r="F94" i="17"/>
  <c r="F65" i="17"/>
  <c r="F72" i="17"/>
  <c r="F74" i="17"/>
  <c r="F73" i="17"/>
  <c r="F71" i="17"/>
  <c r="F70" i="17"/>
  <c r="F69" i="17"/>
  <c r="F50" i="17"/>
  <c r="F49" i="17"/>
  <c r="F48" i="17"/>
  <c r="F47" i="17"/>
  <c r="F46" i="17"/>
  <c r="F45" i="17"/>
  <c r="F44" i="17"/>
  <c r="F43" i="17"/>
  <c r="F22" i="17"/>
  <c r="F21" i="17"/>
  <c r="F20" i="17"/>
  <c r="F19" i="17"/>
  <c r="F18" i="17"/>
  <c r="F17" i="17"/>
  <c r="F16" i="17"/>
  <c r="F15" i="17"/>
  <c r="D34" i="16"/>
  <c r="D33" i="16"/>
  <c r="D32" i="16"/>
  <c r="D20" i="16"/>
  <c r="D19" i="16"/>
  <c r="D18" i="16"/>
  <c r="D10" i="16"/>
  <c r="D9" i="16"/>
  <c r="D8" i="16"/>
  <c r="D7" i="16"/>
  <c r="D196" i="15"/>
  <c r="D195" i="15"/>
  <c r="D188" i="15"/>
  <c r="D187" i="15"/>
  <c r="D186" i="15"/>
  <c r="D185" i="15"/>
  <c r="B177" i="15" a="1"/>
  <c r="B176" i="15" a="1"/>
  <c r="C155" i="15"/>
  <c r="D144" i="15"/>
  <c r="D143" i="15"/>
  <c r="D141" i="15"/>
  <c r="D142" i="15"/>
  <c r="C131" i="15"/>
  <c r="C130" i="15"/>
  <c r="D122" i="15"/>
  <c r="D121" i="15"/>
  <c r="D120" i="15"/>
  <c r="D108" i="15"/>
  <c r="D107" i="15"/>
  <c r="D106" i="15"/>
  <c r="D105" i="15"/>
  <c r="D104" i="15"/>
  <c r="D103" i="15"/>
  <c r="B90" i="15"/>
  <c r="B89" i="15"/>
  <c r="B88" i="15"/>
  <c r="D90" i="15"/>
  <c r="D89" i="15"/>
  <c r="D88" i="15"/>
  <c r="E80" i="15"/>
  <c r="E79" i="15"/>
  <c r="E78" i="15"/>
  <c r="E77" i="15"/>
  <c r="B69" i="15"/>
  <c r="C68" i="15"/>
  <c r="C67" i="15"/>
  <c r="C66" i="15"/>
  <c r="D56" i="15"/>
  <c r="D55" i="15"/>
  <c r="D54" i="15"/>
  <c r="D53" i="15"/>
  <c r="D52" i="15"/>
  <c r="D44" i="15"/>
  <c r="D43" i="15"/>
  <c r="D35" i="15"/>
  <c r="D27" i="15"/>
  <c r="D26" i="15"/>
  <c r="D25" i="15"/>
  <c r="D24" i="15"/>
  <c r="D17" i="15"/>
  <c r="D16" i="15"/>
  <c r="D15" i="15"/>
  <c r="B8" i="15"/>
  <c r="C7" i="15"/>
  <c r="C6" i="15"/>
  <c r="G43" i="14"/>
  <c r="G42" i="14"/>
  <c r="H39" i="14"/>
  <c r="G40" i="14"/>
  <c r="G39" i="14"/>
  <c r="H33" i="14"/>
  <c r="G33" i="14"/>
  <c r="H32" i="14"/>
  <c r="G32" i="14"/>
  <c r="H31" i="14"/>
  <c r="G31" i="14"/>
  <c r="E24" i="14"/>
  <c r="E23" i="14"/>
  <c r="E22" i="14"/>
  <c r="E21" i="14"/>
  <c r="H19" i="14"/>
  <c r="G19" i="14"/>
  <c r="H18" i="14"/>
  <c r="G18" i="14"/>
  <c r="H17" i="14"/>
  <c r="G17" i="14"/>
  <c r="H16" i="14"/>
  <c r="G16" i="14"/>
  <c r="C8" i="14"/>
  <c r="C7" i="14"/>
  <c r="C6" i="14"/>
  <c r="H8" i="14"/>
  <c r="G8" i="14"/>
  <c r="H7" i="14"/>
  <c r="G7" i="14"/>
  <c r="H6" i="14"/>
  <c r="G6" i="14"/>
  <c r="G75" i="13"/>
  <c r="G74" i="13"/>
  <c r="G73" i="13"/>
  <c r="H71" i="13"/>
  <c r="G71" i="13"/>
  <c r="H70" i="13"/>
  <c r="G70" i="13"/>
  <c r="H69" i="13"/>
  <c r="G69" i="13"/>
  <c r="D61" i="13"/>
  <c r="D60" i="13"/>
  <c r="D59" i="13"/>
  <c r="D57" i="13"/>
  <c r="D58" i="13"/>
  <c r="H62" i="13"/>
  <c r="G62" i="13"/>
  <c r="H61" i="13"/>
  <c r="G61" i="13"/>
  <c r="H60" i="13"/>
  <c r="G60" i="13"/>
  <c r="H59" i="13"/>
  <c r="G59" i="13"/>
  <c r="H58" i="13"/>
  <c r="G58" i="13"/>
  <c r="H57" i="13"/>
  <c r="G57" i="13"/>
  <c r="G47" i="13"/>
  <c r="G46" i="13"/>
  <c r="G45" i="13"/>
  <c r="H42" i="13"/>
  <c r="G42" i="13"/>
  <c r="H41" i="13"/>
  <c r="G41" i="13"/>
  <c r="H40" i="13"/>
  <c r="G40" i="13"/>
  <c r="D34" i="13" a="1"/>
  <c r="D33" i="13"/>
  <c r="G35" i="13"/>
  <c r="H34" i="13" a="1"/>
  <c r="G34" i="13"/>
  <c r="H33" i="13"/>
  <c r="G33" i="13"/>
  <c r="D18" i="13"/>
  <c r="D17" i="13"/>
  <c r="H18" i="13"/>
  <c r="G18" i="13"/>
  <c r="H17" i="13"/>
  <c r="G17" i="13"/>
  <c r="D9" i="13"/>
  <c r="D8" i="13"/>
  <c r="D7" i="13"/>
  <c r="D6" i="13"/>
  <c r="D10" i="13"/>
  <c r="C10" i="13"/>
  <c r="C9" i="13"/>
  <c r="C8" i="13"/>
  <c r="C7" i="13"/>
  <c r="C6" i="13"/>
  <c r="F94" i="12"/>
  <c r="F93" i="12"/>
  <c r="F83" i="12"/>
  <c r="F82" i="12"/>
  <c r="E74" i="12"/>
  <c r="E73" i="12"/>
  <c r="B66" i="12"/>
  <c r="B65" i="12"/>
  <c r="D58" i="12"/>
  <c r="D57" i="12"/>
  <c r="D56" i="12"/>
  <c r="D55" i="12"/>
  <c r="D54" i="12"/>
  <c r="D53" i="12"/>
  <c r="B46" i="12"/>
  <c r="B40" i="12"/>
  <c r="B39" i="12"/>
  <c r="B33" i="12"/>
  <c r="B32" i="12"/>
  <c r="F26" i="12"/>
  <c r="F25" i="12"/>
  <c r="F24" i="12"/>
  <c r="B17" i="12"/>
  <c r="B16" i="12"/>
  <c r="B15" i="12"/>
  <c r="F8" i="12"/>
  <c r="F7" i="12"/>
  <c r="F6" i="12"/>
  <c r="C48" i="11"/>
  <c r="C47" i="11"/>
  <c r="C46" i="11"/>
  <c r="C45" i="11"/>
  <c r="C44" i="11"/>
  <c r="C43" i="11"/>
  <c r="C41" i="11"/>
  <c r="C42" i="11"/>
  <c r="C33" i="11"/>
  <c r="C32" i="11"/>
  <c r="C31" i="11"/>
  <c r="C34" i="11"/>
  <c r="D23" i="11"/>
  <c r="D22" i="11"/>
  <c r="D21" i="11"/>
  <c r="D20" i="11"/>
  <c r="D19" i="11"/>
  <c r="D18" i="11"/>
  <c r="D17" i="11"/>
  <c r="D16" i="11"/>
  <c r="D11" i="11"/>
  <c r="D10" i="11"/>
  <c r="D9" i="11"/>
  <c r="D8" i="11"/>
  <c r="D7" i="11"/>
  <c r="D6" i="11"/>
  <c r="H233" i="10"/>
  <c r="H232" i="10"/>
  <c r="H231" i="10"/>
  <c r="H230" i="10"/>
  <c r="B223" i="10"/>
  <c r="B222" i="10"/>
  <c r="B221" i="10"/>
  <c r="B220" i="10"/>
  <c r="B214" i="10"/>
  <c r="B213" i="10"/>
  <c r="B212" i="10"/>
  <c r="B211" i="10"/>
  <c r="B210" i="10"/>
  <c r="B209" i="10"/>
  <c r="B200" i="10"/>
  <c r="B199" i="10"/>
  <c r="B198" i="10"/>
  <c r="B197" i="10"/>
  <c r="G81" i="10"/>
  <c r="G82" i="10" a="1"/>
  <c r="D187" i="10"/>
  <c r="D186" i="10"/>
  <c r="D185" i="10"/>
  <c r="D184" i="10"/>
  <c r="D170" i="10"/>
  <c r="D169" i="10"/>
  <c r="D168" i="10"/>
  <c r="D167" i="10"/>
  <c r="C6" i="10"/>
  <c r="C7" i="10"/>
  <c r="C18" i="10"/>
  <c r="C19" i="10"/>
  <c r="C30" i="10"/>
  <c r="C31" i="10"/>
  <c r="C41" i="10"/>
  <c r="C42" i="10"/>
  <c r="C54" i="10"/>
  <c r="C55" i="10"/>
  <c r="E66" i="10"/>
  <c r="E67" i="10"/>
  <c r="E68" i="10"/>
  <c r="E69" i="10"/>
  <c r="B97" i="10"/>
  <c r="C103" i="10"/>
  <c r="B115" i="10"/>
  <c r="B116" i="10"/>
  <c r="B117" i="10"/>
  <c r="B118" i="10"/>
  <c r="B124" i="10"/>
  <c r="B125" i="10"/>
  <c r="B126" i="10"/>
  <c r="B127" i="10"/>
  <c r="B133" i="10"/>
  <c r="B134" i="10"/>
  <c r="B135" i="10"/>
  <c r="D142" i="10"/>
  <c r="D143" i="10"/>
  <c r="D153" i="10"/>
  <c r="D154" i="10"/>
  <c r="C130" i="9"/>
  <c r="C131" i="9"/>
  <c r="C132" i="9"/>
  <c r="C129" i="9"/>
  <c r="C120" i="9"/>
  <c r="C121" i="9"/>
  <c r="C122" i="9"/>
  <c r="C119" i="9"/>
  <c r="C112" i="9"/>
  <c r="C110" i="9"/>
  <c r="C109" i="9"/>
  <c r="C108" i="9"/>
  <c r="C98" i="9"/>
  <c r="C99" i="9"/>
  <c r="C100" i="9"/>
  <c r="C101" i="9"/>
  <c r="C97" i="9"/>
  <c r="C88" i="9"/>
  <c r="C89" i="9"/>
  <c r="C90" i="9"/>
  <c r="C87" i="9"/>
  <c r="C80" i="9"/>
  <c r="C78" i="9"/>
  <c r="C79" i="9"/>
  <c r="C77" i="9"/>
  <c r="C67" i="9"/>
  <c r="C68" i="9"/>
  <c r="C69" i="9"/>
  <c r="C70" i="9"/>
  <c r="B68" i="9"/>
  <c r="B66" i="9"/>
  <c r="C66" i="9"/>
  <c r="C57" i="9"/>
  <c r="C58" i="9"/>
  <c r="C59" i="9"/>
  <c r="C56" i="9"/>
  <c r="C47" i="9"/>
  <c r="C48" i="9"/>
  <c r="C49" i="9"/>
  <c r="C46" i="9"/>
  <c r="C34" i="9"/>
  <c r="C35" i="9"/>
  <c r="C36" i="9"/>
  <c r="C37" i="9"/>
  <c r="C38" i="9"/>
  <c r="C39" i="9"/>
  <c r="C33" i="9"/>
  <c r="C32" i="9"/>
  <c r="C25" i="9"/>
  <c r="C24" i="9"/>
  <c r="C23" i="9"/>
  <c r="C22" i="9"/>
  <c r="C21" i="9"/>
  <c r="C20" i="9"/>
  <c r="C19" i="9"/>
  <c r="C18" i="9"/>
  <c r="C11" i="9"/>
  <c r="C10" i="9"/>
  <c r="C9" i="9"/>
  <c r="C8" i="9"/>
  <c r="C7" i="9"/>
  <c r="B2" i="7"/>
  <c r="B1" i="7"/>
  <c r="E5" i="6"/>
  <c r="E6" i="6"/>
  <c r="E7" i="6"/>
  <c r="E4" i="6"/>
  <c r="F6" i="6"/>
  <c r="G3" i="2"/>
  <c r="G4" i="2"/>
  <c r="G5" i="2"/>
  <c r="G6" i="2"/>
  <c r="G2" i="2"/>
  <c r="B7" i="2"/>
  <c r="C7" i="2"/>
  <c r="D7" i="2"/>
  <c r="E7" i="2"/>
  <c r="F7" i="2" s="1"/>
  <c r="F2" i="2"/>
  <c r="F3" i="2"/>
  <c r="F4" i="2"/>
  <c r="F5" i="2"/>
  <c r="F6" i="2"/>
  <c r="H2" i="29" l="1"/>
  <c r="G13" i="29"/>
  <c r="T5" i="20"/>
  <c r="S5" i="20"/>
  <c r="R5" i="20"/>
  <c r="O5" i="20" a="1"/>
  <c r="H35" i="13"/>
  <c r="H3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7F94EB-A0AA-4B8E-B7BB-1DAE61D7E875}"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FDE29224-10E7-4492-A297-212F91AFBE9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<sst xmlns="http://schemas.openxmlformats.org/spreadsheetml/2006/main" count="18245" uniqueCount="5013">
  <si>
    <t>Branch</t>
  </si>
  <si>
    <t>Region</t>
  </si>
  <si>
    <t>Revenue (Rs.)</t>
  </si>
  <si>
    <t>Cost (Rs.)</t>
  </si>
  <si>
    <t>Profit (Rs.)</t>
  </si>
  <si>
    <t>Manager</t>
  </si>
  <si>
    <t>Confidential Notes</t>
  </si>
  <si>
    <t>Branch A</t>
  </si>
  <si>
    <t>North</t>
  </si>
  <si>
    <t>Karan Malhotra</t>
  </si>
  <si>
    <t>Lease renewal pending</t>
  </si>
  <si>
    <t>Branch B</t>
  </si>
  <si>
    <t>South</t>
  </si>
  <si>
    <t>Divya Krishnan</t>
  </si>
  <si>
    <t>Staff shortage Q3</t>
  </si>
  <si>
    <t>Branch C</t>
  </si>
  <si>
    <t>East</t>
  </si>
  <si>
    <t>Simran Kaur</t>
  </si>
  <si>
    <t>Under review</t>
  </si>
  <si>
    <t>Branch D</t>
  </si>
  <si>
    <t>West</t>
  </si>
  <si>
    <t>Farah Khan</t>
  </si>
  <si>
    <t>Top performer</t>
  </si>
  <si>
    <t>Category</t>
  </si>
  <si>
    <t>Week 1</t>
  </si>
  <si>
    <t>Week 2</t>
  </si>
  <si>
    <t>Week 3</t>
  </si>
  <si>
    <t>Week 4</t>
  </si>
  <si>
    <t>Groceries</t>
  </si>
  <si>
    <t>Transport</t>
  </si>
  <si>
    <t>Utilities</t>
  </si>
  <si>
    <t>Entertainment</t>
  </si>
  <si>
    <t>Miscellaneous</t>
  </si>
  <si>
    <t>TOTAL</t>
  </si>
  <si>
    <t>AVERAGE</t>
  </si>
  <si>
    <t>A: Roll No.</t>
  </si>
  <si>
    <t>B: Week Start Date</t>
  </si>
  <si>
    <t>C: Month</t>
  </si>
  <si>
    <t>D: Quarter Label</t>
  </si>
  <si>
    <t>E: Odd Numbers</t>
  </si>
  <si>
    <t>F: Invoice No.</t>
  </si>
  <si>
    <t>January</t>
  </si>
  <si>
    <t>Q1</t>
  </si>
  <si>
    <t>INV-001</t>
  </si>
  <si>
    <t>February</t>
  </si>
  <si>
    <t>March</t>
  </si>
  <si>
    <t>April</t>
  </si>
  <si>
    <t>May</t>
  </si>
  <si>
    <t>June</t>
  </si>
  <si>
    <t>July</t>
  </si>
  <si>
    <t>Q2</t>
  </si>
  <si>
    <t>Q3</t>
  </si>
  <si>
    <t>Q4</t>
  </si>
  <si>
    <t>INV-002</t>
  </si>
  <si>
    <t>INV-003</t>
  </si>
  <si>
    <t>INV-004</t>
  </si>
  <si>
    <t>INV-005</t>
  </si>
  <si>
    <t>INV-006</t>
  </si>
  <si>
    <t>INV-007</t>
  </si>
  <si>
    <t>Full Name</t>
  </si>
  <si>
    <t>First Name (Q1)</t>
  </si>
  <si>
    <t>Last Name (Q1)</t>
  </si>
  <si>
    <t>Email</t>
  </si>
  <si>
    <t>Username (Q2)</t>
  </si>
  <si>
    <t>Phone (raw)</t>
  </si>
  <si>
    <t>Phone Formatted (Q3)</t>
  </si>
  <si>
    <t>Nikhil Rane</t>
  </si>
  <si>
    <t>nikhil.rane@gmail.com</t>
  </si>
  <si>
    <t>9876543210</t>
  </si>
  <si>
    <t>Sarah Mathew</t>
  </si>
  <si>
    <t>sarah.mathew@outlook.com</t>
  </si>
  <si>
    <t>9123456780</t>
  </si>
  <si>
    <t>Farhan Sheikh</t>
  </si>
  <si>
    <t>farhan.sheikh@yahoo.co.in</t>
  </si>
  <si>
    <t>9988776655</t>
  </si>
  <si>
    <t>divya.krishnan@gmail.com</t>
  </si>
  <si>
    <t>9012345678</t>
  </si>
  <si>
    <t>Om Prakash</t>
  </si>
  <si>
    <t>om.prakash@companymail.com</t>
  </si>
  <si>
    <t>9765432109</t>
  </si>
  <si>
    <t>Nikhil</t>
  </si>
  <si>
    <t>Rane</t>
  </si>
  <si>
    <t>Mathew</t>
  </si>
  <si>
    <t>Sheikh</t>
  </si>
  <si>
    <t>Krishnan</t>
  </si>
  <si>
    <t>Prakash</t>
  </si>
  <si>
    <t>Sarah</t>
  </si>
  <si>
    <t>Farhan</t>
  </si>
  <si>
    <t>Divya</t>
  </si>
  <si>
    <t>Om</t>
  </si>
  <si>
    <t>nikhil.rane</t>
  </si>
  <si>
    <t>sarah.mathew</t>
  </si>
  <si>
    <t>farhan.sheikh</t>
  </si>
  <si>
    <t>divya.krishnan</t>
  </si>
  <si>
    <t>om.prakash</t>
  </si>
  <si>
    <t>+91-98765-43210'</t>
  </si>
  <si>
    <t>+91-99887-76655'</t>
  </si>
  <si>
    <t>+91-90123-45678'</t>
  </si>
  <si>
    <t>+91-97654-32109'</t>
  </si>
  <si>
    <t>+91-91234-56780'</t>
  </si>
  <si>
    <t>Initials</t>
  </si>
  <si>
    <t>N.R</t>
  </si>
  <si>
    <t>S.M</t>
  </si>
  <si>
    <t>F.S</t>
  </si>
  <si>
    <t>D.K</t>
  </si>
  <si>
    <t>O.P</t>
  </si>
  <si>
    <t>Roll No.</t>
  </si>
  <si>
    <t>Student Name</t>
  </si>
  <si>
    <t>Grade Level</t>
  </si>
  <si>
    <t>Marks</t>
  </si>
  <si>
    <t>Subject</t>
  </si>
  <si>
    <t>Attendance %</t>
  </si>
  <si>
    <t>Ishita Kapoor</t>
  </si>
  <si>
    <t>B</t>
  </si>
  <si>
    <t>Science</t>
  </si>
  <si>
    <t>Rohan Mehta</t>
  </si>
  <si>
    <t>A</t>
  </si>
  <si>
    <t>Aditya Verma</t>
  </si>
  <si>
    <t>C</t>
  </si>
  <si>
    <t>Maths</t>
  </si>
  <si>
    <t>Kabir Singh</t>
  </si>
  <si>
    <t>Meera Pillai</t>
  </si>
  <si>
    <t>Ananya Das</t>
  </si>
  <si>
    <t>Arjun Bose</t>
  </si>
  <si>
    <t>Diya Menon</t>
  </si>
  <si>
    <t>Tax Rate:</t>
  </si>
  <si>
    <t>Item</t>
  </si>
  <si>
    <t>Quantity</t>
  </si>
  <si>
    <t>Unit Cost</t>
  </si>
  <si>
    <t>Line Total</t>
  </si>
  <si>
    <t>Tax @ Rate</t>
  </si>
  <si>
    <t>Grand Total</t>
  </si>
  <si>
    <t>Chairs</t>
  </si>
  <si>
    <t>Tables</t>
  </si>
  <si>
    <t>Cabinets</t>
  </si>
  <si>
    <t>Shelves</t>
  </si>
  <si>
    <t>Total Revenue (Rs.):</t>
  </si>
  <si>
    <t>Total Profit (Rs.):</t>
  </si>
  <si>
    <t>Average Order Value (Rs.):</t>
  </si>
  <si>
    <t>Order ID</t>
  </si>
  <si>
    <t>Customer</t>
  </si>
  <si>
    <t>Amount (Rs.)</t>
  </si>
  <si>
    <t>ORD-200</t>
  </si>
  <si>
    <t>Deepak Joshi</t>
  </si>
  <si>
    <t>ORD-201</t>
  </si>
  <si>
    <t>ORD-202</t>
  </si>
  <si>
    <t>ORD-203</t>
  </si>
  <si>
    <t>ORD-204</t>
  </si>
  <si>
    <t>ORD-205</t>
  </si>
  <si>
    <t>Ravi Kumar</t>
  </si>
  <si>
    <t>ORD-206</t>
  </si>
  <si>
    <t>ORD-207</t>
  </si>
  <si>
    <t>Kavita Menon</t>
  </si>
  <si>
    <t>ORD-208</t>
  </si>
  <si>
    <t>ORD-209</t>
  </si>
  <si>
    <t>ORD-210</t>
  </si>
  <si>
    <t>ORD-211</t>
  </si>
  <si>
    <t>ORD-212</t>
  </si>
  <si>
    <t>ORD-213</t>
  </si>
  <si>
    <t>Sunita Rao</t>
  </si>
  <si>
    <t>ORD-214</t>
  </si>
  <si>
    <t>ORD-215</t>
  </si>
  <si>
    <t>ORD-216</t>
  </si>
  <si>
    <t>ORD-217</t>
  </si>
  <si>
    <t>Manoj Tiwari</t>
  </si>
  <si>
    <t>ORD-218</t>
  </si>
  <si>
    <t>ORD-219</t>
  </si>
  <si>
    <t>ISBLANK(value)</t>
  </si>
  <si>
    <t>If a cell is blank, it returns TRUE.</t>
  </si>
  <si>
    <t>If a cell is not blank, it returns FALSE.</t>
  </si>
  <si>
    <t>Values</t>
  </si>
  <si>
    <t>Orange</t>
  </si>
  <si>
    <t xml:space="preserve"> </t>
  </si>
  <si>
    <t>King Cobra</t>
  </si>
  <si>
    <t>Formulas</t>
  </si>
  <si>
    <t>ISERR(value)</t>
  </si>
  <si>
    <t>Checks whether a value is an error (#VALUE!, #REF!, #DIV/0!, #NUM!, #NAME?, or #NULL!) excluding #N/A, and returns TRUE or FALSE</t>
  </si>
  <si>
    <t>Apple</t>
  </si>
  <si>
    <t>Formula</t>
  </si>
  <si>
    <t>ISERROR(value)</t>
  </si>
  <si>
    <t>Checks whether a value is an error (#N/A, #VALUE!, #REF!, #DIV/0!, #NUM!, #NAME?, or #NULL!), and returns TRUE or FALSE</t>
  </si>
  <si>
    <t>ISEVEN(value)</t>
  </si>
  <si>
    <t>Retursn TRUE if the number is even</t>
  </si>
  <si>
    <t>81/9</t>
  </si>
  <si>
    <t>Excel 2013</t>
  </si>
  <si>
    <t>ISODD(value)</t>
  </si>
  <si>
    <t>Retursn TRUE if the number is odd</t>
  </si>
  <si>
    <t>ISFORMULA(value)</t>
  </si>
  <si>
    <t>Checks whether a reference is to a cell containing a formula, and returns TRUE or FALSE</t>
  </si>
  <si>
    <t>Kawser Ahmed</t>
  </si>
  <si>
    <t>Marissa Kawser</t>
  </si>
  <si>
    <t>ISLOGICAL(value)</t>
  </si>
  <si>
    <t>Checks whether a values is a logical value (TRUE or FALSE), and returns TRUE or FALSE</t>
  </si>
  <si>
    <t>"TRUE"</t>
  </si>
  <si>
    <t>ISNA(value)</t>
  </si>
  <si>
    <t>Checks whether a value is #N/A, and returns TRUE or FALSE</t>
  </si>
  <si>
    <t>ISNUMBER(value)</t>
  </si>
  <si>
    <t>Checks whether a value is a number, and returns TRUE or FALSE</t>
  </si>
  <si>
    <t>Text</t>
  </si>
  <si>
    <t>ISREF(value)</t>
  </si>
  <si>
    <t>Checks whether a value is a reference, and returns TRUE or FALSE</t>
  </si>
  <si>
    <t>ISTEXT(value)</t>
  </si>
  <si>
    <t>Checks whether a value is text, and returns TRUE or FALSE</t>
  </si>
  <si>
    <t>21 Wise Men</t>
  </si>
  <si>
    <t>ISNONTEXT(value)</t>
  </si>
  <si>
    <t>Checks whether a value is not text (blank cells are not text), and returns TRUE or FALSE</t>
  </si>
  <si>
    <t>Peter</t>
  </si>
  <si>
    <t>SUM(number1, [number2], [number3], [number4], …)</t>
  </si>
  <si>
    <t>Adds all the numbers in a range of cells</t>
  </si>
  <si>
    <t>5</t>
  </si>
  <si>
    <t>AVERAGE(number1, [number2], [number3], [number4], …)</t>
  </si>
  <si>
    <t>Returns the average (arithmetic means) of its arguments, which can be numbers or names, arrays, or references that contain numbers</t>
  </si>
  <si>
    <t>AVERAGEA(value1, [value2], [value3], [value4], …)</t>
  </si>
  <si>
    <t>Returns the average (arithmetic means) of its arguments, evaluating text and FALSE in arguments as 0;  TRUE evaluates as 1. Arguments can be numbers, names, arrays, or references.</t>
  </si>
  <si>
    <t>COUNT(value1, [value2], [value3], …)</t>
  </si>
  <si>
    <t>Counts the number of cells in a range that contain numbers</t>
  </si>
  <si>
    <t>COUNTA(value1, [value2], [value3], …)</t>
  </si>
  <si>
    <t>Counts the number of cells in a range that are not empty</t>
  </si>
  <si>
    <t>MEDIAN(number1, [number2], [number3], …)</t>
  </si>
  <si>
    <t>Returns the median, or the number in the middle of the set of given numbers</t>
  </si>
  <si>
    <t>Data 1</t>
  </si>
  <si>
    <t>Data 2</t>
  </si>
  <si>
    <t>SUMPRODUCT(array1, [array2], [array3], …)</t>
  </si>
  <si>
    <t>Retursn the sum of the products of corresponding ranges or arrays</t>
  </si>
  <si>
    <t>Sales Person</t>
  </si>
  <si>
    <t>Products</t>
  </si>
  <si>
    <t>Sales</t>
  </si>
  <si>
    <t>Jon</t>
  </si>
  <si>
    <t>Marissa</t>
  </si>
  <si>
    <t>Kawser</t>
  </si>
  <si>
    <t>Banana</t>
  </si>
  <si>
    <t>Dipa</t>
  </si>
  <si>
    <t>Neri</t>
  </si>
  <si>
    <t>SUMSQ(number1, [number2], [number3], …)</t>
  </si>
  <si>
    <t>Returns the sum of the squares of the arguments. The arguments can be numbers, arrays, names, or references to cells that contain numbers</t>
  </si>
  <si>
    <t>COUNTBLANK(range)</t>
  </si>
  <si>
    <t>Counts the number of empty cells in a range</t>
  </si>
  <si>
    <t>EVEN(number)</t>
  </si>
  <si>
    <t>Rounds a positive number up and negative number down to the nearest even integer</t>
  </si>
  <si>
    <t>ODD(number)</t>
  </si>
  <si>
    <t>Rounds a positive number up and negative number down to the nearest odd integer.</t>
  </si>
  <si>
    <t>INT(number)</t>
  </si>
  <si>
    <t>Rounds a number down to the nearest integer</t>
  </si>
  <si>
    <t>LARGE(array, k)</t>
  </si>
  <si>
    <t>Returns the k-th largest value in a data set. For example, the fifth largest number</t>
  </si>
  <si>
    <t>SMALL(array, k)</t>
  </si>
  <si>
    <t>Returns the k-th smallest value in a data set. For example, the fifth smallest number</t>
  </si>
  <si>
    <t>MAX(number1, [number2], [number3], [number4], …)</t>
  </si>
  <si>
    <t>Returns the largest value in a set of values. Ignores logical values and text</t>
  </si>
  <si>
    <t>MAXA(value1, [value2], [value3], [value4], …)</t>
  </si>
  <si>
    <t>Returns the larget value in a set of values. Does not ignore logical values and text. MAXA function evaluates TRUE as 1, FALSE as 0 and any Text value as 0. Empty cells are ignored</t>
  </si>
  <si>
    <t>MIN(number1, [number2], [number3], [number4], …)</t>
  </si>
  <si>
    <t>Returns the smallest number in a set of values. Ignores logical values and text</t>
  </si>
  <si>
    <t>MINA(value1, [value2], [value3], [value4], …)</t>
  </si>
  <si>
    <t>Returns the smallest value in a set of values. Does not ignore logical values and text. MAXA function evaluates TRUE as 1, FALSE as 0 and any Text value as 0. Empty cells are ignored</t>
  </si>
  <si>
    <t>MOD(number, divisor)</t>
  </si>
  <si>
    <t>Returns the remainder after a number is divided by a divisor</t>
  </si>
  <si>
    <t>RAND()</t>
  </si>
  <si>
    <t>Retursn a random number greater than or equal to 0 and less than 1, evenly distributed (changes on recalculation)</t>
  </si>
  <si>
    <t>RANDBETWEEN(bottom, top)</t>
  </si>
  <si>
    <t>Return a random number between the numbers you specify</t>
  </si>
  <si>
    <t>SQRT(number)</t>
  </si>
  <si>
    <t>Returns the square root of a number</t>
  </si>
  <si>
    <t>SUBTOTAL(function_num, ref1, [ref2], [ref3], …)</t>
  </si>
  <si>
    <t>Returns a subtotal in a list or database</t>
  </si>
  <si>
    <t>function_num
(Includes Hidden
Values)</t>
  </si>
  <si>
    <t>function_num
(Ignores Hidden Values)</t>
  </si>
  <si>
    <t>function</t>
  </si>
  <si>
    <t>COUNT</t>
  </si>
  <si>
    <t>COUNTA</t>
  </si>
  <si>
    <t>MAX</t>
  </si>
  <si>
    <t>MIN</t>
  </si>
  <si>
    <t>PRODUCT</t>
  </si>
  <si>
    <t>STDEV</t>
  </si>
  <si>
    <t>STDEVP</t>
  </si>
  <si>
    <t>SUM</t>
  </si>
  <si>
    <t>VAR</t>
  </si>
  <si>
    <t>VARP</t>
  </si>
  <si>
    <t>FIND(find_text, within_text, [start_num])</t>
  </si>
  <si>
    <t>Returns the starting position of one text string within another text string. FIND is case-sensitive</t>
  </si>
  <si>
    <t>Data</t>
  </si>
  <si>
    <t>Marissa Kawser Ron</t>
  </si>
  <si>
    <t>SEARCH(find_text, within_text, [start_num])</t>
  </si>
  <si>
    <t>Returns the number of the character at which a specific character or text string is first found, reading left to right (not case-sensitive)</t>
  </si>
  <si>
    <t>"Jon" come here</t>
  </si>
  <si>
    <t>The "boss" is here</t>
  </si>
  <si>
    <t>SUBSTITUTE(text, old_text, new_text, [instance_num])</t>
  </si>
  <si>
    <t>Replaces existing text with new text in a text string</t>
  </si>
  <si>
    <t>Quantity Sold Sold</t>
  </si>
  <si>
    <t>Year 2008</t>
  </si>
  <si>
    <t>Year 2009</t>
  </si>
  <si>
    <t>REPLACE(old_text, start_num, num_chars, new_text)</t>
  </si>
  <si>
    <t>Replaces part of a text string with different text string</t>
  </si>
  <si>
    <t>Marissa Khan</t>
  </si>
  <si>
    <t>DATE(year, month, day)</t>
  </si>
  <si>
    <t>Returns the number that represents the date in Microsoft Excel date-time code</t>
  </si>
  <si>
    <t>Year</t>
  </si>
  <si>
    <t>Month</t>
  </si>
  <si>
    <t>Day</t>
  </si>
  <si>
    <t>DATEVALUE(date_text)</t>
  </si>
  <si>
    <t>Converts a date in the form of text to a number that represents the date in the Microsoft Excel date-time code</t>
  </si>
  <si>
    <t>TIME(hour, minute, second)</t>
  </si>
  <si>
    <t>Converts hours, minutes, and seconds given as numbers to an Excel serial number, formatted with a time format</t>
  </si>
  <si>
    <t>Hour</t>
  </si>
  <si>
    <t>Minute</t>
  </si>
  <si>
    <t>Second</t>
  </si>
  <si>
    <t>TIMEVALUE(time_text)</t>
  </si>
  <si>
    <t>Converts a text time to an Excel serial number for a time, a number from 0 (12:00:00 AM) to 0.999988424 (11:59:59 PM). Format the number with a time format after entering the formula</t>
  </si>
  <si>
    <t>NOW()</t>
  </si>
  <si>
    <t>Returns the current date and time formatted as a date and time</t>
  </si>
  <si>
    <t>TODAY()</t>
  </si>
  <si>
    <t>Returns the current date formatted as a date</t>
  </si>
  <si>
    <t>YEAR, MONTH, DAY, HOUR, MINUTE and SECOND Functions</t>
  </si>
  <si>
    <t>All of these functions take one argument: serial_number</t>
  </si>
  <si>
    <t>Function Name</t>
  </si>
  <si>
    <t>YEAR(…)</t>
  </si>
  <si>
    <t>MONTH(…)</t>
  </si>
  <si>
    <t>DAY(…)</t>
  </si>
  <si>
    <t>HOUR(…)</t>
  </si>
  <si>
    <t>MINUTE(…)</t>
  </si>
  <si>
    <t>SECOND(…)</t>
  </si>
  <si>
    <t>WEEKDAY(serial_number, [return_type])</t>
  </si>
  <si>
    <t>Returns a number from 1 to 7 identifying the day of the week from a date</t>
  </si>
  <si>
    <t>DAYS(end_date, start_date)</t>
  </si>
  <si>
    <t>Returns the number of days between the two dates</t>
  </si>
  <si>
    <t>End Date</t>
  </si>
  <si>
    <t>Start Date</t>
  </si>
  <si>
    <t>NETWORKDAYS(start_date, end_date, [holidays])</t>
  </si>
  <si>
    <t>Returns the number of whole workdays between two dates</t>
  </si>
  <si>
    <t>Date</t>
  </si>
  <si>
    <t>Description</t>
  </si>
  <si>
    <t>Start date of project</t>
  </si>
  <si>
    <t>End date of project</t>
  </si>
  <si>
    <t>Holiday</t>
  </si>
  <si>
    <t>WORKDAY(start_date, days, [holidays])</t>
  </si>
  <si>
    <t>Returns the serial number of the date before or after a specified number of workdays</t>
  </si>
  <si>
    <t>Days to Complete the work</t>
  </si>
  <si>
    <t>Holidays</t>
  </si>
  <si>
    <t>ADDRESS(row_num, column_num, [abs_num], [a1], [sheet_text])</t>
  </si>
  <si>
    <t>Creates a cell reference as text, given specified row and column numbers</t>
  </si>
  <si>
    <t>Result</t>
  </si>
  <si>
    <t>Remarks</t>
  </si>
  <si>
    <t>CHOOSE(index_num, value1, [value2], [value3], …)</t>
  </si>
  <si>
    <t>Chooses a value or action to perform from a list of values, based on an index number</t>
  </si>
  <si>
    <t>Value of the 3rd list argument (value of cell B23)</t>
  </si>
  <si>
    <t>Excel</t>
  </si>
  <si>
    <t>Value of the 5th list argument (value of cell B25)</t>
  </si>
  <si>
    <t>Excel BI</t>
  </si>
  <si>
    <t>Power Query</t>
  </si>
  <si>
    <t>Power Pivot</t>
  </si>
  <si>
    <t>Power Map</t>
  </si>
  <si>
    <t>Array Form:</t>
  </si>
  <si>
    <t>INDEX(array, row_num, [column_num])</t>
  </si>
  <si>
    <t>Return the value of a specified cell or array of cells</t>
  </si>
  <si>
    <t>Reference Form:</t>
  </si>
  <si>
    <t>INDEX(reference, row_num, [column_num], [area_num])</t>
  </si>
  <si>
    <t>Returns a reference to specified cells</t>
  </si>
  <si>
    <t>Array Form Example</t>
  </si>
  <si>
    <t>Apples</t>
  </si>
  <si>
    <t>Lemons</t>
  </si>
  <si>
    <t xml:space="preserve">INDEX function in Array format. </t>
  </si>
  <si>
    <t>Bananas</t>
  </si>
  <si>
    <t>Pears</t>
  </si>
  <si>
    <t>INDEX function in Array format and entered as Array formula. Returns the entire 1st column of the range.</t>
  </si>
  <si>
    <t>Fruit 1</t>
  </si>
  <si>
    <t>Price</t>
  </si>
  <si>
    <t>Count</t>
  </si>
  <si>
    <t>The intersection of the 3rd row and 3rd column in the range B64: D68. Returns the cell reference D66. D66 has value 15, so the formula returns 15</t>
  </si>
  <si>
    <t>The intersection of the 3rd row and 2nd column in the range B71: D74 as area_num is 2. Returns the cell reference C73. C73 has value 1.25. So the formula returns 1.25 value.</t>
  </si>
  <si>
    <t>INDEX part of this formula returns cell reference D68. SUM function returns the sum of range D64: D68.</t>
  </si>
  <si>
    <t>Oranges</t>
  </si>
  <si>
    <t>Fruit 2</t>
  </si>
  <si>
    <t>Almonds</t>
  </si>
  <si>
    <t>Cashews</t>
  </si>
  <si>
    <t>Peanuts</t>
  </si>
  <si>
    <t>Walnuts</t>
  </si>
  <si>
    <t>INDIRECT(ref_text, [a1])</t>
  </si>
  <si>
    <t>Returns the reference specified by a text string</t>
  </si>
  <si>
    <t>In cell B89, there is a cell reference C89. C89 holds data Marissa. So the formula returns Marissa.</t>
  </si>
  <si>
    <t>INDIRECT function is directly referring to cell C90.</t>
  </si>
  <si>
    <t>Same as the first formula.</t>
  </si>
  <si>
    <t>Sales_Data</t>
  </si>
  <si>
    <t>In cell B93, there is a named range Sales_Data. Sales_Data refers to cell C92. C92 has value 90000. So the formula returns 90000.</t>
  </si>
  <si>
    <t>"C"&amp;B93 returns C93 as B93 cell has value 93. C93 cell has value 850. So the formula returns 850.</t>
  </si>
  <si>
    <t>INDIRECT function is directly referring to cell range C92: C93.</t>
  </si>
  <si>
    <t>C57</t>
  </si>
  <si>
    <t>C58</t>
  </si>
  <si>
    <t>C59</t>
  </si>
  <si>
    <t>C61</t>
  </si>
  <si>
    <t>OFFSET(reference- rows, cols, [height], [width])</t>
  </si>
  <si>
    <t>Returns a reference to a range that is a given number of rows and columns from a given reference</t>
  </si>
  <si>
    <t>Reference point is cell B104. Then goes 2 cells up and reach cell B102, then go 2 cells right and reach cell D102, the height and width is 1 and 1. So the formula returns 7</t>
  </si>
  <si>
    <t>Sum of the cells of the range C103: D104</t>
  </si>
  <si>
    <t>Sum of all the cells in the range B101: D108</t>
  </si>
  <si>
    <t>AND(logical1, [logical2], [logical3], [logical4], …)</t>
  </si>
  <si>
    <t>Checks whether all arguments are TRUE, and returns TRUE when all arguments are TRUE</t>
  </si>
  <si>
    <t>All arguments are TRUE, the formula returns TRUE.</t>
  </si>
  <si>
    <t>One argument is FALSE, the formula returns FALSE.</t>
  </si>
  <si>
    <t>OR(logical1, [logical2], [logical3], [logical4], …)</t>
  </si>
  <si>
    <t>Checks whether any of the arguments is TRUE, and returns TRUE or FALSE. Returns FALSE only when all arguments are FALSE</t>
  </si>
  <si>
    <t>One argument is TRUE</t>
  </si>
  <si>
    <t>All arguments evaluate to FALSE</t>
  </si>
  <si>
    <t>At least one argument is TRUE</t>
  </si>
  <si>
    <t>One of the OR arguments are true.</t>
  </si>
  <si>
    <t>NOT(logical)</t>
  </si>
  <si>
    <t>Changes FALSE to TRUE, or TRUE to FALSE</t>
  </si>
  <si>
    <t>Reverses FALSE</t>
  </si>
  <si>
    <t>Reverses TRUE</t>
  </si>
  <si>
    <t>XOR(logical1, [logical2], [logical3], …)</t>
  </si>
  <si>
    <t>Returns a logical 'Exclusive Or' of all arguments</t>
  </si>
  <si>
    <t>Because one of the two tests evaluates to True, TRUE is returned.</t>
  </si>
  <si>
    <t>Because all test results evaluate to False, FALSE is returned. At least one of the test results must evaluate to True to return TRUE.</t>
  </si>
  <si>
    <t xml:space="preserve">  </t>
  </si>
  <si>
    <t>AREAS(reference)</t>
  </si>
  <si>
    <t>Returns the number of areas in a reference. An area is range of contiguous cells or a single cell</t>
  </si>
  <si>
    <t>=AREAS(B2:D4)</t>
  </si>
  <si>
    <t>Number of areas in the range</t>
  </si>
  <si>
    <t>=AREAS((B2:D4,E5,F6:I9))</t>
  </si>
  <si>
    <t>=AREAS(B2:D4 B2)</t>
  </si>
  <si>
    <t>CHAR(number)</t>
  </si>
  <si>
    <t>Returns the character specified by the code number from the character set for your computer</t>
  </si>
  <si>
    <t>=CHAR(65)</t>
  </si>
  <si>
    <t>Displays the character represented by 65 in the computer's character set.</t>
  </si>
  <si>
    <t>=CHAR(33)</t>
  </si>
  <si>
    <t>!</t>
  </si>
  <si>
    <t>Displays the character represented by 33 in the computer's character set.</t>
  </si>
  <si>
    <t>CODE(text)</t>
  </si>
  <si>
    <t>Returns a numeric code for the first character in a text string, in the character set used by your computer</t>
  </si>
  <si>
    <t>=CODE("A")</t>
  </si>
  <si>
    <t>Returns the numeric code of character A.</t>
  </si>
  <si>
    <t>=CODE("Marissa")</t>
  </si>
  <si>
    <t>Returns the numeric code of the first character M of Marissa text.</t>
  </si>
  <si>
    <t>=CODE("!")</t>
  </si>
  <si>
    <t>Returns the numeric code of character !</t>
  </si>
  <si>
    <t>=CODE("?")</t>
  </si>
  <si>
    <t>Returns the numeric code of character ?</t>
  </si>
  <si>
    <t>CLEAN(text)</t>
  </si>
  <si>
    <t>Removes all non-printable characters from text</t>
  </si>
  <si>
    <t>Examples of Non-Printable Characters are: Tab, New Line characters. Their codes are 9 and 10</t>
  </si>
  <si>
    <t xml:space="preserve">	Sales Data
</t>
  </si>
  <si>
    <t>=CLEAN(B32)</t>
  </si>
  <si>
    <t>Sales Data</t>
  </si>
  <si>
    <t>This formula cleans up the TAB and NEW LINE non-printable characters from the text.</t>
  </si>
  <si>
    <t>TRIM(text)</t>
  </si>
  <si>
    <t>Removes all spaces from a text string except for single spaces between words</t>
  </si>
  <si>
    <t xml:space="preserve">    Excel      Dashboard</t>
  </si>
  <si>
    <t>=TRIM(B40)</t>
  </si>
  <si>
    <t>Excel Dashboard</t>
  </si>
  <si>
    <t>Removes all the spaces except for single spaces between words</t>
  </si>
  <si>
    <t xml:space="preserve">         Titas        Gas</t>
  </si>
  <si>
    <t>=TRIM("      Titas     Gas    ")</t>
  </si>
  <si>
    <t>Titas Gas</t>
  </si>
  <si>
    <t>LEN(text)</t>
  </si>
  <si>
    <t>Returns the number of characters in a text string</t>
  </si>
  <si>
    <t>Microsoft Excel</t>
  </si>
  <si>
    <t>=LEN(B50)</t>
  </si>
  <si>
    <t>Total 15 characters in the cell B30</t>
  </si>
  <si>
    <t>=LEN(B51)</t>
  </si>
  <si>
    <t>No characters in the cell B31</t>
  </si>
  <si>
    <t xml:space="preserve">    </t>
  </si>
  <si>
    <t>=LEN(B52)</t>
  </si>
  <si>
    <t>4 Space characters in the cell B32</t>
  </si>
  <si>
    <t>One</t>
  </si>
  <si>
    <t>=LEN(B54)</t>
  </si>
  <si>
    <t>Before Marissa there are 3 space characters.</t>
  </si>
  <si>
    <t xml:space="preserve">   Marissa</t>
  </si>
  <si>
    <t>COLUMN([reference])</t>
  </si>
  <si>
    <t>Returns the column number of a reference</t>
  </si>
  <si>
    <t>ROW([reference])</t>
  </si>
  <si>
    <t>Returns the row number of a reference</t>
  </si>
  <si>
    <t>=COLUMN()</t>
  </si>
  <si>
    <t>When no reference is used, COLUMN function returns the column number in which the formula appears.</t>
  </si>
  <si>
    <t>=COLUMN(B30)</t>
  </si>
  <si>
    <t>For reference B30, column number is 2.</t>
  </si>
  <si>
    <t>=ROW()</t>
  </si>
  <si>
    <t>When no reference is used, ROW function returns the row number in which the formula appears.</t>
  </si>
  <si>
    <t>=ROW(B30)</t>
  </si>
  <si>
    <t>For reference B30, row number is 30.</t>
  </si>
  <si>
    <t>EXACT(text1, text2)</t>
  </si>
  <si>
    <t>Checks whether two text strings are exactly the same, and returns TRUE or FALSE. EXACT is case-sensitive</t>
  </si>
  <si>
    <t>First String</t>
  </si>
  <si>
    <t>Second String</t>
  </si>
  <si>
    <t>excel</t>
  </si>
  <si>
    <t>=EXACT(B73,C73)</t>
  </si>
  <si>
    <t>Not exactly same.</t>
  </si>
  <si>
    <t>eXcel</t>
  </si>
  <si>
    <t>=EXACT(B74,C74)</t>
  </si>
  <si>
    <t xml:space="preserve">Excel </t>
  </si>
  <si>
    <t>=EXACT(B75,C75)</t>
  </si>
  <si>
    <t>Looks exactly same. But second string has a space character in it.</t>
  </si>
  <si>
    <t>=EXACT(B76,C76)</t>
  </si>
  <si>
    <t>They are exactly same.</t>
  </si>
  <si>
    <t>FORMULATEXT(reference)</t>
  </si>
  <si>
    <t>Returns a formula as a string</t>
  </si>
  <si>
    <t>=FORMULATEXT(B84)</t>
  </si>
  <si>
    <t>=SUM(5,10,15,50)</t>
  </si>
  <si>
    <t>The formula returns the formula in cell B74 as a text string</t>
  </si>
  <si>
    <t>=FORMULATEXT(B85)</t>
  </si>
  <si>
    <t>=NOW()</t>
  </si>
  <si>
    <t>The formula returns the formula in cell B75 as a text string</t>
  </si>
  <si>
    <t>=FORMULATEXT(B86)</t>
  </si>
  <si>
    <t>=TODAY()</t>
  </si>
  <si>
    <t>The formula returns the formula in cell B76 as a text string</t>
  </si>
  <si>
    <t>LEFT(text, [num_chars])</t>
  </si>
  <si>
    <t>Returns the specified number of characters from the start of a text string</t>
  </si>
  <si>
    <t>MID(text, start_num, num_chars)</t>
  </si>
  <si>
    <t>Returns the characters from the middle of a text string, given a starting position and length</t>
  </si>
  <si>
    <t>RIGHT(text, [num_chars])</t>
  </si>
  <si>
    <t>Returns the specified number of characters from the end of a text string</t>
  </si>
  <si>
    <t>Results</t>
  </si>
  <si>
    <t>=LEFT(B116,5)</t>
  </si>
  <si>
    <t>Shows the first 5 characters from the cell B106.</t>
  </si>
  <si>
    <t>=LEFT(B116,30)</t>
  </si>
  <si>
    <t>Shows all the characters from the cell B106.</t>
  </si>
  <si>
    <t>Excel BI Tools</t>
  </si>
  <si>
    <t>=MID(B116,7,25)</t>
  </si>
  <si>
    <t>Dashboard</t>
  </si>
  <si>
    <t>Shows only the Dashboard part of cell B106.</t>
  </si>
  <si>
    <t>=MID(B116,50,5)</t>
  </si>
  <si>
    <t/>
  </si>
  <si>
    <t xml:space="preserve">Shows nothing as start_num 50 is not for the cell B106. </t>
  </si>
  <si>
    <t>=RIGHT(B116,25)</t>
  </si>
  <si>
    <t>=RIGHT(B118,5)</t>
  </si>
  <si>
    <t>Tools</t>
  </si>
  <si>
    <t>Shows the Tools part from the string in the cell B108.</t>
  </si>
  <si>
    <t>LOWER(text)</t>
  </si>
  <si>
    <t>Converts all letters in a text string to lowercase</t>
  </si>
  <si>
    <t>PROPER(text)</t>
  </si>
  <si>
    <t>Converts a text string to proper case; the first letter in each word in uppercase, and all other letters to lowercase</t>
  </si>
  <si>
    <t>UPPER(text)</t>
  </si>
  <si>
    <t>Converts a text string to all uppercase letters</t>
  </si>
  <si>
    <t>=LOWER(B152)</t>
  </si>
  <si>
    <t>excel dashboard</t>
  </si>
  <si>
    <t>Converts all letters to lowercase.</t>
  </si>
  <si>
    <t>marissa kawser</t>
  </si>
  <si>
    <t>=PROPER(B153)</t>
  </si>
  <si>
    <t>Converts the text strings to proper case. M and K are now in uppercase.</t>
  </si>
  <si>
    <t>=UPPER(B154)</t>
  </si>
  <si>
    <t>EXCEL BI TOOLS</t>
  </si>
  <si>
    <t>Coverts the text string to all uppercase letters.</t>
  </si>
  <si>
    <t>REPT(text, number_times)</t>
  </si>
  <si>
    <t>Repeats text a given number of times. Use REPT to fill a cell with a number of instances of a text string</t>
  </si>
  <si>
    <t>=REPT("*-",3)</t>
  </si>
  <si>
    <t>*-*-*-</t>
  </si>
  <si>
    <t>Fills the cell with 3 number of instances using *- string.</t>
  </si>
  <si>
    <t>=REPT("-",10)</t>
  </si>
  <si>
    <t>----------</t>
  </si>
  <si>
    <t>Fills the cell with 10 number of instances using - letter.</t>
  </si>
  <si>
    <t>SHEET([value])</t>
  </si>
  <si>
    <t>Returns the sheet number of the referenced sheet</t>
  </si>
  <si>
    <t>The SHEET function syntax has the following arguments.</t>
  </si>
  <si>
    <r>
      <rPr>
        <sz val="10"/>
        <color theme="1"/>
        <rFont val="Wingdings"/>
        <charset val="2"/>
      </rPr>
      <t>n</t>
    </r>
    <r>
      <rPr>
        <sz val="10"/>
        <color theme="1"/>
        <rFont val="Calibri"/>
        <family val="2"/>
      </rPr>
      <t xml:space="preserve"> </t>
    </r>
    <r>
      <rPr>
        <b/>
        <sz val="10"/>
        <color theme="1"/>
        <rFont val="Calibri"/>
        <family val="2"/>
        <scheme val="minor"/>
      </rPr>
      <t>Value</t>
    </r>
    <r>
      <rPr>
        <sz val="10"/>
        <color theme="1"/>
        <rFont val="Calibri"/>
        <family val="2"/>
        <scheme val="minor"/>
      </rPr>
      <t>    Optional. Value is the name of a sheet or a reference for which you want the sheet number. If value is omitted, SHEET returns the number of the sheet that contains the function.</t>
    </r>
  </si>
  <si>
    <t>Sheet</t>
  </si>
  <si>
    <t>LIST OF FUNCTIONS</t>
  </si>
  <si>
    <t>=SHEET("LIST OF FUNCTIONS")</t>
  </si>
  <si>
    <t>Showing the Sheet number of "LIST OF FUNCTIONS" worksheet.</t>
  </si>
  <si>
    <t>List of Functions</t>
  </si>
  <si>
    <t>=SHEET()</t>
  </si>
  <si>
    <t>Showing the Sheet number of the current worksheet.</t>
  </si>
  <si>
    <t>RANK</t>
  </si>
  <si>
    <t>=SHEET(Sales_Data)</t>
  </si>
  <si>
    <t>Showing the Sheet number where the Sales_Data named range available.</t>
  </si>
  <si>
    <t>=SHEET('DATE &amp; TIME'!B157)</t>
  </si>
  <si>
    <t>Showing the Sheet number of DATE &amp; TIME worksheet.</t>
  </si>
  <si>
    <t>SHEETS([reference])</t>
  </si>
  <si>
    <t>Returns the number of sheets in a reference</t>
  </si>
  <si>
    <t>The SHEETS function syntax has the following arguments.</t>
  </si>
  <si>
    <r>
      <rPr>
        <sz val="10"/>
        <color theme="1"/>
        <rFont val="Wingdings"/>
        <charset val="2"/>
      </rPr>
      <t>n</t>
    </r>
    <r>
      <rPr>
        <sz val="10"/>
        <color theme="1"/>
        <rFont val="Calibri"/>
        <family val="2"/>
      </rPr>
      <t xml:space="preserve"> </t>
    </r>
    <r>
      <rPr>
        <b/>
        <sz val="10"/>
        <color theme="1"/>
        <rFont val="Calibri"/>
        <family val="2"/>
        <scheme val="minor"/>
      </rPr>
      <t>Reference</t>
    </r>
    <r>
      <rPr>
        <sz val="10"/>
        <color theme="1"/>
        <rFont val="Calibri"/>
        <family val="2"/>
        <scheme val="minor"/>
      </rPr>
      <t>    Optional. Reference is a reference for which you want to know the number of sheets it contains. If Reference is omitted, SHEETS returns the number of sheets in the workbook that contains the function.</t>
    </r>
  </si>
  <si>
    <t>=SHEETS()</t>
  </si>
  <si>
    <t>The formula returns the total number of worksheets in this workbook.</t>
  </si>
  <si>
    <t>TRANSPOSE(array)</t>
  </si>
  <si>
    <t>Converts a vertical range of cells to a horizontal range, or vice versa</t>
  </si>
  <si>
    <t>Data1</t>
  </si>
  <si>
    <t>Data2</t>
  </si>
  <si>
    <t>{=TRANSPOSE(B218:B220)}</t>
  </si>
  <si>
    <t>Data1 has been converted to a horizontal range from its vertical orientation. Array Formula</t>
  </si>
  <si>
    <t>{=TRANSPOSE(C222:E222)}</t>
  </si>
  <si>
    <t>Data2 has converted to a vertical range from its horizontal orientation. Array Formula.</t>
  </si>
  <si>
    <t>TYPE(value)</t>
  </si>
  <si>
    <t>Returns an integer represnting the data type of a value: number = 1, text = 2; logical value = 4, error value = 16; array = 64</t>
  </si>
  <si>
    <t>=TYPE(B236)</t>
  </si>
  <si>
    <t>Returns the type of the value in B236. The Text type is indicated by 2.</t>
  </si>
  <si>
    <t>=TYPE("Ms. "&amp;B236)</t>
  </si>
  <si>
    <t>Returns the type of "Mrs. Marissa", which is a Text.</t>
  </si>
  <si>
    <t>=TYPE(100/0)</t>
  </si>
  <si>
    <t>100/0 returns an error value. So the formula returns 16.</t>
  </si>
  <si>
    <t>=TYPE({1,2;3,4})</t>
  </si>
  <si>
    <t>Returns the type of an array constant, which is 64.</t>
  </si>
  <si>
    <t>VALUE(text)</t>
  </si>
  <si>
    <t>Converts a text string that represents a number to a number</t>
  </si>
  <si>
    <t>=VALUE(B255)</t>
  </si>
  <si>
    <t>Converts the value in cell B255 into a number.</t>
  </si>
  <si>
    <t>=VALUE(B256)</t>
  </si>
  <si>
    <t>Converts the value in cell B256 into a number.</t>
  </si>
  <si>
    <t>RANK(number, ref, [order])</t>
  </si>
  <si>
    <t>This function is available for compatibility with Excel 2007 and other.</t>
  </si>
  <si>
    <t>Returns the rank of a number in a list of numbers: its size relative to other values in the list</t>
  </si>
  <si>
    <t>=RANK(B8,B7:B11)</t>
  </si>
  <si>
    <t>Order is 0 or omitted, the values are arranged in descending order.</t>
  </si>
  <si>
    <t>=RANK(B9,B7:B11)</t>
  </si>
  <si>
    <t>RANK function gives duplicate numbers same rank.</t>
  </si>
  <si>
    <t>=RANK(B10,B7:B11,1)</t>
  </si>
  <si>
    <t>Order is 1, the values are arranged in ascending order.</t>
  </si>
  <si>
    <t>=RANK(B10,B7:B11,0)</t>
  </si>
  <si>
    <t>RANK.AVG(number, ref, [order])</t>
  </si>
  <si>
    <t>Returns the rank of a number in a list of numbers: its size relative to other values in the list; if more than one value has the same rank, the average rank is returned</t>
  </si>
  <si>
    <t>=RANK.AVG(B28,B27:B34)</t>
  </si>
  <si>
    <t>Numbers are arranged in descending order and 90 ranks 4.</t>
  </si>
  <si>
    <t>=RANK.AVG(B33,B27:B34,1)</t>
  </si>
  <si>
    <t>You get the average rank of number 85 when the numbers are in ascending order.</t>
  </si>
  <si>
    <t>=RANK.AVG(B34,B27:B34,1)</t>
  </si>
  <si>
    <t>You get the average rank of number 98 when the numbers are in ascending order.</t>
  </si>
  <si>
    <t>RANK.EQ(number, ref, [order])</t>
  </si>
  <si>
    <t>Returns the rank of a number in a list of numbers: its size relative to other values in the list; if more than one value has the same rnak, the top rank of that set of values is returned</t>
  </si>
  <si>
    <t>=RANK.EQ(B43,B42:B49)</t>
  </si>
  <si>
    <t>=RANK.EQ(B48,B42:B49,1)</t>
  </si>
  <si>
    <t>You get the top rank of number 85 when the numbers are in ascending order.</t>
  </si>
  <si>
    <t>=RANK.EQ(B49,B42:B49,1)</t>
  </si>
  <si>
    <t>You get the top rank of number 98 when the numbers are in ascending order.</t>
  </si>
  <si>
    <t>=AVERAGEIF(range, criteria, [average_range])</t>
  </si>
  <si>
    <t>Finds average (arithmetic mean) for the cells specified by a given condition or criteria</t>
  </si>
  <si>
    <t>=AVERAGEIF(B6:B27,"East",C6:C27)</t>
  </si>
  <si>
    <t>Average of all the Sales for East region.</t>
  </si>
  <si>
    <t>=AVERAGEIF(B6:B27,"North",C6:C27)</t>
  </si>
  <si>
    <t>Average of all the Sales for North region.</t>
  </si>
  <si>
    <t>=AVERAGEIF(B6:B27,"North*",C6:C27)</t>
  </si>
  <si>
    <t>Average of all the Sales for North region (including North (New Office) region).</t>
  </si>
  <si>
    <t>=AVERAGEIF(B6:B27,"*New Office",C6:C27)</t>
  </si>
  <si>
    <t>Average of all the Sales for the New Offices.</t>
  </si>
  <si>
    <t>Mid West</t>
  </si>
  <si>
    <t>=AVERAGEIF(B6:B27,"&gt;=4",C6:C27)</t>
  </si>
  <si>
    <t>Average of all the Sales for the values greater than or equal to 4.</t>
  </si>
  <si>
    <t>South New Office</t>
  </si>
  <si>
    <t>=AVERAGEIF(B6:B27,5,C6:C27)</t>
  </si>
  <si>
    <t>Average of all the Sales for the values equal to 5.</t>
  </si>
  <si>
    <t>=AVERAGEIF(B6:B27,TRUE,C6:C27)</t>
  </si>
  <si>
    <t>Average of all the Sales for the values equal to TRUE statement.</t>
  </si>
  <si>
    <t>=AVERAGEIF(B6:B27,FALSE,C6:C27)</t>
  </si>
  <si>
    <t>Average of all the Sales for the values equal to FALSE statement.</t>
  </si>
  <si>
    <t>North New Office</t>
  </si>
  <si>
    <t>SUMIF(range, criteria, [sum_range])</t>
  </si>
  <si>
    <t>Adds the cells specified by a given condition or criteria</t>
  </si>
  <si>
    <t>=SUMIF(B36:B57,"East",C36:C57)</t>
  </si>
  <si>
    <t>Sum of all the Sales for East region.</t>
  </si>
  <si>
    <t>=SUMIF(B36:B57,"North",C36:C57)</t>
  </si>
  <si>
    <t>Sum of all the Sales for North region.</t>
  </si>
  <si>
    <t>=SUMIF(B36:B57,"North*",C36:C57)</t>
  </si>
  <si>
    <t>Sum of all the Sales for North region (including North (New Office) region).</t>
  </si>
  <si>
    <t>=SUMIF(B36:B57,"*New Office",C36:C57)</t>
  </si>
  <si>
    <t>Sum of all the Sales for the New Offices.</t>
  </si>
  <si>
    <t>=SUMIF(B36:B57,"&gt;=4",C36:C57)</t>
  </si>
  <si>
    <t>Sum of all the Sales for the values greater than or equal to 4.</t>
  </si>
  <si>
    <t>=SUMIF(B36:B57,5,C36:C57)</t>
  </si>
  <si>
    <t>Sum of all the Sales for the values equal to 5.</t>
  </si>
  <si>
    <t>=SUMIF(B36:B57,TRUE,C36:C57)</t>
  </si>
  <si>
    <t>Sum of all the Sales for the values equal to TRUE statement.</t>
  </si>
  <si>
    <t>=SUMIF(B36:B57,FALSE,C36:C57)</t>
  </si>
  <si>
    <t>Sum of all the Sales for the values equal to FALSE statement.</t>
  </si>
  <si>
    <t>COUNTIF(range, criteria)</t>
  </si>
  <si>
    <t>Counts the number of cells within a range that meet the given condition</t>
  </si>
  <si>
    <t>=COUNTIF(B66:B87,"East")</t>
  </si>
  <si>
    <t>Count the number of cells with East in cells B66 through B87.</t>
  </si>
  <si>
    <t>=COUNTIF(B66:B87,"North")</t>
  </si>
  <si>
    <t>Count the number of cells with North in cells B66 through B87.</t>
  </si>
  <si>
    <t>=COUNTIF(C66:C87,"&gt;=100")</t>
  </si>
  <si>
    <t>Count the number of cells with values greater than and equal to 100.</t>
  </si>
  <si>
    <t>Count the number of cells with values less than and equal to the value of cell C68.</t>
  </si>
  <si>
    <t>=COUNTIF(B66:B87,"No*")</t>
  </si>
  <si>
    <t>Count the number of cells with values that start with "No" characters.</t>
  </si>
  <si>
    <t>=COUNTIF(B66:B87,"Ea??")</t>
  </si>
  <si>
    <t>Count the number of cells with values that start with "Ea" characters and then have any two characters.</t>
  </si>
  <si>
    <t>AVERAGEIFS(average_range, criteria_range1, criteria1, [criteria_range2, criteria2], [criteria_range3, criteria3], …)</t>
  </si>
  <si>
    <t>Finds average (arithmetic mean) for the cells specified by a given set of conditions or criteria</t>
  </si>
  <si>
    <t>Product</t>
  </si>
  <si>
    <t>Quantity Sold</t>
  </si>
  <si>
    <t>Tom</t>
  </si>
  <si>
    <t>=AVERAGEIFS(D96:D108,B96:B108,"Apple",C96:C108,"Tom")</t>
  </si>
  <si>
    <t>Average Quantity Sold of Apple product by Sales Person Tom.</t>
  </si>
  <si>
    <t>=AVERAGEIFS(D96:D108,B96:B108,"Banana",C96:C108,"Marissa")</t>
  </si>
  <si>
    <t>Average Quantity Sold of Banana product by Sales Person Marissa. Marissa didn't sell Banana. So #DIV/0! error is showing in the cell.</t>
  </si>
  <si>
    <t>=AVERAGEIFS(D96:D108,B96:B108,"Carrot",C96:C108,"Marissa")</t>
  </si>
  <si>
    <t>Average Quantity Sold of Carrot product by Sales Person Marissa.</t>
  </si>
  <si>
    <t>Carrot</t>
  </si>
  <si>
    <t>Khan</t>
  </si>
  <si>
    <t>SUMIFS(sum_range, criteria_range1, criteria1, [criteria_range2, criteria2], [criteria_range3, criteria3], …)</t>
  </si>
  <si>
    <t>Adds the cells specified by a given set of conditions or criteria</t>
  </si>
  <si>
    <t>=SUMIFS(D119:D131,B119:B131,"Apple",C119:C131,"Tom")</t>
  </si>
  <si>
    <t>Sums the Quantity Sold of Apple product by Sales Person Tom.</t>
  </si>
  <si>
    <t>=SUMIFS(D119:D131,B119:B131,"Banana",C119:C131,"Marissa")</t>
  </si>
  <si>
    <t>Sums the Quantity Sold of Banana product by Sales Person Marissa. Marissa didn't sell Banana. So #DIV/0! error is showing in the cell.</t>
  </si>
  <si>
    <t>=SUMIFS(D119:D131,B119:B131,"Carrot",C119:C131,"Marissa")</t>
  </si>
  <si>
    <t>Sums the Quantity Sold of Carrot product by Sales Person Marissa.</t>
  </si>
  <si>
    <t>COUNTIFS(criteria_range1, criteria1, [criteria_range2, criteria2], [criteria_range3, criteria3], …)</t>
  </si>
  <si>
    <t>Counts the number of cells specified by a given set of conditions or criteria</t>
  </si>
  <si>
    <t>=COUNTIFS(D142:D154,"&gt;=10",D142:D154,"&lt;=25")</t>
  </si>
  <si>
    <t>Count the number of cells in the range D142: D154 that have values greater than or equal to 10, and less than or equal to 25.</t>
  </si>
  <si>
    <t>=COUNTIFS(B142:B154,"Apple",C142:C154,"Tom")</t>
  </si>
  <si>
    <t>Count the number of rows from the ranges B142: B154 and C142: C154 that have Apple and Tom values in them respectively.</t>
  </si>
  <si>
    <t>=COUNTIFS(D142:D154,"&gt;="&amp;D142,C142:C154,"Marissa")</t>
  </si>
  <si>
    <t>Count the number of rows from the ranges D142: D154 and C142: C154 that have a value greater than or equal to cell D142 and a value Marissa respectively.</t>
  </si>
  <si>
    <t>IF(logical_test, [value_if_true], [value_if_false]</t>
  </si>
  <si>
    <t>Checks whether a condition is met, and returns one value if TRUE, and another value is FALSE</t>
  </si>
  <si>
    <t>Actual Expense</t>
  </si>
  <si>
    <t>Predicted Expense</t>
  </si>
  <si>
    <t>=IF(B163&gt;C163,"Over Budget","OK")</t>
  </si>
  <si>
    <t>Over Budget</t>
  </si>
  <si>
    <t>Simple IF formula.</t>
  </si>
  <si>
    <t>=IF(B164&gt;C164,"Over Budget",IF(B165&lt;C165,"Budget OK","Not OK"))</t>
  </si>
  <si>
    <t>Budget OK</t>
  </si>
  <si>
    <t>Nested IF Formula. At first calculate the return value of the deepest IF function. Deepest IF function means that IF function that does not have no more function inside it.</t>
  </si>
  <si>
    <t>IFERROR(value, value_if_error)</t>
  </si>
  <si>
    <t>Returns value_if_error if expression is an error and the value of the expression itself otherwise</t>
  </si>
  <si>
    <t>Quota</t>
  </si>
  <si>
    <t>Units Sold</t>
  </si>
  <si>
    <t>=IFERROR(B173/C173,"Error in Calculations?")</t>
  </si>
  <si>
    <t>Returns 6 as the value argument does not return any error.</t>
  </si>
  <si>
    <t>=IFERROR(B174/C174,"Error in Calculations?")</t>
  </si>
  <si>
    <t>Error in Calculations?</t>
  </si>
  <si>
    <t>Returns the value_if_error argument as the value argument returns an error.</t>
  </si>
  <si>
    <t>=IFERROR(B175/C175,"Error in Calculations?")</t>
  </si>
  <si>
    <t>Though the cell B175 has nothing in it, but Excel treats nothing as Zero value, so the formula returns 0.</t>
  </si>
  <si>
    <t>IFNA(value, value_if_na)</t>
  </si>
  <si>
    <t>Returns the value you specify if the expression resolves to #N/A, otherwise returns the result of the expression</t>
  </si>
  <si>
    <t>Post Box</t>
  </si>
  <si>
    <t>Code</t>
  </si>
  <si>
    <t>Rampura</t>
  </si>
  <si>
    <t>IFNA(VLOOKUP("marissa",B184:C188,2,FALSE),"Code is Not Found")</t>
  </si>
  <si>
    <t>Code is not Found</t>
  </si>
  <si>
    <t>VLOOKUP function returns #N/A error when it does not find value. When #N/A is returned, IFNA function returns the value of the value_if_na expression.</t>
  </si>
  <si>
    <t>Gulshan</t>
  </si>
  <si>
    <t>Dhamrai</t>
  </si>
  <si>
    <t>Motijheel</t>
  </si>
  <si>
    <t>Khilgaon</t>
  </si>
  <si>
    <t>MATCH(lookup_value, lookup_array, [match_type])</t>
  </si>
  <si>
    <t>Returns the relative position of an item in an array that matches a specified value in a specified order</t>
  </si>
  <si>
    <t>Count1
(Ascending)</t>
  </si>
  <si>
    <t>Count2
(Descending)</t>
  </si>
  <si>
    <t>Count3
(No Order)</t>
  </si>
  <si>
    <t>LOOKUP(lookup_value, lookup_vector, [result_vector])</t>
  </si>
  <si>
    <t>Looks up a value either from a one-row or one-column range or from an array. Provided for backward compatibility</t>
  </si>
  <si>
    <t>Part Number</t>
  </si>
  <si>
    <t>Serial</t>
  </si>
  <si>
    <t>Part Price</t>
  </si>
  <si>
    <t>Status</t>
  </si>
  <si>
    <t>A001</t>
  </si>
  <si>
    <t>In Stock</t>
  </si>
  <si>
    <t>A002</t>
  </si>
  <si>
    <t>A003</t>
  </si>
  <si>
    <t>A004</t>
  </si>
  <si>
    <t>A005</t>
  </si>
  <si>
    <t>A006</t>
  </si>
  <si>
    <t>HLOOKUP(lookup_value, table_array, row_index_num, [range_lookup])</t>
  </si>
  <si>
    <t>Looks for a value in the top row of a table or array of values and return the value in the same column from a row you specify</t>
  </si>
  <si>
    <t>Axles</t>
  </si>
  <si>
    <t>Bearings</t>
  </si>
  <si>
    <t>Bolts</t>
  </si>
  <si>
    <t>Jan</t>
  </si>
  <si>
    <t>Feb</t>
  </si>
  <si>
    <t>Mar</t>
  </si>
  <si>
    <t>VLOOKUP(lookup_value, table_array, col_index_num, [range_lookup])</t>
  </si>
  <si>
    <t>Looks for a value in the leftmost column in a table, then returns a value in the same row from a column you specify. By default, the table must be sorted in an ascending order</t>
  </si>
  <si>
    <t>ID</t>
  </si>
  <si>
    <t>first name</t>
  </si>
  <si>
    <t>last name</t>
  </si>
  <si>
    <t>title</t>
  </si>
  <si>
    <t>Birth date</t>
  </si>
  <si>
    <t>Davis</t>
  </si>
  <si>
    <t>Sara</t>
  </si>
  <si>
    <t>Sales Rep.</t>
  </si>
  <si>
    <t>In the range C59: F64, the formula looks up "Leal" in the first column, when found it shows the Title of Leal at 3rd column in the same row. FALSE returns an exact match.</t>
  </si>
  <si>
    <t>Fontana</t>
  </si>
  <si>
    <t>Olivier</t>
  </si>
  <si>
    <t>V.P. of Sales</t>
  </si>
  <si>
    <t>In the range B59: F64, the formula looks up value 111 in the frist column, when found it shows the Birth Date at 5th column in the same row. FALSE returns an exact match.</t>
  </si>
  <si>
    <t>Leal</t>
  </si>
  <si>
    <t>Karina</t>
  </si>
  <si>
    <t>There is no ID as 110 in the first column of range B59: F64 and the VLOOKUP function will return an exact match. So the function returns #N/A.</t>
  </si>
  <si>
    <t>Patten</t>
  </si>
  <si>
    <t>Michael</t>
  </si>
  <si>
    <t>There is no ID as 114 in the first column of range B59: F64, but the VLOOKUP function will return an appropriate match, VLOOKUP function returns the Title of ID 111. 111 is the nearest value of 114 and less than 114.</t>
  </si>
  <si>
    <t>Burke</t>
  </si>
  <si>
    <t>Brian</t>
  </si>
  <si>
    <t>Sales Mgr.</t>
  </si>
  <si>
    <t>Sousa</t>
  </si>
  <si>
    <t>Luis</t>
  </si>
  <si>
    <t>TOPIC 1: IF FUNCTION</t>
  </si>
  <si>
    <t>Dataset: Student Exam Results — Greenwood High School, Class X, Mathematics</t>
  </si>
  <si>
    <t>S.No</t>
  </si>
  <si>
    <t>Marks (out of 100)</t>
  </si>
  <si>
    <t>Result (Q1)</t>
  </si>
  <si>
    <t>Grade (Q2)</t>
  </si>
  <si>
    <t>Aarav Sharma</t>
  </si>
  <si>
    <t>Mathematics</t>
  </si>
  <si>
    <t>Priya Nair</t>
  </si>
  <si>
    <t>Sneha Iyer</t>
  </si>
  <si>
    <t>Vivaan Rao</t>
  </si>
  <si>
    <t>QUESTIONS</t>
  </si>
  <si>
    <t>Q1. The school pass mark is 40. In the 'Result' column, write an  formula that displays "Pass" if a student's marks are 40 or above, otherwise "Fail".</t>
  </si>
  <si>
    <t>Q2. In the 'Grade' column, write a NESTED IF formula that assigns grades based on marks: A+ (&gt;=90), A (&gt;=75), B (&gt;=60), C (&gt;=40), F (below 40).</t>
  </si>
  <si>
    <t>Q3. The principal wants to award a "Merit Certificate" to students who scored between 85 and 100 (inclusive). Write an IF formula using the AND function to display "Merit" or "No Merit".</t>
  </si>
  <si>
    <t>Q4. Students scoring below 40 OR with a blank marks cell must appear for a re-exam. Write an IF formula using OR that displays "Re-exam" or "Cleared".</t>
  </si>
  <si>
    <t>Q5. Create a 4-tier performance remark using nested IF: "Excellent" (&gt;=90), "Good" (&gt;=70), "Average" (&gt;=40), "Needs Improvement" (&lt;40).</t>
  </si>
  <si>
    <t>Q6. Suppose a teacher accidentally divides a student's marks by zero while calculating percentage in another cell, producing a division error. Write a formula using IFERROR that displays "Check Data" instead of the error.</t>
  </si>
  <si>
    <t>Q7. Write an IF formula that displays "Topper" for the single highest mark in the dataset and "-" for everyone else (Hint: combine IF with MAX).</t>
  </si>
  <si>
    <t>MERIT/NO MERIT</t>
  </si>
  <si>
    <t>RE EXAM/CLEARED</t>
  </si>
  <si>
    <t>PERFOMANCE</t>
  </si>
  <si>
    <t>%</t>
  </si>
  <si>
    <t>TOPPER</t>
  </si>
  <si>
    <t>TOPIC 2: MATHEMATICAL FUNCTIONS</t>
  </si>
  <si>
    <t>Dataset: Quarterly Sales Report — Sunrise Retail Stores (figures in Rs.)</t>
  </si>
  <si>
    <t>SalesRep</t>
  </si>
  <si>
    <t>Jan Sales</t>
  </si>
  <si>
    <t>Feb Sales</t>
  </si>
  <si>
    <t>Mar Sales</t>
  </si>
  <si>
    <t>Emp ID</t>
  </si>
  <si>
    <t>Total (Q1)</t>
  </si>
  <si>
    <t>Suresh Pillai</t>
  </si>
  <si>
    <t>Neha Gupta</t>
  </si>
  <si>
    <t>Arvind Nair</t>
  </si>
  <si>
    <t>Bhavna Shah</t>
  </si>
  <si>
    <t>Q1.  calculate each sales rep's total sales for Jan+Feb+Mar.</t>
  </si>
  <si>
    <t>Q2. Use formula to calculate the total January sales made by reps in the 'North' region only.</t>
  </si>
  <si>
    <t>Q3. Use formula to calculate total February sales for reps in the 'South' region whose January sales exceeded Rs. 45,000.</t>
  </si>
  <si>
    <t>Q4.find the average total quarterly sales across all sales reps.</t>
  </si>
  <si>
    <t>Q5.  find the average March sales for the 'East' region only.</t>
  </si>
  <si>
    <t>Q6. Use ROUND to round each rep's total sales to the nearest hundred (2 significant places from the right).</t>
  </si>
  <si>
    <t>Q7. Use ROUNDUP to round February sales up to the nearest thousand, and ROUNDDOWN to round January sales down to the nearest thousand.</t>
  </si>
  <si>
    <t>Q8. Use MAX and MIN to identify the highest and lowest total quarterly sales, and INDEX+MATCH (or a simple lookup) to name the top performer.</t>
  </si>
  <si>
    <t>Q9. Use MOD to check whether each Employee ID is odd or even (Hint: MOD(EmpID,2)=0 means even).</t>
  </si>
  <si>
    <t>Q10. The company offers a 5% year-end bonus compounded for 2 years on the total sales. Use POWER to calculate (Total*(1.05)^2), and SQRT to find the square root of the highest total sales figure.</t>
  </si>
  <si>
    <t>NORTH REGION</t>
  </si>
  <si>
    <t>SOUTH REGION &gt; 45,000</t>
  </si>
  <si>
    <t>AVG SALES</t>
  </si>
  <si>
    <t>AVG MARCH SALES</t>
  </si>
  <si>
    <t>ROUND</t>
  </si>
  <si>
    <t>ROUND UP FEB</t>
  </si>
  <si>
    <t>ROUND DOWN JAN</t>
  </si>
  <si>
    <t>TOP PERFORMER</t>
  </si>
  <si>
    <t>EVEN OR ODD</t>
  </si>
  <si>
    <t>5% BONUS</t>
  </si>
  <si>
    <t>SQRT</t>
  </si>
  <si>
    <t>TOPIC 3: LOGICAL FUNCTIONS (AND / OR / NOT)</t>
  </si>
  <si>
    <t>Dataset: Personal Loan Eligibility Screening — Trustworthy Bank Ltd.</t>
  </si>
  <si>
    <t>App. ID</t>
  </si>
  <si>
    <t>Applicant Name</t>
  </si>
  <si>
    <t>Age</t>
  </si>
  <si>
    <t>Monthly Income (Rs.)</t>
  </si>
  <si>
    <t>Credit Score</t>
  </si>
  <si>
    <t>Existing Loan (Y/N)</t>
  </si>
  <si>
    <t>APP101</t>
  </si>
  <si>
    <t>No</t>
  </si>
  <si>
    <t>APP102</t>
  </si>
  <si>
    <t>Sana Sheikh</t>
  </si>
  <si>
    <t>Yes</t>
  </si>
  <si>
    <t>APP103</t>
  </si>
  <si>
    <t>Vikram Chawla</t>
  </si>
  <si>
    <t>APP104</t>
  </si>
  <si>
    <t>Lata Desai</t>
  </si>
  <si>
    <t>APP105</t>
  </si>
  <si>
    <t>Imran Ali</t>
  </si>
  <si>
    <t>APP106</t>
  </si>
  <si>
    <t>Ritu Bhatia</t>
  </si>
  <si>
    <t>APP107</t>
  </si>
  <si>
    <t>Sameer Joshi</t>
  </si>
  <si>
    <t>APP108</t>
  </si>
  <si>
    <t>Anjali Kulkarni</t>
  </si>
  <si>
    <t>APP109</t>
  </si>
  <si>
    <t>Tarun Reddy</t>
  </si>
  <si>
    <t>APP110</t>
  </si>
  <si>
    <t>Pooja Agarwal</t>
  </si>
  <si>
    <t>Q1. Bank policy: an applicant is 'Age-Income Eligible' only if Age is 21 or above AND Monthly Income is Rs. 25,000 or above. Write a formula using AND to return TRUE/FALSE.</t>
  </si>
  <si>
    <t>Q2. Applicants need a 'Priority Review' if their Credit Score is below 620 OR they already have an existing loan. Write a formula using OR.</t>
  </si>
  <si>
    <t>Q3. Write a formula using NOT to flag applicants who do NOT have an existing loan (result should be TRUE for 'No').</t>
  </si>
  <si>
    <t>Q4. Combine IF, AND and OR: an applicant is 'Approved' if (Age is between 21 and 60 inclusive) AND (Income &gt;= 25000 OR Credit Score &gt; 750); otherwise 'Rejected'.</t>
  </si>
  <si>
    <t>Q5. Write a formula using AND with three conditions to check if an applicant simultaneously has Age&gt;=21, Income&gt;=25000, and Credit Score&gt;=650.</t>
  </si>
  <si>
    <t>Q6. Senior citizens (Age &gt; 60) with no existing loan get a 'Special Senior Scheme' offer. Write a nested formula using IF and AND to display this remark.</t>
  </si>
  <si>
    <t>PRIORITY REVIEW</t>
  </si>
  <si>
    <t>NO EXISTING LOANS</t>
  </si>
  <si>
    <t>APPROVAL</t>
  </si>
  <si>
    <t>AGE,INCOME,CREDIT SCORE</t>
  </si>
  <si>
    <t>SPECIAL SENIOR SCHEME</t>
  </si>
  <si>
    <t>AGE - INCOME ELIGIBILITY</t>
  </si>
  <si>
    <t>TOPIC 7: FIND &amp; SEARCH FUNCTIONS</t>
  </si>
  <si>
    <t>Dataset: Employee Contact Directory — Skyline Corp HR Department</t>
  </si>
  <si>
    <t>Employee Name</t>
  </si>
  <si>
    <t>Email Address</t>
  </si>
  <si>
    <t>Full Address</t>
  </si>
  <si>
    <t>Domain (Q4)</t>
  </si>
  <si>
    <t>City (Q6)</t>
  </si>
  <si>
    <t>204, MG Road, Pune, 411001</t>
  </si>
  <si>
    <t>Sarah MATHEW</t>
  </si>
  <si>
    <t>sarah.mathew@OUTLOOK.com</t>
  </si>
  <si>
    <t>12, Park Street, Kolkata, 700016</t>
  </si>
  <si>
    <t>farhan.s@yahoo.co.in</t>
  </si>
  <si>
    <t>45, Anna Salai, Chennai, 600002</t>
  </si>
  <si>
    <t>divya.k@gmail.com</t>
  </si>
  <si>
    <t>7, Residency Road, Bengaluru, 560025</t>
  </si>
  <si>
    <t>om.prakash@COMPANYMAIL.com</t>
  </si>
  <si>
    <t>19, Civil Lines, Nagpur, 440001</t>
  </si>
  <si>
    <t>Leena D'Souza</t>
  </si>
  <si>
    <t>leena.ds@gmail.com</t>
  </si>
  <si>
    <t>88, Linking Road, Mumbai, 400050</t>
  </si>
  <si>
    <t>Q1. Use FIND to return the position (character number) of the '@' symbol within each Email Address.</t>
  </si>
  <si>
    <t>Q2. Use MID together with FIND to extract the 'Username' portion of the email (the text before '@').</t>
  </si>
  <si>
    <t>Q3. One employee's email contains 'OUTLOOK' in uppercase. Use SEARCH (which is case-insensitive) to check if the text 'gmail' appears anywhere in each email — compare this to using FIND for the same check on 'GMAIL' and explain the difference in results.</t>
  </si>
  <si>
    <t>Q4. Use RIGHT combined with LEN and FIND to extract the 'Domain' portion of the email (the text after '@').</t>
  </si>
  <si>
    <t>Q5. In the 'Full Address' column, use FIND to locate the position of the first comma, then use LEFT to extract the house/street portion before it.</t>
  </si>
  <si>
    <t>Q6. Use FIND (with nested FIND/SUBSTITUTE as needed) to extract the 'City' name, which appears between the 2nd and 3rd commas in the Full Address.</t>
  </si>
  <si>
    <t>@</t>
  </si>
  <si>
    <t>farhan.s</t>
  </si>
  <si>
    <t>divya.k</t>
  </si>
  <si>
    <t>leena.ds</t>
  </si>
  <si>
    <t>GMAIL</t>
  </si>
  <si>
    <t>PUNE</t>
  </si>
  <si>
    <t>CHENNAI</t>
  </si>
  <si>
    <t>BENGALURU</t>
  </si>
  <si>
    <t>NAGPUR</t>
  </si>
  <si>
    <t>MUMBAI</t>
  </si>
  <si>
    <t xml:space="preserve">  .</t>
  </si>
  <si>
    <t>TOPIC 9: DATE &amp; TIME FUNCTIONS</t>
  </si>
  <si>
    <t>Dataset A: Employee Attendance Log — 18 Aug 2026</t>
  </si>
  <si>
    <t>Employee</t>
  </si>
  <si>
    <t>Date of Joining</t>
  </si>
  <si>
    <t>Check-In</t>
  </si>
  <si>
    <t>Check-Out</t>
  </si>
  <si>
    <t>Hours Worked (Q9)</t>
  </si>
  <si>
    <t>Tenure in Days (Q1)</t>
  </si>
  <si>
    <t>Day of Week (Q6)</t>
  </si>
  <si>
    <t>Rahul Batra</t>
  </si>
  <si>
    <t>Devendra Rao</t>
  </si>
  <si>
    <t>Ayesha Siddiqui</t>
  </si>
  <si>
    <t>Manish Pillai</t>
  </si>
  <si>
    <t>Dataset B: Project Timeline — Website Revamp Project</t>
  </si>
  <si>
    <t>Task</t>
  </si>
  <si>
    <t>Working Days (Q3)</t>
  </si>
  <si>
    <t>10-Workday Deadline (Q4)</t>
  </si>
  <si>
    <t>Probation/Review +3mo (Q7)</t>
  </si>
  <si>
    <t>Month-End (Q8)</t>
  </si>
  <si>
    <t>Requirement Gathering</t>
  </si>
  <si>
    <t>UI/UX Design</t>
  </si>
  <si>
    <t>Development</t>
  </si>
  <si>
    <t>Testing</t>
  </si>
  <si>
    <t>Q1. Using Dataset A, calculate each employee's 'Tenure in Days' as TODAY() minus their Date of Joining.</t>
  </si>
  <si>
    <t>Q2. Extend Q1: use DATEDIF to express each employee's tenure in complete YEARS and MONTHS (e.g., '7 years 5 months').</t>
  </si>
  <si>
    <t>Q3. Using Dataset B, use NETWORKDAYS to calculate the number of working days (excluding weekends) between each task's Start Date and End Date.</t>
  </si>
  <si>
    <t>Q4. Using Dataset B, use WORKDAY to calculate the deadline date that falls exactly 10 working days after each task's Start Date.</t>
  </si>
  <si>
    <t>Q5. Use YEAR, MONTH, and DAY to extract each of these components separately from the 'Start Date' column in Dataset B.</t>
  </si>
  <si>
    <t>Q6. Use WEEKDAY (or TEXT with a date format) to determine the day of the week (e.g., Monday, Tuesday) for each employee's Date of Joining in Dataset A.</t>
  </si>
  <si>
    <t>Q7. New employees must complete a 3-month probation. Use EDATE to calculate the 'Probation Review Date' as 3 months after each task's Start Date in Dataset B.</t>
  </si>
  <si>
    <t>Q8. Use EOMONTH to find the last date of the month in which each task in Dataset B starts.</t>
  </si>
  <si>
    <t>Q9. Using Dataset A, calculate 'Hours Worked' as Check-Out time minus Check-In time, formatted to show hours and minutes.</t>
  </si>
  <si>
    <t>DATE DIFF</t>
  </si>
  <si>
    <t>Q5</t>
  </si>
  <si>
    <t>YEAR</t>
  </si>
  <si>
    <t>MONTH</t>
  </si>
  <si>
    <t>DAY</t>
  </si>
  <si>
    <t>TOPIC 8: REFERENCE FUNCTIONS (INDEX / MATCH / OFFSET / INDIRECT / ROW / COLUMN)</t>
  </si>
  <si>
    <t>Dataset: 6-Month Sales Matrix — Product vs Month (Units Sold), Table starts at A5</t>
  </si>
  <si>
    <t>Apr</t>
  </si>
  <si>
    <t>Jun</t>
  </si>
  <si>
    <t>Widget A</t>
  </si>
  <si>
    <t>Widget B</t>
  </si>
  <si>
    <t>Widget C</t>
  </si>
  <si>
    <t>Widget D</t>
  </si>
  <si>
    <t>Widget E</t>
  </si>
  <si>
    <t>Q2. Use MATCH to find which column number 'Apr' occupies within the header row.</t>
  </si>
  <si>
    <t>Q3. Combine INDEX and MATCH to look up the sales of 'Widget B' in 'May' without hardcoding row or column numbers.</t>
  </si>
  <si>
    <t>Q4. Starting from the 'Widget A / Jan' cell as the reference point, use OFFSET to retrieve the value that is 2 rows down and 3 columns right of it. Which product/month does this correspond to?</t>
  </si>
  <si>
    <t>Q5. Use INDIRECT to build a cell reference dynamically from text, e.g. combine a row number and column letter typed in separate cells to fetch a value from the table.</t>
  </si>
  <si>
    <t>Q6. Use ROW() and COLUMN() to auto-generate a serial number list (1, 2, 3...) next to the Product column without typing the numbers manually.</t>
  </si>
  <si>
    <t>Q7. Use INDEX + MATCH (for the row) with the MAX function to find the product name with the highest sales in 'Jun', and use ADDRESS to return that cell's address.</t>
  </si>
  <si>
    <t>TOPIC 4: LOOKUP FUNCTIONS (VLOOKUP / HLOOKUP / INDEX-MATCH)</t>
  </si>
  <si>
    <t>Dataset A: Product Master — Zenith Electronics Store</t>
  </si>
  <si>
    <t>ProductID</t>
  </si>
  <si>
    <t>Product Name</t>
  </si>
  <si>
    <t>Unit Price (Rs.)</t>
  </si>
  <si>
    <t>P001</t>
  </si>
  <si>
    <t>LED Bulb 9W</t>
  </si>
  <si>
    <t>Lighting</t>
  </si>
  <si>
    <t>P002</t>
  </si>
  <si>
    <t>Ceiling Fan</t>
  </si>
  <si>
    <t>Appliances</t>
  </si>
  <si>
    <t>P003</t>
  </si>
  <si>
    <t>USB Cable</t>
  </si>
  <si>
    <t>Accessories</t>
  </si>
  <si>
    <t>P004</t>
  </si>
  <si>
    <t>Bluetooth Speaker</t>
  </si>
  <si>
    <t>Electronics</t>
  </si>
  <si>
    <t>P005</t>
  </si>
  <si>
    <t>Wall Clock</t>
  </si>
  <si>
    <t>Home Decor</t>
  </si>
  <si>
    <t>P006</t>
  </si>
  <si>
    <t>Extension Board</t>
  </si>
  <si>
    <t>P007</t>
  </si>
  <si>
    <t>Table Lamp</t>
  </si>
  <si>
    <t>P008</t>
  </si>
  <si>
    <t>Mixer Grinder</t>
  </si>
  <si>
    <t>Dataset B: Order Details (Order Day — 14 Aug 2026)</t>
  </si>
  <si>
    <t>OrderID</t>
  </si>
  <si>
    <t>Product Name (Q1)</t>
  </si>
  <si>
    <t>Unit Price (Q2)</t>
  </si>
  <si>
    <t>Total Amount (Q3)</t>
  </si>
  <si>
    <t>ORD-501</t>
  </si>
  <si>
    <t>ORD-502</t>
  </si>
  <si>
    <t>ORD-503</t>
  </si>
  <si>
    <t>ORD-504</t>
  </si>
  <si>
    <t>ORD-505</t>
  </si>
  <si>
    <t>ORD-506</t>
  </si>
  <si>
    <t>Dataset C: Quantity-based Discount Slabs (for approximate-match VLOOKUP)</t>
  </si>
  <si>
    <t>Min Qty</t>
  </si>
  <si>
    <t>Discount %</t>
  </si>
  <si>
    <t>0%</t>
  </si>
  <si>
    <t>5%</t>
  </si>
  <si>
    <t>10%</t>
  </si>
  <si>
    <t>15%</t>
  </si>
  <si>
    <t>Dataset D: Two-way Matrix — Region-wise Monthly Revenue (Rs. '000)</t>
  </si>
  <si>
    <t>Q1. In Dataset B, use VLOOKUP to fetch the 'Product Name' for each OrderID by looking up ProductID in Dataset A.</t>
  </si>
  <si>
    <t>Q2. Use VLOOKUP to fetch the 'Unit Price' for each order, then calculate 'Total Amount' as Unit Price x Quantity.</t>
  </si>
  <si>
    <t>Q3. Rewrite Question 1 using INDEX + MATCH instead of VLOOKUP, and confirm you get the same product names.</t>
  </si>
  <si>
    <t>Q4. Use VLOOKUP with an APPROXIMATE match (TRUE / 1) on Dataset C to find the discount % applicable to an order with Quantity=8 and Quantity=15.</t>
  </si>
  <si>
    <t>Q5. Using Dataset D, write an HLOOKUP formula to find North region's revenue for 'Mar'.</t>
  </si>
  <si>
    <t>Q6. Using Dataset D, write an INDEX + MATCH + MATCH (two-way lookup) formula to find the revenue for Region='East' and Month='Feb' without hardcoding row/column numbers.</t>
  </si>
  <si>
    <t>Q7. A customer asks: 'What product costs exactly Rs. 1499?' Write a formula (INDEX+MATCH or VLOOKUP with a helper) to return the Product Name for a given Unit Price.</t>
  </si>
  <si>
    <t>TOPIC 5: RANK FUNCTION</t>
  </si>
  <si>
    <t>Dataset: District Athletics Meet — 100m Sprint &amp; Overall Points</t>
  </si>
  <si>
    <t>Athlete</t>
  </si>
  <si>
    <t>School</t>
  </si>
  <si>
    <t>100m Time (sec)</t>
  </si>
  <si>
    <t>Rank by Time (Q1)</t>
  </si>
  <si>
    <t>Points Scored</t>
  </si>
  <si>
    <t>Rank by Points (Q2)</t>
  </si>
  <si>
    <t>Rahul Verma</t>
  </si>
  <si>
    <t>St. Xavier's</t>
  </si>
  <si>
    <t>Fatima Sheikh</t>
  </si>
  <si>
    <t>DPS</t>
  </si>
  <si>
    <t>Ganesh Naidu</t>
  </si>
  <si>
    <t>Ryan Intl.</t>
  </si>
  <si>
    <t>Aisha Khan</t>
  </si>
  <si>
    <t>Suresh Yadav</t>
  </si>
  <si>
    <t>Neha Thakur</t>
  </si>
  <si>
    <t>Vikas Bansal</t>
  </si>
  <si>
    <t>Delhi Public</t>
  </si>
  <si>
    <t>Rina Kapoor</t>
  </si>
  <si>
    <t>Q1. In 100m sprint, LOWER time is better. Use RANK (with the correct order argument) to rank athletes by 'Time' from fastest to slowest.</t>
  </si>
  <si>
    <t>Q2. For overall 'Points Scored', HIGHER is better. Use RANK to rank athletes from highest to lowest points.</t>
  </si>
  <si>
    <t>Q3. Use the LARGE function to find the 2nd highest points scored in the tournament.</t>
  </si>
  <si>
    <t>Q4. Use the SMALL function to find the 3rd fastest (lowest) 100m time.</t>
  </si>
  <si>
    <t>Q5. Notice that two athletes (Fatima Sheikh and Neha Thakur) are tied at 91 points. Use RANK.EQ to rank them, then explain using RANK.AVG how the rank would differ for tied values.</t>
  </si>
  <si>
    <t>Q6. Write a formula combining IF and RANK that displays "Gold Medal" for Rank 1, "Silver Medal" for Rank 2, "Bronze Medal" for Rank 3, and blank otherwise (based on Points rank).</t>
  </si>
  <si>
    <t>MEDAL</t>
  </si>
  <si>
    <t>TOPIC 6: MISCELLANEOUS FUNCTIONS (COUNT family, SUMPRODUCT, TEXT)</t>
  </si>
  <si>
    <t>Dataset: Warehouse Inventory — FreshMart Distribution Center</t>
  </si>
  <si>
    <t>Item Code</t>
  </si>
  <si>
    <t>Item Name</t>
  </si>
  <si>
    <t>Stock Qty</t>
  </si>
  <si>
    <t>Reorder Level</t>
  </si>
  <si>
    <t>Notes</t>
  </si>
  <si>
    <t xml:space="preserve">  itm-001</t>
  </si>
  <si>
    <t>rice bag 25kg</t>
  </si>
  <si>
    <t>Grocery</t>
  </si>
  <si>
    <t>ITM-002</t>
  </si>
  <si>
    <t>Cooking Oil 5L</t>
  </si>
  <si>
    <t>ITM-003</t>
  </si>
  <si>
    <t xml:space="preserve">  LED Tube Light</t>
  </si>
  <si>
    <t>ITM-004</t>
  </si>
  <si>
    <t>Notebook Pack</t>
  </si>
  <si>
    <t>Stationery</t>
  </si>
  <si>
    <t>ITM-005</t>
  </si>
  <si>
    <t>wireless mouse</t>
  </si>
  <si>
    <t>ITM-006</t>
  </si>
  <si>
    <t>Detergent 1kg</t>
  </si>
  <si>
    <t>ITM-007</t>
  </si>
  <si>
    <t>ITM-008</t>
  </si>
  <si>
    <t xml:space="preserve">  ball pen box  </t>
  </si>
  <si>
    <t>Q1. count how many items currently have Stock Qty BELOW their Reorder Level (i.e., need restocking).</t>
  </si>
  <si>
    <t>Q2.  count items in the 'Electronics' category that have Stock Qty equal to 0 (out of stock).</t>
  </si>
  <si>
    <t>Q3. count the number of non-blank entries in the 'Item Name' column (note: one item name is missing).</t>
  </si>
  <si>
    <t>Q4. count how many cells are blank in the 'Item Name' column.</t>
  </si>
  <si>
    <t>Q5. calculate the total inventory value (Stock Qty x Unit Price) for the entire warehouse in a single formula.</t>
  </si>
  <si>
    <t>Q6. Use the &amp; operator or CONCATENATE to create a combined 'Label' text such as 'ITM-001 - Rice Bag 25kg' for each row.</t>
  </si>
  <si>
    <t>Q7. Item names have inconsistent capitalization. Use PROPER (or UPPER/LOWER) to standardize all item names to Proper Case in a new column.</t>
  </si>
  <si>
    <t>Q8. Some Item Codes have extra leading/trailing spaces (e.g., '  itm-001'). Use TRIM combined with UPPER to clean and standardize them.</t>
  </si>
  <si>
    <t>Q7</t>
  </si>
  <si>
    <t>Q8</t>
  </si>
  <si>
    <t>TOPIC 10: WHAT-IF ANALYSIS (Goal Seek / Data Table / Scenario Manager)</t>
  </si>
  <si>
    <t>Dataset A: Home Loan EMI Calculator — Trustworthy Bank Ltd.</t>
  </si>
  <si>
    <t>Loan Amount (Rs.)</t>
  </si>
  <si>
    <t>Annual Interest Rate</t>
  </si>
  <si>
    <t>Tenure (Years)</t>
  </si>
  <si>
    <t>Monthly EMI</t>
  </si>
  <si>
    <t>Dataset B: Monthly Sales &amp; Profit Planning — Sunrise Retail Stores</t>
  </si>
  <si>
    <t>Assumption</t>
  </si>
  <si>
    <t>Base Case Value</t>
  </si>
  <si>
    <t>Units Sold per Month</t>
  </si>
  <si>
    <t>Selling Price per Unit (Rs.)</t>
  </si>
  <si>
    <t>Variable Cost per Unit (Rs.)</t>
  </si>
  <si>
    <t>Fixed Monthly Cost (Rs.)</t>
  </si>
  <si>
    <t>Monthly Profit (Rs.)</t>
  </si>
  <si>
    <t>Q1. Using Dataset A, the bank's PMT-based EMI formula is already entered. Use GOAL SEEK to find the Tenure (in years) required to bring the Monthly EMI down to exactly Rs. 25,000 (keep Loan Amount and Interest Rate fixed). Describe the exact Goal Seek dialog values you would set (Set cell / To value / By changing cell).</t>
  </si>
  <si>
    <t>Q2. Build a ONE-VARIABLE DATA TABLE that shows how the Monthly EMI changes as the Annual Interest Rate varies from 7% to 11% in steps of 0.5% (keep Loan Amount and Tenure fixed). List the Data Table row/column input cell you would use.</t>
  </si>
  <si>
    <t>Q3. Build a TWO-VARIABLE DATA TABLE that shows Monthly EMI for combinations of Interest Rate (7%–11%) across the columns and Tenure (10, 15, 20, 25 years) down the rows.</t>
  </si>
  <si>
    <t>Q4. Using Dataset B, use SCENARIO MANAGER to create three scenarios — 'Best Case' (Units=1400, Price=900), 'Worst Case' (Units=650, Price=780), and 'Most Likely' (values as given) — then generate a Scenario Summary report showing the resulting Monthly Profit for each.</t>
  </si>
  <si>
    <t>Q5. Using Dataset B, use GOAL SEEK to determine how many Units must be sold per month to achieve a target Monthly Profit of Rs. 5,00,000, keeping Price, Variable Cost and Fixed Cost unchanged.</t>
  </si>
  <si>
    <t>$B$11</t>
  </si>
  <si>
    <t>$B$12</t>
  </si>
  <si>
    <t>$B$15</t>
  </si>
  <si>
    <t>Best case</t>
  </si>
  <si>
    <t>Created by software on 29-09-2026</t>
  </si>
  <si>
    <t>Worst case</t>
  </si>
  <si>
    <t>Most Likely</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</si>
  <si>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</si>
  <si>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</si>
  <si>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</si>
  <si>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</si>
  <si>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</si>
  <si>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</si>
  <si>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</si>
  <si>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TOPIC 11: DATA VALIDATION</t>
  </si>
  <si>
    <t>Dataset: Online Order Entry Form — QuickCart E-commerce</t>
  </si>
  <si>
    <t>Customer Name</t>
  </si>
  <si>
    <t>Product Category</t>
  </si>
  <si>
    <t>Delivery Date</t>
  </si>
  <si>
    <t>Payment Mode</t>
  </si>
  <si>
    <t>ORD1001</t>
  </si>
  <si>
    <t>Ramesh Iyer</t>
  </si>
  <si>
    <t>UPI</t>
  </si>
  <si>
    <t>ORD1002</t>
  </si>
  <si>
    <t>Sneha Kapoor</t>
  </si>
  <si>
    <t>Clothing</t>
  </si>
  <si>
    <t>Card</t>
  </si>
  <si>
    <t>ORD1003</t>
  </si>
  <si>
    <t>Aditya Roy</t>
  </si>
  <si>
    <t>Cash</t>
  </si>
  <si>
    <t>Q1. Apply LIST-based Data Validation on the 'Product Category' column restricting entries to: Electronics, Clothing, Grocery, Furniture.</t>
  </si>
  <si>
    <t>Q2. Apply Data Validation on 'Quantity' to allow only WHOLE NUMBERS between 1 and 50. Set a custom error message: 'Enter a value between 1 and 50'.</t>
  </si>
  <si>
    <t>Q3. Apply Data Validation on 'Delivery Date' so that only dates AFTER today (TODAY()) can be entered.</t>
  </si>
  <si>
    <t>Q4. Apply LIST-based Data Validation on 'Payment Mode' restricting entries to: Cash, Card, UPI, NetBanking.</t>
  </si>
  <si>
    <t>Q5. Apply a CUSTOM FORMULA Data Validation on 'Order ID' that prevents duplicate Order IDs from being entered (Hint: use COUNTIF(range,cell)&lt;=1).</t>
  </si>
  <si>
    <t>Q6. Apply Data Validation on 'Customer Name' restricting text length to a maximum of 30 characters, and add an Input Message that guides the user before they type.</t>
  </si>
  <si>
    <t>Customer rating</t>
  </si>
  <si>
    <t>TOPIC 12: CONDITIONAL FORMATTING</t>
  </si>
  <si>
    <t>Dataset: Monthly Sales Target Achievement — Sunrise Retail Stores, Aug 2026</t>
  </si>
  <si>
    <t>Sales Rep</t>
  </si>
  <si>
    <t>Target (Rs.)</t>
  </si>
  <si>
    <t>Achieved (Rs.)</t>
  </si>
  <si>
    <t>% Achievement</t>
  </si>
  <si>
    <t>Q1. Apply Conditional Formatting to highlight (in red fill) every 'Achieved' cell that is LESS THAN the corresponding 'Target' cell.</t>
  </si>
  <si>
    <t>Q2. Apply a 3-color Color Scale (red-yellow-green) to the '% Achievement' column so low performers show red and high performers show green.</t>
  </si>
  <si>
    <t>Q3. Apply Data Bars to the 'Achieved' column to visually compare sales figures at a glance.</t>
  </si>
  <si>
    <t>Q4. Apply an Icon Set (e.g., Traffic Lights) to the '% Achievement' column: green for &gt;=100%, yellow for 80-99%, red for below 80%.</t>
  </si>
  <si>
    <t>Q5. Notice 'Ravi Kumar' appears twice in the Sales Rep column. Apply Conditional Formatting using 'Highlight Duplicate Values' to flag repeated names.</t>
  </si>
  <si>
    <t>Q6. Write a FORMULA-BASED conditional formatting rule that highlights the ENTIRE ROW in light green whenever '% Achievement' is 100% or more (Hint: use a formula like =$D5&gt;=1 applied to the full row range).</t>
  </si>
  <si>
    <t>Q7. Apply Conditional Formatting using 'Top 10%' and 'Bottom 10%' rules on the 'Achieved' column to instantly spot the best and weakest performers.</t>
  </si>
  <si>
    <t>Order Date</t>
  </si>
  <si>
    <t>Unit Price</t>
  </si>
  <si>
    <t>Sales Amount</t>
  </si>
  <si>
    <t>Payment Method</t>
  </si>
  <si>
    <t>Filing Cabinet</t>
  </si>
  <si>
    <t>Debit Card</t>
  </si>
  <si>
    <t>Furniture</t>
  </si>
  <si>
    <t>Bed Frame</t>
  </si>
  <si>
    <t>Gel Pens (10)</t>
  </si>
  <si>
    <t>Credit Card</t>
  </si>
  <si>
    <t>Swati Pandey</t>
  </si>
  <si>
    <t>Office Chair</t>
  </si>
  <si>
    <t>Sugar 1kg</t>
  </si>
  <si>
    <t>Karan Mukherjee</t>
  </si>
  <si>
    <t>Sunflower Oil 1L</t>
  </si>
  <si>
    <t>Online</t>
  </si>
  <si>
    <t>LED Bulb</t>
  </si>
  <si>
    <t>Basmati Rice 5kg</t>
  </si>
  <si>
    <t>Apparel</t>
  </si>
  <si>
    <t>Woolen Sweater</t>
  </si>
  <si>
    <t>Priya Bose</t>
  </si>
  <si>
    <t>Kurta Set</t>
  </si>
  <si>
    <t>Divya Reddy</t>
  </si>
  <si>
    <t>Simran Bose</t>
  </si>
  <si>
    <t>Green Tea Pack</t>
  </si>
  <si>
    <t>Sofa Cushion</t>
  </si>
  <si>
    <t>Isha Iyer</t>
  </si>
  <si>
    <t>Meera Rao</t>
  </si>
  <si>
    <t>Wheat Flour 5kg</t>
  </si>
  <si>
    <t>Whiteboard Marker</t>
  </si>
  <si>
    <t>Returned</t>
  </si>
  <si>
    <t>Shalini Joshi</t>
  </si>
  <si>
    <t>Study Table</t>
  </si>
  <si>
    <t>Anjali Singh</t>
  </si>
  <si>
    <t>Cotton T-Shirt</t>
  </si>
  <si>
    <t>Sports Shorts</t>
  </si>
  <si>
    <t>Kavya Chauhan</t>
  </si>
  <si>
    <t>Ajay Reddy</t>
  </si>
  <si>
    <t>Electronic</t>
  </si>
  <si>
    <t>Sticky Notes</t>
  </si>
  <si>
    <t>Meera Singh</t>
  </si>
  <si>
    <t>Headphones</t>
  </si>
  <si>
    <t>Wireless Mouse</t>
  </si>
  <si>
    <t>Suresh Mukherjee</t>
  </si>
  <si>
    <t>Stapler</t>
  </si>
  <si>
    <t>Sanjay Rao</t>
  </si>
  <si>
    <t>Anjali Pandey</t>
  </si>
  <si>
    <t>Amit Bose</t>
  </si>
  <si>
    <t>Sneha Chauhan</t>
  </si>
  <si>
    <t>Formal Shirt</t>
  </si>
  <si>
    <t>Cancelled</t>
  </si>
  <si>
    <t>Arjun Chatterjee</t>
  </si>
  <si>
    <t>Webcam</t>
  </si>
  <si>
    <t>Power Bank</t>
  </si>
  <si>
    <t>Anjali Iyer</t>
  </si>
  <si>
    <t>Ravi Joshi</t>
  </si>
  <si>
    <t>Toor Dal 1kg</t>
  </si>
  <si>
    <t>Ritu Chatterjee</t>
  </si>
  <si>
    <t>Rohit Pillai</t>
  </si>
  <si>
    <t>Suresh Rao</t>
  </si>
  <si>
    <t>File Folder</t>
  </si>
  <si>
    <t>Priya Das</t>
  </si>
  <si>
    <t>Rohit Chatterjee</t>
  </si>
  <si>
    <t>Isha Verma</t>
  </si>
  <si>
    <t>Meera Nair</t>
  </si>
  <si>
    <t>Divya Gupta</t>
  </si>
  <si>
    <t>Tanvi Kapoor</t>
  </si>
  <si>
    <t>Deepa Chauhan</t>
  </si>
  <si>
    <t>Nikhil Bose</t>
  </si>
  <si>
    <t>Priya Pillai</t>
  </si>
  <si>
    <t>Vikram Menon</t>
  </si>
  <si>
    <t>Kavya Joshi</t>
  </si>
  <si>
    <t>Simran Malhotra</t>
  </si>
  <si>
    <t>Pooja Kumar</t>
  </si>
  <si>
    <t>Vivek Chatterjee</t>
  </si>
  <si>
    <t>Gaurav Reddy</t>
  </si>
  <si>
    <t>Ritu Kumar</t>
  </si>
  <si>
    <t>Neha Mukherjee</t>
  </si>
  <si>
    <t>Harsh Chatterjee</t>
  </si>
  <si>
    <t>Manoj Sharma</t>
  </si>
  <si>
    <t>Kavya Mukherjee</t>
  </si>
  <si>
    <t>Gaurav Mukherjee</t>
  </si>
  <si>
    <t>Tanvi Verma</t>
  </si>
  <si>
    <t>Sneha Nair</t>
  </si>
  <si>
    <t>Neha Rao</t>
  </si>
  <si>
    <t>Sanjay Chauhan</t>
  </si>
  <si>
    <t>Ajay Verma</t>
  </si>
  <si>
    <t>Sneha Gupta</t>
  </si>
  <si>
    <t>Nikhil Pillai</t>
  </si>
  <si>
    <t>Vivek Singh</t>
  </si>
  <si>
    <t>Manoj Chauhan</t>
  </si>
  <si>
    <t>Isha Kapoor</t>
  </si>
  <si>
    <t>Deepa Malhotra</t>
  </si>
  <si>
    <t>Sanjay Das</t>
  </si>
  <si>
    <t>Nikhil Chatterjee</t>
  </si>
  <si>
    <t>Amit Pillai</t>
  </si>
  <si>
    <t>Arjun Gupta</t>
  </si>
  <si>
    <t>Ajay Nair</t>
  </si>
  <si>
    <t>Pooja Verma</t>
  </si>
  <si>
    <t>Divya Das</t>
  </si>
  <si>
    <t>Priya Iyer</t>
  </si>
  <si>
    <t>Arjun Malhotra</t>
  </si>
  <si>
    <t>Unknown</t>
  </si>
  <si>
    <t>Upi</t>
  </si>
  <si>
    <t>Stationaries</t>
  </si>
  <si>
    <t xml:space="preserve">Online </t>
  </si>
  <si>
    <t>Not Available</t>
  </si>
  <si>
    <t>Sum of Sales Amount</t>
  </si>
  <si>
    <t>Total</t>
  </si>
  <si>
    <t>Total sales by each region</t>
  </si>
  <si>
    <t>Total sales by each category</t>
  </si>
  <si>
    <t>Months (Order Date)</t>
  </si>
  <si>
    <t>Jul</t>
  </si>
  <si>
    <t>Aug</t>
  </si>
  <si>
    <t>Sep</t>
  </si>
  <si>
    <t>Oct</t>
  </si>
  <si>
    <t>Nov</t>
  </si>
  <si>
    <t>Dec</t>
  </si>
  <si>
    <t>Monthly sales amount</t>
  </si>
  <si>
    <t>Total sales by each product</t>
  </si>
  <si>
    <t>Count of Payment Method</t>
  </si>
  <si>
    <t>Sum of Quantity</t>
  </si>
  <si>
    <t>Average of Quantity</t>
  </si>
  <si>
    <t>Count of Product</t>
  </si>
  <si>
    <t>AVG QTY</t>
  </si>
  <si>
    <t>SUM OF AMOUNT</t>
  </si>
  <si>
    <t>COUNT OF PRODUCT</t>
  </si>
  <si>
    <t>Count of Customer Name</t>
  </si>
  <si>
    <t>COUNT OF CUSTOMER</t>
  </si>
  <si>
    <t>Customer ID</t>
  </si>
  <si>
    <t>Brand</t>
  </si>
  <si>
    <t>Discount</t>
  </si>
  <si>
    <t>Profit</t>
  </si>
  <si>
    <t>City</t>
  </si>
  <si>
    <t>State</t>
  </si>
  <si>
    <t>Salesperson</t>
  </si>
  <si>
    <t>Delivery Status</t>
  </si>
  <si>
    <t>Customer Rating</t>
  </si>
  <si>
    <t>O00001</t>
  </si>
  <si>
    <t>C00001</t>
  </si>
  <si>
    <t>Customer 1</t>
  </si>
  <si>
    <t>Watch</t>
  </si>
  <si>
    <t>Fossil</t>
  </si>
  <si>
    <t>Hyderabad</t>
  </si>
  <si>
    <t>Telangana</t>
  </si>
  <si>
    <t>Anil</t>
  </si>
  <si>
    <t>Shipped</t>
  </si>
  <si>
    <t>O00002</t>
  </si>
  <si>
    <t>C00002</t>
  </si>
  <si>
    <t>Customer 2</t>
  </si>
  <si>
    <t>Chennai</t>
  </si>
  <si>
    <t>Tamil Nadu</t>
  </si>
  <si>
    <t>Delivered</t>
  </si>
  <si>
    <t>O00003</t>
  </si>
  <si>
    <t>C00003</t>
  </si>
  <si>
    <t>Customer 3</t>
  </si>
  <si>
    <t>Book</t>
  </si>
  <si>
    <t>Books</t>
  </si>
  <si>
    <t>Penguin</t>
  </si>
  <si>
    <t>Net Banking</t>
  </si>
  <si>
    <t>Asha</t>
  </si>
  <si>
    <t>O00004</t>
  </si>
  <si>
    <t>C00004</t>
  </si>
  <si>
    <t>Customer 4</t>
  </si>
  <si>
    <t>Shoes</t>
  </si>
  <si>
    <t>Fashion</t>
  </si>
  <si>
    <t>Nike</t>
  </si>
  <si>
    <t>Bengaluru</t>
  </si>
  <si>
    <t>Karnataka</t>
  </si>
  <si>
    <t>John</t>
  </si>
  <si>
    <t>O00005</t>
  </si>
  <si>
    <t>C00005</t>
  </si>
  <si>
    <t>Customer 5</t>
  </si>
  <si>
    <t>Rahul</t>
  </si>
  <si>
    <t>O00006</t>
  </si>
  <si>
    <t>C00006</t>
  </si>
  <si>
    <t>Customer 6</t>
  </si>
  <si>
    <t>Phone</t>
  </si>
  <si>
    <t>Samsung</t>
  </si>
  <si>
    <t>O00007</t>
  </si>
  <si>
    <t>C00007</t>
  </si>
  <si>
    <t>Customer 7</t>
  </si>
  <si>
    <t>Sony</t>
  </si>
  <si>
    <t>Kochi</t>
  </si>
  <si>
    <t>Kerala</t>
  </si>
  <si>
    <t>O00008</t>
  </si>
  <si>
    <t>C00008</t>
  </si>
  <si>
    <t>Customer 8</t>
  </si>
  <si>
    <t>Laptop</t>
  </si>
  <si>
    <t>Dell</t>
  </si>
  <si>
    <t>Wallet</t>
  </si>
  <si>
    <t>O00009</t>
  </si>
  <si>
    <t>C00009</t>
  </si>
  <si>
    <t>Customer 9</t>
  </si>
  <si>
    <t>Priya</t>
  </si>
  <si>
    <t>O00010</t>
  </si>
  <si>
    <t>C00010</t>
  </si>
  <si>
    <t>Customer 10</t>
  </si>
  <si>
    <t>Delhi</t>
  </si>
  <si>
    <t>O00011</t>
  </si>
  <si>
    <t>C00011</t>
  </si>
  <si>
    <t>Customer 11</t>
  </si>
  <si>
    <t>O00012</t>
  </si>
  <si>
    <t>C00012</t>
  </si>
  <si>
    <t>Customer 12</t>
  </si>
  <si>
    <t>Mixer</t>
  </si>
  <si>
    <t>Home</t>
  </si>
  <si>
    <t>Philips</t>
  </si>
  <si>
    <t>Mumbai</t>
  </si>
  <si>
    <t>Maharashtra</t>
  </si>
  <si>
    <t>O00013</t>
  </si>
  <si>
    <t>C00013</t>
  </si>
  <si>
    <t>Customer 13</t>
  </si>
  <si>
    <t>O00014</t>
  </si>
  <si>
    <t>C00014</t>
  </si>
  <si>
    <t>Customer 14</t>
  </si>
  <si>
    <t>Chair</t>
  </si>
  <si>
    <t>Ikea</t>
  </si>
  <si>
    <t>O00015</t>
  </si>
  <si>
    <t>C00015</t>
  </si>
  <si>
    <t>Customer 15</t>
  </si>
  <si>
    <t>O00016</t>
  </si>
  <si>
    <t>C00016</t>
  </si>
  <si>
    <t>Customer 16</t>
  </si>
  <si>
    <t>O00017</t>
  </si>
  <si>
    <t>C00017</t>
  </si>
  <si>
    <t>Customer 17</t>
  </si>
  <si>
    <t>COD</t>
  </si>
  <si>
    <t>O00018</t>
  </si>
  <si>
    <t>C00018</t>
  </si>
  <si>
    <t>Customer 18</t>
  </si>
  <si>
    <t>O00019</t>
  </si>
  <si>
    <t>C00019</t>
  </si>
  <si>
    <t>Customer 19</t>
  </si>
  <si>
    <t>O00020</t>
  </si>
  <si>
    <t>C00020</t>
  </si>
  <si>
    <t>Customer 20</t>
  </si>
  <si>
    <t>O00021</t>
  </si>
  <si>
    <t>C00021</t>
  </si>
  <si>
    <t>Customer 21</t>
  </si>
  <si>
    <t>O00022</t>
  </si>
  <si>
    <t>C00022</t>
  </si>
  <si>
    <t>Customer 22</t>
  </si>
  <si>
    <t>O00023</t>
  </si>
  <si>
    <t>C00023</t>
  </si>
  <si>
    <t>Customer 23</t>
  </si>
  <si>
    <t>O00024</t>
  </si>
  <si>
    <t>C00024</t>
  </si>
  <si>
    <t>Customer 24</t>
  </si>
  <si>
    <t>O00025</t>
  </si>
  <si>
    <t>C00025</t>
  </si>
  <si>
    <t>Customer 25</t>
  </si>
  <si>
    <t>O00026</t>
  </si>
  <si>
    <t>C00026</t>
  </si>
  <si>
    <t>Customer 26</t>
  </si>
  <si>
    <t>O00027</t>
  </si>
  <si>
    <t>C00027</t>
  </si>
  <si>
    <t>Customer 27</t>
  </si>
  <si>
    <t>O00028</t>
  </si>
  <si>
    <t>C00028</t>
  </si>
  <si>
    <t>Customer 28</t>
  </si>
  <si>
    <t>O00029</t>
  </si>
  <si>
    <t>C00029</t>
  </si>
  <si>
    <t>Customer 29</t>
  </si>
  <si>
    <t>O00030</t>
  </si>
  <si>
    <t>C00030</t>
  </si>
  <si>
    <t>Customer 30</t>
  </si>
  <si>
    <t>O00031</t>
  </si>
  <si>
    <t>C00031</t>
  </si>
  <si>
    <t>Customer 31</t>
  </si>
  <si>
    <t>O00032</t>
  </si>
  <si>
    <t>C00032</t>
  </si>
  <si>
    <t>Customer 32</t>
  </si>
  <si>
    <t>O00033</t>
  </si>
  <si>
    <t>C00033</t>
  </si>
  <si>
    <t>Customer 33</t>
  </si>
  <si>
    <t>O00034</t>
  </si>
  <si>
    <t>C00034</t>
  </si>
  <si>
    <t>Customer 34</t>
  </si>
  <si>
    <t>O00035</t>
  </si>
  <si>
    <t>C00035</t>
  </si>
  <si>
    <t>Customer 35</t>
  </si>
  <si>
    <t>O00036</t>
  </si>
  <si>
    <t>C00036</t>
  </si>
  <si>
    <t>Customer 36</t>
  </si>
  <si>
    <t>O00037</t>
  </si>
  <si>
    <t>C00037</t>
  </si>
  <si>
    <t>Customer 37</t>
  </si>
  <si>
    <t>O00038</t>
  </si>
  <si>
    <t>C00038</t>
  </si>
  <si>
    <t>Customer 38</t>
  </si>
  <si>
    <t>O00039</t>
  </si>
  <si>
    <t>C00039</t>
  </si>
  <si>
    <t>Customer 39</t>
  </si>
  <si>
    <t>O00040</t>
  </si>
  <si>
    <t>C00040</t>
  </si>
  <si>
    <t>Customer 40</t>
  </si>
  <si>
    <t>O00041</t>
  </si>
  <si>
    <t>C00041</t>
  </si>
  <si>
    <t>Customer 41</t>
  </si>
  <si>
    <t>O00042</t>
  </si>
  <si>
    <t>C00042</t>
  </si>
  <si>
    <t>Customer 42</t>
  </si>
  <si>
    <t>O00043</t>
  </si>
  <si>
    <t>C00043</t>
  </si>
  <si>
    <t>Customer 43</t>
  </si>
  <si>
    <t>O00044</t>
  </si>
  <si>
    <t>C00044</t>
  </si>
  <si>
    <t>Customer 44</t>
  </si>
  <si>
    <t>O00045</t>
  </si>
  <si>
    <t>C00045</t>
  </si>
  <si>
    <t>Customer 45</t>
  </si>
  <si>
    <t>O00046</t>
  </si>
  <si>
    <t>C00046</t>
  </si>
  <si>
    <t>Customer 46</t>
  </si>
  <si>
    <t>O00047</t>
  </si>
  <si>
    <t>C00047</t>
  </si>
  <si>
    <t>Customer 47</t>
  </si>
  <si>
    <t>O00048</t>
  </si>
  <si>
    <t>C00048</t>
  </si>
  <si>
    <t>Customer 48</t>
  </si>
  <si>
    <t>O00049</t>
  </si>
  <si>
    <t>C00049</t>
  </si>
  <si>
    <t>Customer 49</t>
  </si>
  <si>
    <t>O00050</t>
  </si>
  <si>
    <t>C00050</t>
  </si>
  <si>
    <t>Customer 50</t>
  </si>
  <si>
    <t>O00051</t>
  </si>
  <si>
    <t>C00051</t>
  </si>
  <si>
    <t>Customer 51</t>
  </si>
  <si>
    <t>O00052</t>
  </si>
  <si>
    <t>C00052</t>
  </si>
  <si>
    <t>Customer 52</t>
  </si>
  <si>
    <t>O00053</t>
  </si>
  <si>
    <t>C00053</t>
  </si>
  <si>
    <t>Customer 53</t>
  </si>
  <si>
    <t>O00054</t>
  </si>
  <si>
    <t>C00054</t>
  </si>
  <si>
    <t>Customer 54</t>
  </si>
  <si>
    <t>O00055</t>
  </si>
  <si>
    <t>C00055</t>
  </si>
  <si>
    <t>Customer 55</t>
  </si>
  <si>
    <t>O00056</t>
  </si>
  <si>
    <t>C00056</t>
  </si>
  <si>
    <t>Customer 56</t>
  </si>
  <si>
    <t>O00057</t>
  </si>
  <si>
    <t>C00057</t>
  </si>
  <si>
    <t>Customer 57</t>
  </si>
  <si>
    <t>O00058</t>
  </si>
  <si>
    <t>C00058</t>
  </si>
  <si>
    <t>Customer 58</t>
  </si>
  <si>
    <t>O00059</t>
  </si>
  <si>
    <t>C00059</t>
  </si>
  <si>
    <t>Customer 59</t>
  </si>
  <si>
    <t>O00060</t>
  </si>
  <si>
    <t>C00060</t>
  </si>
  <si>
    <t>Customer 60</t>
  </si>
  <si>
    <t>O00061</t>
  </si>
  <si>
    <t>C00061</t>
  </si>
  <si>
    <t>Customer 61</t>
  </si>
  <si>
    <t>O00062</t>
  </si>
  <si>
    <t>C00062</t>
  </si>
  <si>
    <t>Customer 62</t>
  </si>
  <si>
    <t>O00063</t>
  </si>
  <si>
    <t>C00063</t>
  </si>
  <si>
    <t>Customer 63</t>
  </si>
  <si>
    <t>O00064</t>
  </si>
  <si>
    <t>C00064</t>
  </si>
  <si>
    <t>Customer 64</t>
  </si>
  <si>
    <t>O00065</t>
  </si>
  <si>
    <t>C00065</t>
  </si>
  <si>
    <t>Customer 65</t>
  </si>
  <si>
    <t>O00066</t>
  </si>
  <si>
    <t>C00066</t>
  </si>
  <si>
    <t>Customer 66</t>
  </si>
  <si>
    <t>O00067</t>
  </si>
  <si>
    <t>C00067</t>
  </si>
  <si>
    <t>Customer 67</t>
  </si>
  <si>
    <t>O00068</t>
  </si>
  <si>
    <t>C00068</t>
  </si>
  <si>
    <t>Customer 68</t>
  </si>
  <si>
    <t>O00069</t>
  </si>
  <si>
    <t>C00069</t>
  </si>
  <si>
    <t>Customer 69</t>
  </si>
  <si>
    <t>O00070</t>
  </si>
  <si>
    <t>C00070</t>
  </si>
  <si>
    <t>Customer 70</t>
  </si>
  <si>
    <t>O00071</t>
  </si>
  <si>
    <t>C00071</t>
  </si>
  <si>
    <t>Customer 71</t>
  </si>
  <si>
    <t>O00072</t>
  </si>
  <si>
    <t>C00072</t>
  </si>
  <si>
    <t>Customer 72</t>
  </si>
  <si>
    <t>O00073</t>
  </si>
  <si>
    <t>C00073</t>
  </si>
  <si>
    <t>Customer 73</t>
  </si>
  <si>
    <t>O00074</t>
  </si>
  <si>
    <t>C00074</t>
  </si>
  <si>
    <t>Customer 74</t>
  </si>
  <si>
    <t>O00075</t>
  </si>
  <si>
    <t>C00075</t>
  </si>
  <si>
    <t>Customer 75</t>
  </si>
  <si>
    <t>O00076</t>
  </si>
  <si>
    <t>C00076</t>
  </si>
  <si>
    <t>Customer 76</t>
  </si>
  <si>
    <t>O00077</t>
  </si>
  <si>
    <t>C00077</t>
  </si>
  <si>
    <t>Customer 77</t>
  </si>
  <si>
    <t>O00078</t>
  </si>
  <si>
    <t>C00078</t>
  </si>
  <si>
    <t>Customer 78</t>
  </si>
  <si>
    <t>O00079</t>
  </si>
  <si>
    <t>C00079</t>
  </si>
  <si>
    <t>Customer 79</t>
  </si>
  <si>
    <t>O00080</t>
  </si>
  <si>
    <t>C00080</t>
  </si>
  <si>
    <t>Customer 80</t>
  </si>
  <si>
    <t>O00081</t>
  </si>
  <si>
    <t>C00081</t>
  </si>
  <si>
    <t>Customer 81</t>
  </si>
  <si>
    <t>O00082</t>
  </si>
  <si>
    <t>C00082</t>
  </si>
  <si>
    <t>Customer 82</t>
  </si>
  <si>
    <t>O00083</t>
  </si>
  <si>
    <t>C00083</t>
  </si>
  <si>
    <t>Customer 83</t>
  </si>
  <si>
    <t>O00084</t>
  </si>
  <si>
    <t>C00084</t>
  </si>
  <si>
    <t>Customer 84</t>
  </si>
  <si>
    <t>O00085</t>
  </si>
  <si>
    <t>C00085</t>
  </si>
  <si>
    <t>Customer 85</t>
  </si>
  <si>
    <t>O00086</t>
  </si>
  <si>
    <t>C00086</t>
  </si>
  <si>
    <t>Customer 86</t>
  </si>
  <si>
    <t>O00087</t>
  </si>
  <si>
    <t>C00087</t>
  </si>
  <si>
    <t>Customer 87</t>
  </si>
  <si>
    <t>O00088</t>
  </si>
  <si>
    <t>C00088</t>
  </si>
  <si>
    <t>Customer 88</t>
  </si>
  <si>
    <t>O00089</t>
  </si>
  <si>
    <t>C00089</t>
  </si>
  <si>
    <t>Customer 89</t>
  </si>
  <si>
    <t>O00090</t>
  </si>
  <si>
    <t>C00090</t>
  </si>
  <si>
    <t>Customer 90</t>
  </si>
  <si>
    <t>O00091</t>
  </si>
  <si>
    <t>C00091</t>
  </si>
  <si>
    <t>Customer 91</t>
  </si>
  <si>
    <t>O00092</t>
  </si>
  <si>
    <t>C00092</t>
  </si>
  <si>
    <t>Customer 92</t>
  </si>
  <si>
    <t>O00093</t>
  </si>
  <si>
    <t>C00093</t>
  </si>
  <si>
    <t>Customer 93</t>
  </si>
  <si>
    <t>O00094</t>
  </si>
  <si>
    <t>C00094</t>
  </si>
  <si>
    <t>Customer 94</t>
  </si>
  <si>
    <t>O00095</t>
  </si>
  <si>
    <t>C00095</t>
  </si>
  <si>
    <t>Customer 95</t>
  </si>
  <si>
    <t>O00096</t>
  </si>
  <si>
    <t>C00096</t>
  </si>
  <si>
    <t>Customer 96</t>
  </si>
  <si>
    <t>O00097</t>
  </si>
  <si>
    <t>C00097</t>
  </si>
  <si>
    <t>Customer 97</t>
  </si>
  <si>
    <t>O00098</t>
  </si>
  <si>
    <t>C00098</t>
  </si>
  <si>
    <t>Customer 98</t>
  </si>
  <si>
    <t>O00099</t>
  </si>
  <si>
    <t>C00099</t>
  </si>
  <si>
    <t>Customer 99</t>
  </si>
  <si>
    <t>O00100</t>
  </si>
  <si>
    <t>C00100</t>
  </si>
  <si>
    <t>Customer 100</t>
  </si>
  <si>
    <t>O00101</t>
  </si>
  <si>
    <t>C00101</t>
  </si>
  <si>
    <t>Customer 101</t>
  </si>
  <si>
    <t>O00102</t>
  </si>
  <si>
    <t>C00102</t>
  </si>
  <si>
    <t>Customer 102</t>
  </si>
  <si>
    <t>O00103</t>
  </si>
  <si>
    <t>C00103</t>
  </si>
  <si>
    <t>Customer 103</t>
  </si>
  <si>
    <t>O00104</t>
  </si>
  <si>
    <t>C00104</t>
  </si>
  <si>
    <t>Customer 104</t>
  </si>
  <si>
    <t>O00105</t>
  </si>
  <si>
    <t>C00105</t>
  </si>
  <si>
    <t>Customer 105</t>
  </si>
  <si>
    <t>O00106</t>
  </si>
  <si>
    <t>C00106</t>
  </si>
  <si>
    <t>Customer 106</t>
  </si>
  <si>
    <t>O00107</t>
  </si>
  <si>
    <t>C00107</t>
  </si>
  <si>
    <t>Customer 107</t>
  </si>
  <si>
    <t>O00108</t>
  </si>
  <si>
    <t>C00108</t>
  </si>
  <si>
    <t>Customer 108</t>
  </si>
  <si>
    <t>O00109</t>
  </si>
  <si>
    <t>C00109</t>
  </si>
  <si>
    <t>Customer 109</t>
  </si>
  <si>
    <t>O00110</t>
  </si>
  <si>
    <t>C00110</t>
  </si>
  <si>
    <t>Customer 110</t>
  </si>
  <si>
    <t>O00111</t>
  </si>
  <si>
    <t>C00111</t>
  </si>
  <si>
    <t>Customer 111</t>
  </si>
  <si>
    <t>O00112</t>
  </si>
  <si>
    <t>C00112</t>
  </si>
  <si>
    <t>Customer 112</t>
  </si>
  <si>
    <t>O00113</t>
  </si>
  <si>
    <t>C00113</t>
  </si>
  <si>
    <t>Customer 113</t>
  </si>
  <si>
    <t>O00114</t>
  </si>
  <si>
    <t>C00114</t>
  </si>
  <si>
    <t>Customer 114</t>
  </si>
  <si>
    <t>O00115</t>
  </si>
  <si>
    <t>C00115</t>
  </si>
  <si>
    <t>Customer 115</t>
  </si>
  <si>
    <t>O00116</t>
  </si>
  <si>
    <t>C00116</t>
  </si>
  <si>
    <t>Customer 116</t>
  </si>
  <si>
    <t>O00117</t>
  </si>
  <si>
    <t>C00117</t>
  </si>
  <si>
    <t>Customer 117</t>
  </si>
  <si>
    <t>O00118</t>
  </si>
  <si>
    <t>C00118</t>
  </si>
  <si>
    <t>Customer 118</t>
  </si>
  <si>
    <t>O00119</t>
  </si>
  <si>
    <t>C00119</t>
  </si>
  <si>
    <t>Customer 119</t>
  </si>
  <si>
    <t>O00120</t>
  </si>
  <si>
    <t>C00120</t>
  </si>
  <si>
    <t>Customer 120</t>
  </si>
  <si>
    <t>O00121</t>
  </si>
  <si>
    <t>C00121</t>
  </si>
  <si>
    <t>Customer 121</t>
  </si>
  <si>
    <t>O00122</t>
  </si>
  <si>
    <t>C00122</t>
  </si>
  <si>
    <t>Customer 122</t>
  </si>
  <si>
    <t>O00123</t>
  </si>
  <si>
    <t>C00123</t>
  </si>
  <si>
    <t>Customer 123</t>
  </si>
  <si>
    <t>O00124</t>
  </si>
  <si>
    <t>C00124</t>
  </si>
  <si>
    <t>Customer 124</t>
  </si>
  <si>
    <t>O00125</t>
  </si>
  <si>
    <t>C00125</t>
  </si>
  <si>
    <t>Customer 125</t>
  </si>
  <si>
    <t>O00126</t>
  </si>
  <si>
    <t>C00126</t>
  </si>
  <si>
    <t>Customer 126</t>
  </si>
  <si>
    <t>O00127</t>
  </si>
  <si>
    <t>C00127</t>
  </si>
  <si>
    <t>Customer 127</t>
  </si>
  <si>
    <t>O00128</t>
  </si>
  <si>
    <t>C00128</t>
  </si>
  <si>
    <t>Customer 128</t>
  </si>
  <si>
    <t>O00129</t>
  </si>
  <si>
    <t>C00129</t>
  </si>
  <si>
    <t>Customer 129</t>
  </si>
  <si>
    <t>O00130</t>
  </si>
  <si>
    <t>C00130</t>
  </si>
  <si>
    <t>Customer 130</t>
  </si>
  <si>
    <t>O00131</t>
  </si>
  <si>
    <t>C00131</t>
  </si>
  <si>
    <t>Customer 131</t>
  </si>
  <si>
    <t>O00132</t>
  </si>
  <si>
    <t>C00132</t>
  </si>
  <si>
    <t>Customer 132</t>
  </si>
  <si>
    <t>O00133</t>
  </si>
  <si>
    <t>C00133</t>
  </si>
  <si>
    <t>Customer 133</t>
  </si>
  <si>
    <t>O00134</t>
  </si>
  <si>
    <t>C00134</t>
  </si>
  <si>
    <t>Customer 134</t>
  </si>
  <si>
    <t>O00135</t>
  </si>
  <si>
    <t>C00135</t>
  </si>
  <si>
    <t>Customer 135</t>
  </si>
  <si>
    <t>O00136</t>
  </si>
  <si>
    <t>C00136</t>
  </si>
  <si>
    <t>Customer 136</t>
  </si>
  <si>
    <t>O00137</t>
  </si>
  <si>
    <t>C00137</t>
  </si>
  <si>
    <t>Customer 137</t>
  </si>
  <si>
    <t>O00138</t>
  </si>
  <si>
    <t>C00138</t>
  </si>
  <si>
    <t>Customer 138</t>
  </si>
  <si>
    <t>O00139</t>
  </si>
  <si>
    <t>C00139</t>
  </si>
  <si>
    <t>Customer 139</t>
  </si>
  <si>
    <t>O00140</t>
  </si>
  <si>
    <t>C00140</t>
  </si>
  <si>
    <t>Customer 140</t>
  </si>
  <si>
    <t>O00141</t>
  </si>
  <si>
    <t>C00141</t>
  </si>
  <si>
    <t>Customer 141</t>
  </si>
  <si>
    <t>O00142</t>
  </si>
  <si>
    <t>C00142</t>
  </si>
  <si>
    <t>Customer 142</t>
  </si>
  <si>
    <t>O00143</t>
  </si>
  <si>
    <t>C00143</t>
  </si>
  <si>
    <t>Customer 143</t>
  </si>
  <si>
    <t>O00144</t>
  </si>
  <si>
    <t>C00144</t>
  </si>
  <si>
    <t>Customer 144</t>
  </si>
  <si>
    <t>O00145</t>
  </si>
  <si>
    <t>C00145</t>
  </si>
  <si>
    <t>Customer 145</t>
  </si>
  <si>
    <t>O00146</t>
  </si>
  <si>
    <t>C00146</t>
  </si>
  <si>
    <t>Customer 146</t>
  </si>
  <si>
    <t>O00147</t>
  </si>
  <si>
    <t>C00147</t>
  </si>
  <si>
    <t>Customer 147</t>
  </si>
  <si>
    <t>O00148</t>
  </si>
  <si>
    <t>C00148</t>
  </si>
  <si>
    <t>Customer 148</t>
  </si>
  <si>
    <t>O00149</t>
  </si>
  <si>
    <t>C00149</t>
  </si>
  <si>
    <t>Customer 149</t>
  </si>
  <si>
    <t>O00150</t>
  </si>
  <si>
    <t>C00150</t>
  </si>
  <si>
    <t>Customer 150</t>
  </si>
  <si>
    <t>O00151</t>
  </si>
  <si>
    <t>C00151</t>
  </si>
  <si>
    <t>Customer 151</t>
  </si>
  <si>
    <t>O00152</t>
  </si>
  <si>
    <t>C00152</t>
  </si>
  <si>
    <t>Customer 152</t>
  </si>
  <si>
    <t>O00153</t>
  </si>
  <si>
    <t>C00153</t>
  </si>
  <si>
    <t>Customer 153</t>
  </si>
  <si>
    <t>O00154</t>
  </si>
  <si>
    <t>C00154</t>
  </si>
  <si>
    <t>Customer 154</t>
  </si>
  <si>
    <t>O00155</t>
  </si>
  <si>
    <t>C00155</t>
  </si>
  <si>
    <t>Customer 155</t>
  </si>
  <si>
    <t>O00156</t>
  </si>
  <si>
    <t>C00156</t>
  </si>
  <si>
    <t>Customer 156</t>
  </si>
  <si>
    <t>O00157</t>
  </si>
  <si>
    <t>C00157</t>
  </si>
  <si>
    <t>Customer 157</t>
  </si>
  <si>
    <t>O00158</t>
  </si>
  <si>
    <t>C00158</t>
  </si>
  <si>
    <t>Customer 158</t>
  </si>
  <si>
    <t>O00159</t>
  </si>
  <si>
    <t>C00159</t>
  </si>
  <si>
    <t>Customer 159</t>
  </si>
  <si>
    <t>O00160</t>
  </si>
  <si>
    <t>C00160</t>
  </si>
  <si>
    <t>Customer 160</t>
  </si>
  <si>
    <t>O00161</t>
  </si>
  <si>
    <t>C00161</t>
  </si>
  <si>
    <t>Customer 161</t>
  </si>
  <si>
    <t>O00162</t>
  </si>
  <si>
    <t>C00162</t>
  </si>
  <si>
    <t>Customer 162</t>
  </si>
  <si>
    <t>O00163</t>
  </si>
  <si>
    <t>C00163</t>
  </si>
  <si>
    <t>Customer 163</t>
  </si>
  <si>
    <t>O00164</t>
  </si>
  <si>
    <t>C00164</t>
  </si>
  <si>
    <t>Customer 164</t>
  </si>
  <si>
    <t>O00165</t>
  </si>
  <si>
    <t>C00165</t>
  </si>
  <si>
    <t>Customer 165</t>
  </si>
  <si>
    <t>O00166</t>
  </si>
  <si>
    <t>C00166</t>
  </si>
  <si>
    <t>Customer 166</t>
  </si>
  <si>
    <t>O00167</t>
  </si>
  <si>
    <t>C00167</t>
  </si>
  <si>
    <t>Customer 167</t>
  </si>
  <si>
    <t>O00168</t>
  </si>
  <si>
    <t>C00168</t>
  </si>
  <si>
    <t>Customer 168</t>
  </si>
  <si>
    <t>O00169</t>
  </si>
  <si>
    <t>C00169</t>
  </si>
  <si>
    <t>Customer 169</t>
  </si>
  <si>
    <t>O00170</t>
  </si>
  <si>
    <t>C00170</t>
  </si>
  <si>
    <t>Customer 170</t>
  </si>
  <si>
    <t>O00171</t>
  </si>
  <si>
    <t>C00171</t>
  </si>
  <si>
    <t>Customer 171</t>
  </si>
  <si>
    <t>O00172</t>
  </si>
  <si>
    <t>C00172</t>
  </si>
  <si>
    <t>Customer 172</t>
  </si>
  <si>
    <t>O00173</t>
  </si>
  <si>
    <t>C00173</t>
  </si>
  <si>
    <t>Customer 173</t>
  </si>
  <si>
    <t>O00174</t>
  </si>
  <si>
    <t>C00174</t>
  </si>
  <si>
    <t>Customer 174</t>
  </si>
  <si>
    <t>O00175</t>
  </si>
  <si>
    <t>C00175</t>
  </si>
  <si>
    <t>Customer 175</t>
  </si>
  <si>
    <t>O00176</t>
  </si>
  <si>
    <t>C00176</t>
  </si>
  <si>
    <t>Customer 176</t>
  </si>
  <si>
    <t>O00177</t>
  </si>
  <si>
    <t>C00177</t>
  </si>
  <si>
    <t>Customer 177</t>
  </si>
  <si>
    <t>O00178</t>
  </si>
  <si>
    <t>C00178</t>
  </si>
  <si>
    <t>Customer 178</t>
  </si>
  <si>
    <t>O00179</t>
  </si>
  <si>
    <t>C00179</t>
  </si>
  <si>
    <t>Customer 179</t>
  </si>
  <si>
    <t>O00180</t>
  </si>
  <si>
    <t>C00180</t>
  </si>
  <si>
    <t>Customer 180</t>
  </si>
  <si>
    <t>O00181</t>
  </si>
  <si>
    <t>C00181</t>
  </si>
  <si>
    <t>Customer 181</t>
  </si>
  <si>
    <t>O00182</t>
  </si>
  <si>
    <t>C00182</t>
  </si>
  <si>
    <t>Customer 182</t>
  </si>
  <si>
    <t>O00183</t>
  </si>
  <si>
    <t>C00183</t>
  </si>
  <si>
    <t>Customer 183</t>
  </si>
  <si>
    <t>O00184</t>
  </si>
  <si>
    <t>C00184</t>
  </si>
  <si>
    <t>Customer 184</t>
  </si>
  <si>
    <t>O00185</t>
  </si>
  <si>
    <t>C00185</t>
  </si>
  <si>
    <t>Customer 185</t>
  </si>
  <si>
    <t>O00186</t>
  </si>
  <si>
    <t>C00186</t>
  </si>
  <si>
    <t>Customer 186</t>
  </si>
  <si>
    <t>O00187</t>
  </si>
  <si>
    <t>C00187</t>
  </si>
  <si>
    <t>Customer 187</t>
  </si>
  <si>
    <t>O00188</t>
  </si>
  <si>
    <t>C00188</t>
  </si>
  <si>
    <t>Customer 188</t>
  </si>
  <si>
    <t>O00189</t>
  </si>
  <si>
    <t>C00189</t>
  </si>
  <si>
    <t>Customer 189</t>
  </si>
  <si>
    <t>O00190</t>
  </si>
  <si>
    <t>C00190</t>
  </si>
  <si>
    <t>Customer 190</t>
  </si>
  <si>
    <t>O00191</t>
  </si>
  <si>
    <t>C00191</t>
  </si>
  <si>
    <t>Customer 191</t>
  </si>
  <si>
    <t>O00192</t>
  </si>
  <si>
    <t>C00192</t>
  </si>
  <si>
    <t>Customer 192</t>
  </si>
  <si>
    <t>O00193</t>
  </si>
  <si>
    <t>C00193</t>
  </si>
  <si>
    <t>Customer 193</t>
  </si>
  <si>
    <t>O00194</t>
  </si>
  <si>
    <t>C00194</t>
  </si>
  <si>
    <t>Customer 194</t>
  </si>
  <si>
    <t>O00195</t>
  </si>
  <si>
    <t>C00195</t>
  </si>
  <si>
    <t>Customer 195</t>
  </si>
  <si>
    <t>O00196</t>
  </si>
  <si>
    <t>C00196</t>
  </si>
  <si>
    <t>Customer 196</t>
  </si>
  <si>
    <t>O00197</t>
  </si>
  <si>
    <t>C00197</t>
  </si>
  <si>
    <t>Customer 197</t>
  </si>
  <si>
    <t>O00198</t>
  </si>
  <si>
    <t>C00198</t>
  </si>
  <si>
    <t>Customer 198</t>
  </si>
  <si>
    <t>O00199</t>
  </si>
  <si>
    <t>C00199</t>
  </si>
  <si>
    <t>Customer 199</t>
  </si>
  <si>
    <t>O00200</t>
  </si>
  <si>
    <t>C00200</t>
  </si>
  <si>
    <t>Customer 200</t>
  </si>
  <si>
    <t>O00201</t>
  </si>
  <si>
    <t>C00201</t>
  </si>
  <si>
    <t>Customer 201</t>
  </si>
  <si>
    <t>O00202</t>
  </si>
  <si>
    <t>C00202</t>
  </si>
  <si>
    <t>Customer 202</t>
  </si>
  <si>
    <t>O00203</t>
  </si>
  <si>
    <t>C00203</t>
  </si>
  <si>
    <t>Customer 203</t>
  </si>
  <si>
    <t>O00204</t>
  </si>
  <si>
    <t>C00204</t>
  </si>
  <si>
    <t>Customer 204</t>
  </si>
  <si>
    <t>O00205</t>
  </si>
  <si>
    <t>C00205</t>
  </si>
  <si>
    <t>Customer 205</t>
  </si>
  <si>
    <t>O00206</t>
  </si>
  <si>
    <t>C00206</t>
  </si>
  <si>
    <t>Customer 206</t>
  </si>
  <si>
    <t>O00207</t>
  </si>
  <si>
    <t>C00207</t>
  </si>
  <si>
    <t>Customer 207</t>
  </si>
  <si>
    <t>O00208</t>
  </si>
  <si>
    <t>C00208</t>
  </si>
  <si>
    <t>Customer 208</t>
  </si>
  <si>
    <t>O00209</t>
  </si>
  <si>
    <t>C00209</t>
  </si>
  <si>
    <t>Customer 209</t>
  </si>
  <si>
    <t>O00210</t>
  </si>
  <si>
    <t>C00210</t>
  </si>
  <si>
    <t>Customer 210</t>
  </si>
  <si>
    <t>O00211</t>
  </si>
  <si>
    <t>C00211</t>
  </si>
  <si>
    <t>Customer 211</t>
  </si>
  <si>
    <t>O00212</t>
  </si>
  <si>
    <t>C00212</t>
  </si>
  <si>
    <t>Customer 212</t>
  </si>
  <si>
    <t>O00213</t>
  </si>
  <si>
    <t>C00213</t>
  </si>
  <si>
    <t>Customer 213</t>
  </si>
  <si>
    <t>O00214</t>
  </si>
  <si>
    <t>C00214</t>
  </si>
  <si>
    <t>Customer 214</t>
  </si>
  <si>
    <t>O00215</t>
  </si>
  <si>
    <t>C00215</t>
  </si>
  <si>
    <t>Customer 215</t>
  </si>
  <si>
    <t>O00216</t>
  </si>
  <si>
    <t>C00216</t>
  </si>
  <si>
    <t>Customer 216</t>
  </si>
  <si>
    <t>O00217</t>
  </si>
  <si>
    <t>C00217</t>
  </si>
  <si>
    <t>Customer 217</t>
  </si>
  <si>
    <t>O00218</t>
  </si>
  <si>
    <t>C00218</t>
  </si>
  <si>
    <t>Customer 218</t>
  </si>
  <si>
    <t>O00219</t>
  </si>
  <si>
    <t>C00219</t>
  </si>
  <si>
    <t>Customer 219</t>
  </si>
  <si>
    <t>O00220</t>
  </si>
  <si>
    <t>C00220</t>
  </si>
  <si>
    <t>Customer 220</t>
  </si>
  <si>
    <t>O00221</t>
  </si>
  <si>
    <t>C00221</t>
  </si>
  <si>
    <t>Customer 221</t>
  </si>
  <si>
    <t>O00222</t>
  </si>
  <si>
    <t>C00222</t>
  </si>
  <si>
    <t>Customer 222</t>
  </si>
  <si>
    <t>O00223</t>
  </si>
  <si>
    <t>C00223</t>
  </si>
  <si>
    <t>Customer 223</t>
  </si>
  <si>
    <t>O00224</t>
  </si>
  <si>
    <t>C00224</t>
  </si>
  <si>
    <t>Customer 224</t>
  </si>
  <si>
    <t>O00225</t>
  </si>
  <si>
    <t>C00225</t>
  </si>
  <si>
    <t>Customer 225</t>
  </si>
  <si>
    <t>O00226</t>
  </si>
  <si>
    <t>C00226</t>
  </si>
  <si>
    <t>Customer 226</t>
  </si>
  <si>
    <t>O00227</t>
  </si>
  <si>
    <t>C00227</t>
  </si>
  <si>
    <t>Customer 227</t>
  </si>
  <si>
    <t>O00228</t>
  </si>
  <si>
    <t>C00228</t>
  </si>
  <si>
    <t>Customer 228</t>
  </si>
  <si>
    <t>O00229</t>
  </si>
  <si>
    <t>C00229</t>
  </si>
  <si>
    <t>Customer 229</t>
  </si>
  <si>
    <t>O00230</t>
  </si>
  <si>
    <t>C00230</t>
  </si>
  <si>
    <t>Customer 230</t>
  </si>
  <si>
    <t>O00231</t>
  </si>
  <si>
    <t>C00231</t>
  </si>
  <si>
    <t>Customer 231</t>
  </si>
  <si>
    <t>O00232</t>
  </si>
  <si>
    <t>C00232</t>
  </si>
  <si>
    <t>Customer 232</t>
  </si>
  <si>
    <t>O00233</t>
  </si>
  <si>
    <t>C00233</t>
  </si>
  <si>
    <t>Customer 233</t>
  </si>
  <si>
    <t>O00234</t>
  </si>
  <si>
    <t>C00234</t>
  </si>
  <si>
    <t>Customer 234</t>
  </si>
  <si>
    <t>O00235</t>
  </si>
  <si>
    <t>C00235</t>
  </si>
  <si>
    <t>Customer 235</t>
  </si>
  <si>
    <t>O00236</t>
  </si>
  <si>
    <t>C00236</t>
  </si>
  <si>
    <t>Customer 236</t>
  </si>
  <si>
    <t>O00237</t>
  </si>
  <si>
    <t>C00237</t>
  </si>
  <si>
    <t>Customer 237</t>
  </si>
  <si>
    <t>O00238</t>
  </si>
  <si>
    <t>C00238</t>
  </si>
  <si>
    <t>Customer 238</t>
  </si>
  <si>
    <t>O00239</t>
  </si>
  <si>
    <t>C00239</t>
  </si>
  <si>
    <t>Customer 239</t>
  </si>
  <si>
    <t>O00240</t>
  </si>
  <si>
    <t>C00240</t>
  </si>
  <si>
    <t>Customer 240</t>
  </si>
  <si>
    <t>O00241</t>
  </si>
  <si>
    <t>C00241</t>
  </si>
  <si>
    <t>Customer 241</t>
  </si>
  <si>
    <t>O00242</t>
  </si>
  <si>
    <t>C00242</t>
  </si>
  <si>
    <t>Customer 242</t>
  </si>
  <si>
    <t>O00243</t>
  </si>
  <si>
    <t>C00243</t>
  </si>
  <si>
    <t>Customer 243</t>
  </si>
  <si>
    <t>O00244</t>
  </si>
  <si>
    <t>C00244</t>
  </si>
  <si>
    <t>Customer 244</t>
  </si>
  <si>
    <t>O00245</t>
  </si>
  <si>
    <t>C00245</t>
  </si>
  <si>
    <t>Customer 245</t>
  </si>
  <si>
    <t>O00246</t>
  </si>
  <si>
    <t>C00246</t>
  </si>
  <si>
    <t>Customer 246</t>
  </si>
  <si>
    <t>O00247</t>
  </si>
  <si>
    <t>C00247</t>
  </si>
  <si>
    <t>Customer 247</t>
  </si>
  <si>
    <t>O00248</t>
  </si>
  <si>
    <t>C00248</t>
  </si>
  <si>
    <t>Customer 248</t>
  </si>
  <si>
    <t>O00249</t>
  </si>
  <si>
    <t>C00249</t>
  </si>
  <si>
    <t>Customer 249</t>
  </si>
  <si>
    <t>O00250</t>
  </si>
  <si>
    <t>C00250</t>
  </si>
  <si>
    <t>Customer 250</t>
  </si>
  <si>
    <t>O00251</t>
  </si>
  <si>
    <t>C00251</t>
  </si>
  <si>
    <t>Customer 251</t>
  </si>
  <si>
    <t>O00252</t>
  </si>
  <si>
    <t>C00252</t>
  </si>
  <si>
    <t>Customer 252</t>
  </si>
  <si>
    <t>O00253</t>
  </si>
  <si>
    <t>C00253</t>
  </si>
  <si>
    <t>Customer 253</t>
  </si>
  <si>
    <t>O00254</t>
  </si>
  <si>
    <t>C00254</t>
  </si>
  <si>
    <t>Customer 254</t>
  </si>
  <si>
    <t>O00255</t>
  </si>
  <si>
    <t>C00255</t>
  </si>
  <si>
    <t>Customer 255</t>
  </si>
  <si>
    <t>O00256</t>
  </si>
  <si>
    <t>C00256</t>
  </si>
  <si>
    <t>Customer 256</t>
  </si>
  <si>
    <t>O00257</t>
  </si>
  <si>
    <t>C00257</t>
  </si>
  <si>
    <t>Customer 257</t>
  </si>
  <si>
    <t>O00258</t>
  </si>
  <si>
    <t>C00258</t>
  </si>
  <si>
    <t>Customer 258</t>
  </si>
  <si>
    <t>O00259</t>
  </si>
  <si>
    <t>C00259</t>
  </si>
  <si>
    <t>Customer 259</t>
  </si>
  <si>
    <t>O00260</t>
  </si>
  <si>
    <t>C00260</t>
  </si>
  <si>
    <t>Customer 260</t>
  </si>
  <si>
    <t>O00261</t>
  </si>
  <si>
    <t>C00261</t>
  </si>
  <si>
    <t>Customer 261</t>
  </si>
  <si>
    <t>O00262</t>
  </si>
  <si>
    <t>C00262</t>
  </si>
  <si>
    <t>Customer 262</t>
  </si>
  <si>
    <t>O00263</t>
  </si>
  <si>
    <t>C00263</t>
  </si>
  <si>
    <t>Customer 263</t>
  </si>
  <si>
    <t>O00264</t>
  </si>
  <si>
    <t>C00264</t>
  </si>
  <si>
    <t>Customer 264</t>
  </si>
  <si>
    <t>O00265</t>
  </si>
  <si>
    <t>C00265</t>
  </si>
  <si>
    <t>Customer 265</t>
  </si>
  <si>
    <t>O00266</t>
  </si>
  <si>
    <t>C00266</t>
  </si>
  <si>
    <t>Customer 266</t>
  </si>
  <si>
    <t>O00267</t>
  </si>
  <si>
    <t>C00267</t>
  </si>
  <si>
    <t>Customer 267</t>
  </si>
  <si>
    <t>O00268</t>
  </si>
  <si>
    <t>C00268</t>
  </si>
  <si>
    <t>Customer 268</t>
  </si>
  <si>
    <t>O00269</t>
  </si>
  <si>
    <t>C00269</t>
  </si>
  <si>
    <t>Customer 269</t>
  </si>
  <si>
    <t>O00270</t>
  </si>
  <si>
    <t>C00270</t>
  </si>
  <si>
    <t>Customer 270</t>
  </si>
  <si>
    <t>O00271</t>
  </si>
  <si>
    <t>C00271</t>
  </si>
  <si>
    <t>Customer 271</t>
  </si>
  <si>
    <t>O00272</t>
  </si>
  <si>
    <t>C00272</t>
  </si>
  <si>
    <t>Customer 272</t>
  </si>
  <si>
    <t>O00273</t>
  </si>
  <si>
    <t>C00273</t>
  </si>
  <si>
    <t>Customer 273</t>
  </si>
  <si>
    <t>O00274</t>
  </si>
  <si>
    <t>C00274</t>
  </si>
  <si>
    <t>Customer 274</t>
  </si>
  <si>
    <t>O00275</t>
  </si>
  <si>
    <t>C00275</t>
  </si>
  <si>
    <t>Customer 275</t>
  </si>
  <si>
    <t>O00276</t>
  </si>
  <si>
    <t>C00276</t>
  </si>
  <si>
    <t>Customer 276</t>
  </si>
  <si>
    <t>O00277</t>
  </si>
  <si>
    <t>C00277</t>
  </si>
  <si>
    <t>Customer 277</t>
  </si>
  <si>
    <t>O00278</t>
  </si>
  <si>
    <t>C00278</t>
  </si>
  <si>
    <t>Customer 278</t>
  </si>
  <si>
    <t>O00279</t>
  </si>
  <si>
    <t>C00279</t>
  </si>
  <si>
    <t>Customer 279</t>
  </si>
  <si>
    <t>O00280</t>
  </si>
  <si>
    <t>C00280</t>
  </si>
  <si>
    <t>Customer 280</t>
  </si>
  <si>
    <t>O00281</t>
  </si>
  <si>
    <t>C00281</t>
  </si>
  <si>
    <t>Customer 281</t>
  </si>
  <si>
    <t>O00282</t>
  </si>
  <si>
    <t>C00282</t>
  </si>
  <si>
    <t>Customer 282</t>
  </si>
  <si>
    <t>O00283</t>
  </si>
  <si>
    <t>C00283</t>
  </si>
  <si>
    <t>Customer 283</t>
  </si>
  <si>
    <t>O00284</t>
  </si>
  <si>
    <t>C00284</t>
  </si>
  <si>
    <t>Customer 284</t>
  </si>
  <si>
    <t>O00285</t>
  </si>
  <si>
    <t>C00285</t>
  </si>
  <si>
    <t>Customer 285</t>
  </si>
  <si>
    <t>O00286</t>
  </si>
  <si>
    <t>C00286</t>
  </si>
  <si>
    <t>Customer 286</t>
  </si>
  <si>
    <t>O00287</t>
  </si>
  <si>
    <t>C00287</t>
  </si>
  <si>
    <t>Customer 287</t>
  </si>
  <si>
    <t>O00288</t>
  </si>
  <si>
    <t>C00288</t>
  </si>
  <si>
    <t>Customer 288</t>
  </si>
  <si>
    <t>O00289</t>
  </si>
  <si>
    <t>C00289</t>
  </si>
  <si>
    <t>Customer 289</t>
  </si>
  <si>
    <t>O00290</t>
  </si>
  <si>
    <t>C00290</t>
  </si>
  <si>
    <t>Customer 290</t>
  </si>
  <si>
    <t>O00291</t>
  </si>
  <si>
    <t>C00291</t>
  </si>
  <si>
    <t>Customer 291</t>
  </si>
  <si>
    <t>O00292</t>
  </si>
  <si>
    <t>C00292</t>
  </si>
  <si>
    <t>Customer 292</t>
  </si>
  <si>
    <t>O00293</t>
  </si>
  <si>
    <t>C00293</t>
  </si>
  <si>
    <t>Customer 293</t>
  </si>
  <si>
    <t>O00294</t>
  </si>
  <si>
    <t>C00294</t>
  </si>
  <si>
    <t>Customer 294</t>
  </si>
  <si>
    <t>O00295</t>
  </si>
  <si>
    <t>C00295</t>
  </si>
  <si>
    <t>Customer 295</t>
  </si>
  <si>
    <t>O00296</t>
  </si>
  <si>
    <t>C00296</t>
  </si>
  <si>
    <t>Customer 296</t>
  </si>
  <si>
    <t>O00297</t>
  </si>
  <si>
    <t>C00297</t>
  </si>
  <si>
    <t>Customer 297</t>
  </si>
  <si>
    <t>O00298</t>
  </si>
  <si>
    <t>C00298</t>
  </si>
  <si>
    <t>Customer 298</t>
  </si>
  <si>
    <t>O00299</t>
  </si>
  <si>
    <t>C00299</t>
  </si>
  <si>
    <t>Customer 299</t>
  </si>
  <si>
    <t>O00300</t>
  </si>
  <si>
    <t>C00300</t>
  </si>
  <si>
    <t>Customer 300</t>
  </si>
  <si>
    <t>O00301</t>
  </si>
  <si>
    <t>C00301</t>
  </si>
  <si>
    <t>Customer 301</t>
  </si>
  <si>
    <t>O00302</t>
  </si>
  <si>
    <t>C00302</t>
  </si>
  <si>
    <t>Customer 302</t>
  </si>
  <si>
    <t>O00303</t>
  </si>
  <si>
    <t>C00303</t>
  </si>
  <si>
    <t>Customer 303</t>
  </si>
  <si>
    <t>O00304</t>
  </si>
  <si>
    <t>C00304</t>
  </si>
  <si>
    <t>Customer 304</t>
  </si>
  <si>
    <t>O00305</t>
  </si>
  <si>
    <t>C00305</t>
  </si>
  <si>
    <t>Customer 305</t>
  </si>
  <si>
    <t>O00306</t>
  </si>
  <si>
    <t>C00306</t>
  </si>
  <si>
    <t>Customer 306</t>
  </si>
  <si>
    <t>O00307</t>
  </si>
  <si>
    <t>C00307</t>
  </si>
  <si>
    <t>Customer 307</t>
  </si>
  <si>
    <t>O00308</t>
  </si>
  <si>
    <t>C00308</t>
  </si>
  <si>
    <t>Customer 308</t>
  </si>
  <si>
    <t>O00309</t>
  </si>
  <si>
    <t>C00309</t>
  </si>
  <si>
    <t>Customer 309</t>
  </si>
  <si>
    <t>O00310</t>
  </si>
  <si>
    <t>C00310</t>
  </si>
  <si>
    <t>Customer 310</t>
  </si>
  <si>
    <t>O00311</t>
  </si>
  <si>
    <t>C00311</t>
  </si>
  <si>
    <t>Customer 311</t>
  </si>
  <si>
    <t>O00312</t>
  </si>
  <si>
    <t>C00312</t>
  </si>
  <si>
    <t>Customer 312</t>
  </si>
  <si>
    <t>O00313</t>
  </si>
  <si>
    <t>C00313</t>
  </si>
  <si>
    <t>Customer 313</t>
  </si>
  <si>
    <t>O00314</t>
  </si>
  <si>
    <t>C00314</t>
  </si>
  <si>
    <t>Customer 314</t>
  </si>
  <si>
    <t>O00315</t>
  </si>
  <si>
    <t>C00315</t>
  </si>
  <si>
    <t>Customer 315</t>
  </si>
  <si>
    <t>O00316</t>
  </si>
  <si>
    <t>C00316</t>
  </si>
  <si>
    <t>Customer 316</t>
  </si>
  <si>
    <t>O00317</t>
  </si>
  <si>
    <t>C00317</t>
  </si>
  <si>
    <t>Customer 317</t>
  </si>
  <si>
    <t>O00318</t>
  </si>
  <si>
    <t>C00318</t>
  </si>
  <si>
    <t>Customer 318</t>
  </si>
  <si>
    <t>O00319</t>
  </si>
  <si>
    <t>C00319</t>
  </si>
  <si>
    <t>Customer 319</t>
  </si>
  <si>
    <t>O00320</t>
  </si>
  <si>
    <t>C00320</t>
  </si>
  <si>
    <t>Customer 320</t>
  </si>
  <si>
    <t>O00321</t>
  </si>
  <si>
    <t>C00321</t>
  </si>
  <si>
    <t>Customer 321</t>
  </si>
  <si>
    <t>O00322</t>
  </si>
  <si>
    <t>C00322</t>
  </si>
  <si>
    <t>Customer 322</t>
  </si>
  <si>
    <t>O00323</t>
  </si>
  <si>
    <t>C00323</t>
  </si>
  <si>
    <t>Customer 323</t>
  </si>
  <si>
    <t>O00324</t>
  </si>
  <si>
    <t>C00324</t>
  </si>
  <si>
    <t>Customer 324</t>
  </si>
  <si>
    <t>O00325</t>
  </si>
  <si>
    <t>C00325</t>
  </si>
  <si>
    <t>Customer 325</t>
  </si>
  <si>
    <t>O00326</t>
  </si>
  <si>
    <t>C00326</t>
  </si>
  <si>
    <t>Customer 326</t>
  </si>
  <si>
    <t>O00327</t>
  </si>
  <si>
    <t>C00327</t>
  </si>
  <si>
    <t>Customer 327</t>
  </si>
  <si>
    <t>O00328</t>
  </si>
  <si>
    <t>C00328</t>
  </si>
  <si>
    <t>Customer 328</t>
  </si>
  <si>
    <t>O00329</t>
  </si>
  <si>
    <t>C00329</t>
  </si>
  <si>
    <t>Customer 329</t>
  </si>
  <si>
    <t>O00330</t>
  </si>
  <si>
    <t>C00330</t>
  </si>
  <si>
    <t>Customer 330</t>
  </si>
  <si>
    <t>O00331</t>
  </si>
  <si>
    <t>C00331</t>
  </si>
  <si>
    <t>Customer 331</t>
  </si>
  <si>
    <t>O00332</t>
  </si>
  <si>
    <t>C00332</t>
  </si>
  <si>
    <t>Customer 332</t>
  </si>
  <si>
    <t>O00333</t>
  </si>
  <si>
    <t>C00333</t>
  </si>
  <si>
    <t>Customer 333</t>
  </si>
  <si>
    <t>O00334</t>
  </si>
  <si>
    <t>C00334</t>
  </si>
  <si>
    <t>Customer 334</t>
  </si>
  <si>
    <t>O00335</t>
  </si>
  <si>
    <t>C00335</t>
  </si>
  <si>
    <t>Customer 335</t>
  </si>
  <si>
    <t>O00336</t>
  </si>
  <si>
    <t>C00336</t>
  </si>
  <si>
    <t>Customer 336</t>
  </si>
  <si>
    <t>O00337</t>
  </si>
  <si>
    <t>C00337</t>
  </si>
  <si>
    <t>Customer 337</t>
  </si>
  <si>
    <t>O00338</t>
  </si>
  <si>
    <t>C00338</t>
  </si>
  <si>
    <t>Customer 338</t>
  </si>
  <si>
    <t>O00339</t>
  </si>
  <si>
    <t>C00339</t>
  </si>
  <si>
    <t>Customer 339</t>
  </si>
  <si>
    <t>O00340</t>
  </si>
  <si>
    <t>C00340</t>
  </si>
  <si>
    <t>Customer 340</t>
  </si>
  <si>
    <t>O00341</t>
  </si>
  <si>
    <t>C00341</t>
  </si>
  <si>
    <t>Customer 341</t>
  </si>
  <si>
    <t>O00342</t>
  </si>
  <si>
    <t>C00342</t>
  </si>
  <si>
    <t>Customer 342</t>
  </si>
  <si>
    <t>O00343</t>
  </si>
  <si>
    <t>C00343</t>
  </si>
  <si>
    <t>Customer 343</t>
  </si>
  <si>
    <t>O00344</t>
  </si>
  <si>
    <t>C00344</t>
  </si>
  <si>
    <t>Customer 344</t>
  </si>
  <si>
    <t>O00345</t>
  </si>
  <si>
    <t>C00345</t>
  </si>
  <si>
    <t>Customer 345</t>
  </si>
  <si>
    <t>O00346</t>
  </si>
  <si>
    <t>C00346</t>
  </si>
  <si>
    <t>Customer 346</t>
  </si>
  <si>
    <t>O00347</t>
  </si>
  <si>
    <t>C00347</t>
  </si>
  <si>
    <t>Customer 347</t>
  </si>
  <si>
    <t>O00348</t>
  </si>
  <si>
    <t>C00348</t>
  </si>
  <si>
    <t>Customer 348</t>
  </si>
  <si>
    <t>O00349</t>
  </si>
  <si>
    <t>C00349</t>
  </si>
  <si>
    <t>Customer 349</t>
  </si>
  <si>
    <t>O00350</t>
  </si>
  <si>
    <t>C00350</t>
  </si>
  <si>
    <t>Customer 350</t>
  </si>
  <si>
    <t>O00351</t>
  </si>
  <si>
    <t>C00351</t>
  </si>
  <si>
    <t>Customer 351</t>
  </si>
  <si>
    <t>O00352</t>
  </si>
  <si>
    <t>C00352</t>
  </si>
  <si>
    <t>Customer 352</t>
  </si>
  <si>
    <t>O00353</t>
  </si>
  <si>
    <t>C00353</t>
  </si>
  <si>
    <t>Customer 353</t>
  </si>
  <si>
    <t>O00354</t>
  </si>
  <si>
    <t>C00354</t>
  </si>
  <si>
    <t>Customer 354</t>
  </si>
  <si>
    <t>O00355</t>
  </si>
  <si>
    <t>C00355</t>
  </si>
  <si>
    <t>Customer 355</t>
  </si>
  <si>
    <t>O00356</t>
  </si>
  <si>
    <t>C00356</t>
  </si>
  <si>
    <t>Customer 356</t>
  </si>
  <si>
    <t>O00357</t>
  </si>
  <si>
    <t>C00357</t>
  </si>
  <si>
    <t>Customer 357</t>
  </si>
  <si>
    <t>O00358</t>
  </si>
  <si>
    <t>C00358</t>
  </si>
  <si>
    <t>Customer 358</t>
  </si>
  <si>
    <t>O00359</t>
  </si>
  <si>
    <t>C00359</t>
  </si>
  <si>
    <t>Customer 359</t>
  </si>
  <si>
    <t>O00360</t>
  </si>
  <si>
    <t>C00360</t>
  </si>
  <si>
    <t>Customer 360</t>
  </si>
  <si>
    <t>O00361</t>
  </si>
  <si>
    <t>C00361</t>
  </si>
  <si>
    <t>Customer 361</t>
  </si>
  <si>
    <t>O00362</t>
  </si>
  <si>
    <t>C00362</t>
  </si>
  <si>
    <t>Customer 362</t>
  </si>
  <si>
    <t>O00363</t>
  </si>
  <si>
    <t>C00363</t>
  </si>
  <si>
    <t>Customer 363</t>
  </si>
  <si>
    <t>O00364</t>
  </si>
  <si>
    <t>C00364</t>
  </si>
  <si>
    <t>Customer 364</t>
  </si>
  <si>
    <t>O00365</t>
  </si>
  <si>
    <t>C00365</t>
  </si>
  <si>
    <t>Customer 365</t>
  </si>
  <si>
    <t>O00366</t>
  </si>
  <si>
    <t>C00366</t>
  </si>
  <si>
    <t>Customer 366</t>
  </si>
  <si>
    <t>O00367</t>
  </si>
  <si>
    <t>C00367</t>
  </si>
  <si>
    <t>Customer 367</t>
  </si>
  <si>
    <t>O00368</t>
  </si>
  <si>
    <t>C00368</t>
  </si>
  <si>
    <t>Customer 368</t>
  </si>
  <si>
    <t>O00369</t>
  </si>
  <si>
    <t>C00369</t>
  </si>
  <si>
    <t>Customer 369</t>
  </si>
  <si>
    <t>O00370</t>
  </si>
  <si>
    <t>C00370</t>
  </si>
  <si>
    <t>Customer 370</t>
  </si>
  <si>
    <t>O00371</t>
  </si>
  <si>
    <t>C00371</t>
  </si>
  <si>
    <t>Customer 371</t>
  </si>
  <si>
    <t>O00372</t>
  </si>
  <si>
    <t>C00372</t>
  </si>
  <si>
    <t>Customer 372</t>
  </si>
  <si>
    <t>O00373</t>
  </si>
  <si>
    <t>C00373</t>
  </si>
  <si>
    <t>Customer 373</t>
  </si>
  <si>
    <t>O00374</t>
  </si>
  <si>
    <t>C00374</t>
  </si>
  <si>
    <t>Customer 374</t>
  </si>
  <si>
    <t>O00375</t>
  </si>
  <si>
    <t>C00375</t>
  </si>
  <si>
    <t>Customer 375</t>
  </si>
  <si>
    <t>O00376</t>
  </si>
  <si>
    <t>C00376</t>
  </si>
  <si>
    <t>Customer 376</t>
  </si>
  <si>
    <t>O00377</t>
  </si>
  <si>
    <t>C00377</t>
  </si>
  <si>
    <t>Customer 377</t>
  </si>
  <si>
    <t>O00378</t>
  </si>
  <si>
    <t>C00378</t>
  </si>
  <si>
    <t>Customer 378</t>
  </si>
  <si>
    <t>O00379</t>
  </si>
  <si>
    <t>C00379</t>
  </si>
  <si>
    <t>Customer 379</t>
  </si>
  <si>
    <t>O00380</t>
  </si>
  <si>
    <t>C00380</t>
  </si>
  <si>
    <t>Customer 380</t>
  </si>
  <si>
    <t>O00381</t>
  </si>
  <si>
    <t>C00381</t>
  </si>
  <si>
    <t>Customer 381</t>
  </si>
  <si>
    <t>O00382</t>
  </si>
  <si>
    <t>C00382</t>
  </si>
  <si>
    <t>Customer 382</t>
  </si>
  <si>
    <t>O00383</t>
  </si>
  <si>
    <t>C00383</t>
  </si>
  <si>
    <t>Customer 383</t>
  </si>
  <si>
    <t>O00384</t>
  </si>
  <si>
    <t>C00384</t>
  </si>
  <si>
    <t>Customer 384</t>
  </si>
  <si>
    <t>O00385</t>
  </si>
  <si>
    <t>C00385</t>
  </si>
  <si>
    <t>Customer 385</t>
  </si>
  <si>
    <t>O00386</t>
  </si>
  <si>
    <t>C00386</t>
  </si>
  <si>
    <t>Customer 386</t>
  </si>
  <si>
    <t>O00387</t>
  </si>
  <si>
    <t>C00387</t>
  </si>
  <si>
    <t>Customer 387</t>
  </si>
  <si>
    <t>O00388</t>
  </si>
  <si>
    <t>C00388</t>
  </si>
  <si>
    <t>Customer 388</t>
  </si>
  <si>
    <t>O00389</t>
  </si>
  <si>
    <t>C00389</t>
  </si>
  <si>
    <t>Customer 389</t>
  </si>
  <si>
    <t>O00390</t>
  </si>
  <si>
    <t>C00390</t>
  </si>
  <si>
    <t>Customer 390</t>
  </si>
  <si>
    <t>O00391</t>
  </si>
  <si>
    <t>C00391</t>
  </si>
  <si>
    <t>Customer 391</t>
  </si>
  <si>
    <t>O00392</t>
  </si>
  <si>
    <t>C00392</t>
  </si>
  <si>
    <t>Customer 392</t>
  </si>
  <si>
    <t>O00393</t>
  </si>
  <si>
    <t>C00393</t>
  </si>
  <si>
    <t>Customer 393</t>
  </si>
  <si>
    <t>O00394</t>
  </si>
  <si>
    <t>C00394</t>
  </si>
  <si>
    <t>Customer 394</t>
  </si>
  <si>
    <t>O00395</t>
  </si>
  <si>
    <t>C00395</t>
  </si>
  <si>
    <t>Customer 395</t>
  </si>
  <si>
    <t>O00396</t>
  </si>
  <si>
    <t>C00396</t>
  </si>
  <si>
    <t>Customer 396</t>
  </si>
  <si>
    <t>O00397</t>
  </si>
  <si>
    <t>C00397</t>
  </si>
  <si>
    <t>Customer 397</t>
  </si>
  <si>
    <t>O00398</t>
  </si>
  <si>
    <t>C00398</t>
  </si>
  <si>
    <t>Customer 398</t>
  </si>
  <si>
    <t>O00399</t>
  </si>
  <si>
    <t>C00399</t>
  </si>
  <si>
    <t>Customer 399</t>
  </si>
  <si>
    <t>O00400</t>
  </si>
  <si>
    <t>C00400</t>
  </si>
  <si>
    <t>Customer 400</t>
  </si>
  <si>
    <t>O00401</t>
  </si>
  <si>
    <t>C00401</t>
  </si>
  <si>
    <t>Customer 401</t>
  </si>
  <si>
    <t>O00402</t>
  </si>
  <si>
    <t>C00402</t>
  </si>
  <si>
    <t>Customer 402</t>
  </si>
  <si>
    <t>O00403</t>
  </si>
  <si>
    <t>C00403</t>
  </si>
  <si>
    <t>Customer 403</t>
  </si>
  <si>
    <t>O00404</t>
  </si>
  <si>
    <t>C00404</t>
  </si>
  <si>
    <t>Customer 404</t>
  </si>
  <si>
    <t>O00405</t>
  </si>
  <si>
    <t>C00405</t>
  </si>
  <si>
    <t>Customer 405</t>
  </si>
  <si>
    <t>O00406</t>
  </si>
  <si>
    <t>C00406</t>
  </si>
  <si>
    <t>Customer 406</t>
  </si>
  <si>
    <t>O00407</t>
  </si>
  <si>
    <t>C00407</t>
  </si>
  <si>
    <t>Customer 407</t>
  </si>
  <si>
    <t>O00408</t>
  </si>
  <si>
    <t>C00408</t>
  </si>
  <si>
    <t>Customer 408</t>
  </si>
  <si>
    <t>O00409</t>
  </si>
  <si>
    <t>C00409</t>
  </si>
  <si>
    <t>Customer 409</t>
  </si>
  <si>
    <t>O00410</t>
  </si>
  <si>
    <t>C00410</t>
  </si>
  <si>
    <t>Customer 410</t>
  </si>
  <si>
    <t>O00411</t>
  </si>
  <si>
    <t>C00411</t>
  </si>
  <si>
    <t>Customer 411</t>
  </si>
  <si>
    <t>O00412</t>
  </si>
  <si>
    <t>C00412</t>
  </si>
  <si>
    <t>Customer 412</t>
  </si>
  <si>
    <t>O00413</t>
  </si>
  <si>
    <t>C00413</t>
  </si>
  <si>
    <t>Customer 413</t>
  </si>
  <si>
    <t>O00414</t>
  </si>
  <si>
    <t>C00414</t>
  </si>
  <si>
    <t>Customer 414</t>
  </si>
  <si>
    <t>O00415</t>
  </si>
  <si>
    <t>C00415</t>
  </si>
  <si>
    <t>Customer 415</t>
  </si>
  <si>
    <t>O00416</t>
  </si>
  <si>
    <t>C00416</t>
  </si>
  <si>
    <t>Customer 416</t>
  </si>
  <si>
    <t>O00417</t>
  </si>
  <si>
    <t>C00417</t>
  </si>
  <si>
    <t>Customer 417</t>
  </si>
  <si>
    <t>O00418</t>
  </si>
  <si>
    <t>C00418</t>
  </si>
  <si>
    <t>Customer 418</t>
  </si>
  <si>
    <t>O00419</t>
  </si>
  <si>
    <t>C00419</t>
  </si>
  <si>
    <t>Customer 419</t>
  </si>
  <si>
    <t>O00420</t>
  </si>
  <si>
    <t>C00420</t>
  </si>
  <si>
    <t>Customer 420</t>
  </si>
  <si>
    <t>O00421</t>
  </si>
  <si>
    <t>C00421</t>
  </si>
  <si>
    <t>Customer 421</t>
  </si>
  <si>
    <t>O00422</t>
  </si>
  <si>
    <t>C00422</t>
  </si>
  <si>
    <t>Customer 422</t>
  </si>
  <si>
    <t>O00423</t>
  </si>
  <si>
    <t>C00423</t>
  </si>
  <si>
    <t>Customer 423</t>
  </si>
  <si>
    <t>O00424</t>
  </si>
  <si>
    <t>C00424</t>
  </si>
  <si>
    <t>Customer 424</t>
  </si>
  <si>
    <t>O00425</t>
  </si>
  <si>
    <t>C00425</t>
  </si>
  <si>
    <t>Customer 425</t>
  </si>
  <si>
    <t>O00426</t>
  </si>
  <si>
    <t>C00426</t>
  </si>
  <si>
    <t>Customer 426</t>
  </si>
  <si>
    <t>O00427</t>
  </si>
  <si>
    <t>C00427</t>
  </si>
  <si>
    <t>Customer 427</t>
  </si>
  <si>
    <t>O00428</t>
  </si>
  <si>
    <t>C00428</t>
  </si>
  <si>
    <t>Customer 428</t>
  </si>
  <si>
    <t>O00429</t>
  </si>
  <si>
    <t>C00429</t>
  </si>
  <si>
    <t>Customer 429</t>
  </si>
  <si>
    <t>O00430</t>
  </si>
  <si>
    <t>C00430</t>
  </si>
  <si>
    <t>Customer 430</t>
  </si>
  <si>
    <t>O00431</t>
  </si>
  <si>
    <t>C00431</t>
  </si>
  <si>
    <t>Customer 431</t>
  </si>
  <si>
    <t>O00432</t>
  </si>
  <si>
    <t>C00432</t>
  </si>
  <si>
    <t>Customer 432</t>
  </si>
  <si>
    <t>O00433</t>
  </si>
  <si>
    <t>C00433</t>
  </si>
  <si>
    <t>Customer 433</t>
  </si>
  <si>
    <t>O00434</t>
  </si>
  <si>
    <t>C00434</t>
  </si>
  <si>
    <t>Customer 434</t>
  </si>
  <si>
    <t>O00435</t>
  </si>
  <si>
    <t>C00435</t>
  </si>
  <si>
    <t>Customer 435</t>
  </si>
  <si>
    <t>O00436</t>
  </si>
  <si>
    <t>C00436</t>
  </si>
  <si>
    <t>Customer 436</t>
  </si>
  <si>
    <t>O00437</t>
  </si>
  <si>
    <t>C00437</t>
  </si>
  <si>
    <t>Customer 437</t>
  </si>
  <si>
    <t>O00438</t>
  </si>
  <si>
    <t>C00438</t>
  </si>
  <si>
    <t>Customer 438</t>
  </si>
  <si>
    <t>O00439</t>
  </si>
  <si>
    <t>C00439</t>
  </si>
  <si>
    <t>Customer 439</t>
  </si>
  <si>
    <t>O00440</t>
  </si>
  <si>
    <t>C00440</t>
  </si>
  <si>
    <t>Customer 440</t>
  </si>
  <si>
    <t>O00441</t>
  </si>
  <si>
    <t>C00441</t>
  </si>
  <si>
    <t>Customer 441</t>
  </si>
  <si>
    <t>O00442</t>
  </si>
  <si>
    <t>C00442</t>
  </si>
  <si>
    <t>Customer 442</t>
  </si>
  <si>
    <t>O00443</t>
  </si>
  <si>
    <t>C00443</t>
  </si>
  <si>
    <t>Customer 443</t>
  </si>
  <si>
    <t>O00444</t>
  </si>
  <si>
    <t>C00444</t>
  </si>
  <si>
    <t>Customer 444</t>
  </si>
  <si>
    <t>O00445</t>
  </si>
  <si>
    <t>C00445</t>
  </si>
  <si>
    <t>Customer 445</t>
  </si>
  <si>
    <t>O00446</t>
  </si>
  <si>
    <t>C00446</t>
  </si>
  <si>
    <t>Customer 446</t>
  </si>
  <si>
    <t>O00447</t>
  </si>
  <si>
    <t>C00447</t>
  </si>
  <si>
    <t>Customer 447</t>
  </si>
  <si>
    <t>O00448</t>
  </si>
  <si>
    <t>C00448</t>
  </si>
  <si>
    <t>Customer 448</t>
  </si>
  <si>
    <t>O00449</t>
  </si>
  <si>
    <t>C00449</t>
  </si>
  <si>
    <t>Customer 449</t>
  </si>
  <si>
    <t>O00450</t>
  </si>
  <si>
    <t>C00450</t>
  </si>
  <si>
    <t>Customer 450</t>
  </si>
  <si>
    <t>O00451</t>
  </si>
  <si>
    <t>C00451</t>
  </si>
  <si>
    <t>Customer 451</t>
  </si>
  <si>
    <t>O00452</t>
  </si>
  <si>
    <t>C00452</t>
  </si>
  <si>
    <t>Customer 452</t>
  </si>
  <si>
    <t>O00453</t>
  </si>
  <si>
    <t>C00453</t>
  </si>
  <si>
    <t>Customer 453</t>
  </si>
  <si>
    <t>O00454</t>
  </si>
  <si>
    <t>C00454</t>
  </si>
  <si>
    <t>Customer 454</t>
  </si>
  <si>
    <t>O00455</t>
  </si>
  <si>
    <t>C00455</t>
  </si>
  <si>
    <t>Customer 455</t>
  </si>
  <si>
    <t>O00456</t>
  </si>
  <si>
    <t>C00456</t>
  </si>
  <si>
    <t>Customer 456</t>
  </si>
  <si>
    <t>O00457</t>
  </si>
  <si>
    <t>C00457</t>
  </si>
  <si>
    <t>Customer 457</t>
  </si>
  <si>
    <t>O00458</t>
  </si>
  <si>
    <t>C00458</t>
  </si>
  <si>
    <t>Customer 458</t>
  </si>
  <si>
    <t>O00459</t>
  </si>
  <si>
    <t>C00459</t>
  </si>
  <si>
    <t>Customer 459</t>
  </si>
  <si>
    <t>O00460</t>
  </si>
  <si>
    <t>C00460</t>
  </si>
  <si>
    <t>Customer 460</t>
  </si>
  <si>
    <t>O00461</t>
  </si>
  <si>
    <t>C00461</t>
  </si>
  <si>
    <t>Customer 461</t>
  </si>
  <si>
    <t>O00462</t>
  </si>
  <si>
    <t>C00462</t>
  </si>
  <si>
    <t>Customer 462</t>
  </si>
  <si>
    <t>O00463</t>
  </si>
  <si>
    <t>C00463</t>
  </si>
  <si>
    <t>Customer 463</t>
  </si>
  <si>
    <t>O00464</t>
  </si>
  <si>
    <t>C00464</t>
  </si>
  <si>
    <t>Customer 464</t>
  </si>
  <si>
    <t>O00465</t>
  </si>
  <si>
    <t>C00465</t>
  </si>
  <si>
    <t>Customer 465</t>
  </si>
  <si>
    <t>O00466</t>
  </si>
  <si>
    <t>C00466</t>
  </si>
  <si>
    <t>Customer 466</t>
  </si>
  <si>
    <t>O00467</t>
  </si>
  <si>
    <t>C00467</t>
  </si>
  <si>
    <t>Customer 467</t>
  </si>
  <si>
    <t>O00468</t>
  </si>
  <si>
    <t>C00468</t>
  </si>
  <si>
    <t>Customer 468</t>
  </si>
  <si>
    <t>O00469</t>
  </si>
  <si>
    <t>C00469</t>
  </si>
  <si>
    <t>Customer 469</t>
  </si>
  <si>
    <t>O00470</t>
  </si>
  <si>
    <t>C00470</t>
  </si>
  <si>
    <t>Customer 470</t>
  </si>
  <si>
    <t>O00471</t>
  </si>
  <si>
    <t>C00471</t>
  </si>
  <si>
    <t>Customer 471</t>
  </si>
  <si>
    <t>O00472</t>
  </si>
  <si>
    <t>C00472</t>
  </si>
  <si>
    <t>Customer 472</t>
  </si>
  <si>
    <t>O00473</t>
  </si>
  <si>
    <t>C00473</t>
  </si>
  <si>
    <t>Customer 473</t>
  </si>
  <si>
    <t>O00474</t>
  </si>
  <si>
    <t>C00474</t>
  </si>
  <si>
    <t>Customer 474</t>
  </si>
  <si>
    <t>O00475</t>
  </si>
  <si>
    <t>C00475</t>
  </si>
  <si>
    <t>Customer 475</t>
  </si>
  <si>
    <t>O00476</t>
  </si>
  <si>
    <t>C00476</t>
  </si>
  <si>
    <t>Customer 476</t>
  </si>
  <si>
    <t>O00477</t>
  </si>
  <si>
    <t>C00477</t>
  </si>
  <si>
    <t>Customer 477</t>
  </si>
  <si>
    <t>O00478</t>
  </si>
  <si>
    <t>C00478</t>
  </si>
  <si>
    <t>Customer 478</t>
  </si>
  <si>
    <t>O00479</t>
  </si>
  <si>
    <t>C00479</t>
  </si>
  <si>
    <t>Customer 479</t>
  </si>
  <si>
    <t>O00480</t>
  </si>
  <si>
    <t>C00480</t>
  </si>
  <si>
    <t>Customer 480</t>
  </si>
  <si>
    <t>O00481</t>
  </si>
  <si>
    <t>C00481</t>
  </si>
  <si>
    <t>Customer 481</t>
  </si>
  <si>
    <t>O00482</t>
  </si>
  <si>
    <t>C00482</t>
  </si>
  <si>
    <t>Customer 482</t>
  </si>
  <si>
    <t>O00483</t>
  </si>
  <si>
    <t>C00483</t>
  </si>
  <si>
    <t>Customer 483</t>
  </si>
  <si>
    <t>O00484</t>
  </si>
  <si>
    <t>C00484</t>
  </si>
  <si>
    <t>Customer 484</t>
  </si>
  <si>
    <t>O00485</t>
  </si>
  <si>
    <t>C00485</t>
  </si>
  <si>
    <t>Customer 485</t>
  </si>
  <si>
    <t>O00486</t>
  </si>
  <si>
    <t>C00486</t>
  </si>
  <si>
    <t>Customer 486</t>
  </si>
  <si>
    <t>O00487</t>
  </si>
  <si>
    <t>C00487</t>
  </si>
  <si>
    <t>Customer 487</t>
  </si>
  <si>
    <t>O00488</t>
  </si>
  <si>
    <t>C00488</t>
  </si>
  <si>
    <t>Customer 488</t>
  </si>
  <si>
    <t>O00489</t>
  </si>
  <si>
    <t>C00489</t>
  </si>
  <si>
    <t>Customer 489</t>
  </si>
  <si>
    <t>O00490</t>
  </si>
  <si>
    <t>C00490</t>
  </si>
  <si>
    <t>Customer 490</t>
  </si>
  <si>
    <t>O00491</t>
  </si>
  <si>
    <t>C00491</t>
  </si>
  <si>
    <t>Customer 491</t>
  </si>
  <si>
    <t>O00492</t>
  </si>
  <si>
    <t>C00492</t>
  </si>
  <si>
    <t>Customer 492</t>
  </si>
  <si>
    <t>O00493</t>
  </si>
  <si>
    <t>C00493</t>
  </si>
  <si>
    <t>Customer 493</t>
  </si>
  <si>
    <t>O00494</t>
  </si>
  <si>
    <t>C00494</t>
  </si>
  <si>
    <t>Customer 494</t>
  </si>
  <si>
    <t>O00495</t>
  </si>
  <si>
    <t>C00495</t>
  </si>
  <si>
    <t>Customer 495</t>
  </si>
  <si>
    <t>O00496</t>
  </si>
  <si>
    <t>C00496</t>
  </si>
  <si>
    <t>Customer 496</t>
  </si>
  <si>
    <t>O00497</t>
  </si>
  <si>
    <t>C00497</t>
  </si>
  <si>
    <t>Customer 497</t>
  </si>
  <si>
    <t>O00498</t>
  </si>
  <si>
    <t>C00498</t>
  </si>
  <si>
    <t>Customer 498</t>
  </si>
  <si>
    <t>O00499</t>
  </si>
  <si>
    <t>C00499</t>
  </si>
  <si>
    <t>Customer 499</t>
  </si>
  <si>
    <t>O00500</t>
  </si>
  <si>
    <t>C00500</t>
  </si>
  <si>
    <t>Customer 500</t>
  </si>
  <si>
    <t>O00501</t>
  </si>
  <si>
    <t>C00501</t>
  </si>
  <si>
    <t>Customer 501</t>
  </si>
  <si>
    <t>O00502</t>
  </si>
  <si>
    <t>C00502</t>
  </si>
  <si>
    <t>Customer 502</t>
  </si>
  <si>
    <t>O00503</t>
  </si>
  <si>
    <t>C00503</t>
  </si>
  <si>
    <t>Customer 503</t>
  </si>
  <si>
    <t>O00504</t>
  </si>
  <si>
    <t>C00504</t>
  </si>
  <si>
    <t>Customer 504</t>
  </si>
  <si>
    <t>O00505</t>
  </si>
  <si>
    <t>C00505</t>
  </si>
  <si>
    <t>Customer 505</t>
  </si>
  <si>
    <t>O00506</t>
  </si>
  <si>
    <t>C00506</t>
  </si>
  <si>
    <t>Customer 506</t>
  </si>
  <si>
    <t>O00507</t>
  </si>
  <si>
    <t>C00507</t>
  </si>
  <si>
    <t>Customer 507</t>
  </si>
  <si>
    <t>O00508</t>
  </si>
  <si>
    <t>C00508</t>
  </si>
  <si>
    <t>Customer 508</t>
  </si>
  <si>
    <t>O00509</t>
  </si>
  <si>
    <t>C00509</t>
  </si>
  <si>
    <t>Customer 509</t>
  </si>
  <si>
    <t>O00510</t>
  </si>
  <si>
    <t>C00510</t>
  </si>
  <si>
    <t>Customer 510</t>
  </si>
  <si>
    <t>O00511</t>
  </si>
  <si>
    <t>C00511</t>
  </si>
  <si>
    <t>Customer 511</t>
  </si>
  <si>
    <t>O00512</t>
  </si>
  <si>
    <t>C00512</t>
  </si>
  <si>
    <t>Customer 512</t>
  </si>
  <si>
    <t>O00513</t>
  </si>
  <si>
    <t>C00513</t>
  </si>
  <si>
    <t>Customer 513</t>
  </si>
  <si>
    <t>O00514</t>
  </si>
  <si>
    <t>C00514</t>
  </si>
  <si>
    <t>Customer 514</t>
  </si>
  <si>
    <t>O00515</t>
  </si>
  <si>
    <t>C00515</t>
  </si>
  <si>
    <t>Customer 515</t>
  </si>
  <si>
    <t>O00516</t>
  </si>
  <si>
    <t>C00516</t>
  </si>
  <si>
    <t>Customer 516</t>
  </si>
  <si>
    <t>O00517</t>
  </si>
  <si>
    <t>C00517</t>
  </si>
  <si>
    <t>Customer 517</t>
  </si>
  <si>
    <t>O00518</t>
  </si>
  <si>
    <t>C00518</t>
  </si>
  <si>
    <t>Customer 518</t>
  </si>
  <si>
    <t>O00519</t>
  </si>
  <si>
    <t>C00519</t>
  </si>
  <si>
    <t>Customer 519</t>
  </si>
  <si>
    <t>O00520</t>
  </si>
  <si>
    <t>C00520</t>
  </si>
  <si>
    <t>Customer 520</t>
  </si>
  <si>
    <t>O00521</t>
  </si>
  <si>
    <t>C00521</t>
  </si>
  <si>
    <t>Customer 521</t>
  </si>
  <si>
    <t>O00522</t>
  </si>
  <si>
    <t>C00522</t>
  </si>
  <si>
    <t>Customer 522</t>
  </si>
  <si>
    <t>O00523</t>
  </si>
  <si>
    <t>C00523</t>
  </si>
  <si>
    <t>Customer 523</t>
  </si>
  <si>
    <t>O00524</t>
  </si>
  <si>
    <t>C00524</t>
  </si>
  <si>
    <t>Customer 524</t>
  </si>
  <si>
    <t>O00525</t>
  </si>
  <si>
    <t>C00525</t>
  </si>
  <si>
    <t>Customer 525</t>
  </si>
  <si>
    <t>O00526</t>
  </si>
  <si>
    <t>C00526</t>
  </si>
  <si>
    <t>Customer 526</t>
  </si>
  <si>
    <t>O00527</t>
  </si>
  <si>
    <t>C00527</t>
  </si>
  <si>
    <t>Customer 527</t>
  </si>
  <si>
    <t>O00528</t>
  </si>
  <si>
    <t>C00528</t>
  </si>
  <si>
    <t>Customer 528</t>
  </si>
  <si>
    <t>O00529</t>
  </si>
  <si>
    <t>C00529</t>
  </si>
  <si>
    <t>Customer 529</t>
  </si>
  <si>
    <t>O00530</t>
  </si>
  <si>
    <t>C00530</t>
  </si>
  <si>
    <t>Customer 530</t>
  </si>
  <si>
    <t>O00531</t>
  </si>
  <si>
    <t>C00531</t>
  </si>
  <si>
    <t>Customer 531</t>
  </si>
  <si>
    <t>O00532</t>
  </si>
  <si>
    <t>C00532</t>
  </si>
  <si>
    <t>Customer 532</t>
  </si>
  <si>
    <t>O00533</t>
  </si>
  <si>
    <t>C00533</t>
  </si>
  <si>
    <t>Customer 533</t>
  </si>
  <si>
    <t>O00534</t>
  </si>
  <si>
    <t>C00534</t>
  </si>
  <si>
    <t>Customer 534</t>
  </si>
  <si>
    <t>O00535</t>
  </si>
  <si>
    <t>C00535</t>
  </si>
  <si>
    <t>Customer 535</t>
  </si>
  <si>
    <t>O00536</t>
  </si>
  <si>
    <t>C00536</t>
  </si>
  <si>
    <t>Customer 536</t>
  </si>
  <si>
    <t>O00537</t>
  </si>
  <si>
    <t>C00537</t>
  </si>
  <si>
    <t>Customer 537</t>
  </si>
  <si>
    <t>O00538</t>
  </si>
  <si>
    <t>C00538</t>
  </si>
  <si>
    <t>Customer 538</t>
  </si>
  <si>
    <t>O00539</t>
  </si>
  <si>
    <t>C00539</t>
  </si>
  <si>
    <t>Customer 539</t>
  </si>
  <si>
    <t>O00540</t>
  </si>
  <si>
    <t>C00540</t>
  </si>
  <si>
    <t>Customer 540</t>
  </si>
  <si>
    <t>O00541</t>
  </si>
  <si>
    <t>C00541</t>
  </si>
  <si>
    <t>Customer 541</t>
  </si>
  <si>
    <t>O00542</t>
  </si>
  <si>
    <t>C00542</t>
  </si>
  <si>
    <t>Customer 542</t>
  </si>
  <si>
    <t>O00543</t>
  </si>
  <si>
    <t>C00543</t>
  </si>
  <si>
    <t>Customer 543</t>
  </si>
  <si>
    <t>O00544</t>
  </si>
  <si>
    <t>C00544</t>
  </si>
  <si>
    <t>Customer 544</t>
  </si>
  <si>
    <t>O00545</t>
  </si>
  <si>
    <t>C00545</t>
  </si>
  <si>
    <t>Customer 545</t>
  </si>
  <si>
    <t>O00546</t>
  </si>
  <si>
    <t>C00546</t>
  </si>
  <si>
    <t>Customer 546</t>
  </si>
  <si>
    <t>O00547</t>
  </si>
  <si>
    <t>C00547</t>
  </si>
  <si>
    <t>Customer 547</t>
  </si>
  <si>
    <t>O00548</t>
  </si>
  <si>
    <t>C00548</t>
  </si>
  <si>
    <t>Customer 548</t>
  </si>
  <si>
    <t>O00549</t>
  </si>
  <si>
    <t>C00549</t>
  </si>
  <si>
    <t>Customer 549</t>
  </si>
  <si>
    <t>O00550</t>
  </si>
  <si>
    <t>C00550</t>
  </si>
  <si>
    <t>Customer 550</t>
  </si>
  <si>
    <t>O00551</t>
  </si>
  <si>
    <t>C00551</t>
  </si>
  <si>
    <t>Customer 551</t>
  </si>
  <si>
    <t>O00552</t>
  </si>
  <si>
    <t>C00552</t>
  </si>
  <si>
    <t>Customer 552</t>
  </si>
  <si>
    <t>O00553</t>
  </si>
  <si>
    <t>C00553</t>
  </si>
  <si>
    <t>Customer 553</t>
  </si>
  <si>
    <t>O00554</t>
  </si>
  <si>
    <t>C00554</t>
  </si>
  <si>
    <t>Customer 554</t>
  </si>
  <si>
    <t>O00555</t>
  </si>
  <si>
    <t>C00555</t>
  </si>
  <si>
    <t>Customer 555</t>
  </si>
  <si>
    <t>O00556</t>
  </si>
  <si>
    <t>C00556</t>
  </si>
  <si>
    <t>Customer 556</t>
  </si>
  <si>
    <t>O00557</t>
  </si>
  <si>
    <t>C00557</t>
  </si>
  <si>
    <t>Customer 557</t>
  </si>
  <si>
    <t>O00558</t>
  </si>
  <si>
    <t>C00558</t>
  </si>
  <si>
    <t>Customer 558</t>
  </si>
  <si>
    <t>O00559</t>
  </si>
  <si>
    <t>C00559</t>
  </si>
  <si>
    <t>Customer 559</t>
  </si>
  <si>
    <t>O00560</t>
  </si>
  <si>
    <t>C00560</t>
  </si>
  <si>
    <t>Customer 560</t>
  </si>
  <si>
    <t>O00561</t>
  </si>
  <si>
    <t>C00561</t>
  </si>
  <si>
    <t>Customer 561</t>
  </si>
  <si>
    <t>O00562</t>
  </si>
  <si>
    <t>C00562</t>
  </si>
  <si>
    <t>Customer 562</t>
  </si>
  <si>
    <t>O00563</t>
  </si>
  <si>
    <t>C00563</t>
  </si>
  <si>
    <t>Customer 563</t>
  </si>
  <si>
    <t>O00564</t>
  </si>
  <si>
    <t>C00564</t>
  </si>
  <si>
    <t>Customer 564</t>
  </si>
  <si>
    <t>O00565</t>
  </si>
  <si>
    <t>C00565</t>
  </si>
  <si>
    <t>Customer 565</t>
  </si>
  <si>
    <t>O00566</t>
  </si>
  <si>
    <t>C00566</t>
  </si>
  <si>
    <t>Customer 566</t>
  </si>
  <si>
    <t>O00567</t>
  </si>
  <si>
    <t>C00567</t>
  </si>
  <si>
    <t>Customer 567</t>
  </si>
  <si>
    <t>O00568</t>
  </si>
  <si>
    <t>C00568</t>
  </si>
  <si>
    <t>Customer 568</t>
  </si>
  <si>
    <t>O00569</t>
  </si>
  <si>
    <t>C00569</t>
  </si>
  <si>
    <t>Customer 569</t>
  </si>
  <si>
    <t>O00570</t>
  </si>
  <si>
    <t>C00570</t>
  </si>
  <si>
    <t>Customer 570</t>
  </si>
  <si>
    <t>O00571</t>
  </si>
  <si>
    <t>C00571</t>
  </si>
  <si>
    <t>Customer 571</t>
  </si>
  <si>
    <t>O00572</t>
  </si>
  <si>
    <t>C00572</t>
  </si>
  <si>
    <t>Customer 572</t>
  </si>
  <si>
    <t>O00573</t>
  </si>
  <si>
    <t>C00573</t>
  </si>
  <si>
    <t>Customer 573</t>
  </si>
  <si>
    <t>O00574</t>
  </si>
  <si>
    <t>C00574</t>
  </si>
  <si>
    <t>Customer 574</t>
  </si>
  <si>
    <t>O00575</t>
  </si>
  <si>
    <t>C00575</t>
  </si>
  <si>
    <t>Customer 575</t>
  </si>
  <si>
    <t>O00576</t>
  </si>
  <si>
    <t>C00576</t>
  </si>
  <si>
    <t>Customer 576</t>
  </si>
  <si>
    <t>O00577</t>
  </si>
  <si>
    <t>C00577</t>
  </si>
  <si>
    <t>Customer 577</t>
  </si>
  <si>
    <t>O00578</t>
  </si>
  <si>
    <t>C00578</t>
  </si>
  <si>
    <t>Customer 578</t>
  </si>
  <si>
    <t>O00579</t>
  </si>
  <si>
    <t>C00579</t>
  </si>
  <si>
    <t>Customer 579</t>
  </si>
  <si>
    <t>O00580</t>
  </si>
  <si>
    <t>C00580</t>
  </si>
  <si>
    <t>Customer 580</t>
  </si>
  <si>
    <t>O00581</t>
  </si>
  <si>
    <t>C00581</t>
  </si>
  <si>
    <t>Customer 581</t>
  </si>
  <si>
    <t>O00582</t>
  </si>
  <si>
    <t>C00582</t>
  </si>
  <si>
    <t>Customer 582</t>
  </si>
  <si>
    <t>O00583</t>
  </si>
  <si>
    <t>C00583</t>
  </si>
  <si>
    <t>Customer 583</t>
  </si>
  <si>
    <t>O00584</t>
  </si>
  <si>
    <t>C00584</t>
  </si>
  <si>
    <t>Customer 584</t>
  </si>
  <si>
    <t>O00585</t>
  </si>
  <si>
    <t>C00585</t>
  </si>
  <si>
    <t>Customer 585</t>
  </si>
  <si>
    <t>O00586</t>
  </si>
  <si>
    <t>C00586</t>
  </si>
  <si>
    <t>Customer 586</t>
  </si>
  <si>
    <t>O00587</t>
  </si>
  <si>
    <t>C00587</t>
  </si>
  <si>
    <t>Customer 587</t>
  </si>
  <si>
    <t>O00588</t>
  </si>
  <si>
    <t>C00588</t>
  </si>
  <si>
    <t>Customer 588</t>
  </si>
  <si>
    <t>O00589</t>
  </si>
  <si>
    <t>C00589</t>
  </si>
  <si>
    <t>Customer 589</t>
  </si>
  <si>
    <t>O00590</t>
  </si>
  <si>
    <t>C00590</t>
  </si>
  <si>
    <t>Customer 590</t>
  </si>
  <si>
    <t>O00591</t>
  </si>
  <si>
    <t>C00591</t>
  </si>
  <si>
    <t>Customer 591</t>
  </si>
  <si>
    <t>O00592</t>
  </si>
  <si>
    <t>C00592</t>
  </si>
  <si>
    <t>Customer 592</t>
  </si>
  <si>
    <t>O00593</t>
  </si>
  <si>
    <t>C00593</t>
  </si>
  <si>
    <t>Customer 593</t>
  </si>
  <si>
    <t>O00594</t>
  </si>
  <si>
    <t>C00594</t>
  </si>
  <si>
    <t>Customer 594</t>
  </si>
  <si>
    <t>O00595</t>
  </si>
  <si>
    <t>C00595</t>
  </si>
  <si>
    <t>Customer 595</t>
  </si>
  <si>
    <t>O00596</t>
  </si>
  <si>
    <t>C00596</t>
  </si>
  <si>
    <t>Customer 596</t>
  </si>
  <si>
    <t>O00597</t>
  </si>
  <si>
    <t>C00597</t>
  </si>
  <si>
    <t>Customer 597</t>
  </si>
  <si>
    <t>O00598</t>
  </si>
  <si>
    <t>C00598</t>
  </si>
  <si>
    <t>Customer 598</t>
  </si>
  <si>
    <t>O00599</t>
  </si>
  <si>
    <t>C00599</t>
  </si>
  <si>
    <t>Customer 599</t>
  </si>
  <si>
    <t>O00600</t>
  </si>
  <si>
    <t>C00600</t>
  </si>
  <si>
    <t>Customer 600</t>
  </si>
  <si>
    <t>O00601</t>
  </si>
  <si>
    <t>C00601</t>
  </si>
  <si>
    <t>Customer 601</t>
  </si>
  <si>
    <t>O00602</t>
  </si>
  <si>
    <t>C00602</t>
  </si>
  <si>
    <t>Customer 602</t>
  </si>
  <si>
    <t>O00603</t>
  </si>
  <si>
    <t>C00603</t>
  </si>
  <si>
    <t>Customer 603</t>
  </si>
  <si>
    <t>O00604</t>
  </si>
  <si>
    <t>C00604</t>
  </si>
  <si>
    <t>Customer 604</t>
  </si>
  <si>
    <t>O00605</t>
  </si>
  <si>
    <t>C00605</t>
  </si>
  <si>
    <t>Customer 605</t>
  </si>
  <si>
    <t>O00606</t>
  </si>
  <si>
    <t>C00606</t>
  </si>
  <si>
    <t>Customer 606</t>
  </si>
  <si>
    <t>O00607</t>
  </si>
  <si>
    <t>C00607</t>
  </si>
  <si>
    <t>Customer 607</t>
  </si>
  <si>
    <t>O00608</t>
  </si>
  <si>
    <t>C00608</t>
  </si>
  <si>
    <t>Customer 608</t>
  </si>
  <si>
    <t>O00609</t>
  </si>
  <si>
    <t>C00609</t>
  </si>
  <si>
    <t>Customer 609</t>
  </si>
  <si>
    <t>O00610</t>
  </si>
  <si>
    <t>C00610</t>
  </si>
  <si>
    <t>Customer 610</t>
  </si>
  <si>
    <t>O00611</t>
  </si>
  <si>
    <t>C00611</t>
  </si>
  <si>
    <t>Customer 611</t>
  </si>
  <si>
    <t>O00612</t>
  </si>
  <si>
    <t>C00612</t>
  </si>
  <si>
    <t>Customer 612</t>
  </si>
  <si>
    <t>O00613</t>
  </si>
  <si>
    <t>C00613</t>
  </si>
  <si>
    <t>Customer 613</t>
  </si>
  <si>
    <t>O00614</t>
  </si>
  <si>
    <t>C00614</t>
  </si>
  <si>
    <t>Customer 614</t>
  </si>
  <si>
    <t>O00615</t>
  </si>
  <si>
    <t>C00615</t>
  </si>
  <si>
    <t>Customer 615</t>
  </si>
  <si>
    <t>O00616</t>
  </si>
  <si>
    <t>C00616</t>
  </si>
  <si>
    <t>Customer 616</t>
  </si>
  <si>
    <t>O00617</t>
  </si>
  <si>
    <t>C00617</t>
  </si>
  <si>
    <t>Customer 617</t>
  </si>
  <si>
    <t>O00618</t>
  </si>
  <si>
    <t>C00618</t>
  </si>
  <si>
    <t>Customer 618</t>
  </si>
  <si>
    <t>O00619</t>
  </si>
  <si>
    <t>C00619</t>
  </si>
  <si>
    <t>Customer 619</t>
  </si>
  <si>
    <t>O00620</t>
  </si>
  <si>
    <t>C00620</t>
  </si>
  <si>
    <t>Customer 620</t>
  </si>
  <si>
    <t>O00621</t>
  </si>
  <si>
    <t>C00621</t>
  </si>
  <si>
    <t>Customer 621</t>
  </si>
  <si>
    <t>O00622</t>
  </si>
  <si>
    <t>C00622</t>
  </si>
  <si>
    <t>Customer 622</t>
  </si>
  <si>
    <t>O00623</t>
  </si>
  <si>
    <t>C00623</t>
  </si>
  <si>
    <t>Customer 623</t>
  </si>
  <si>
    <t>O00624</t>
  </si>
  <si>
    <t>C00624</t>
  </si>
  <si>
    <t>Customer 624</t>
  </si>
  <si>
    <t>O00625</t>
  </si>
  <si>
    <t>C00625</t>
  </si>
  <si>
    <t>Customer 625</t>
  </si>
  <si>
    <t>O00626</t>
  </si>
  <si>
    <t>C00626</t>
  </si>
  <si>
    <t>Customer 626</t>
  </si>
  <si>
    <t>O00627</t>
  </si>
  <si>
    <t>C00627</t>
  </si>
  <si>
    <t>Customer 627</t>
  </si>
  <si>
    <t>O00628</t>
  </si>
  <si>
    <t>C00628</t>
  </si>
  <si>
    <t>Customer 628</t>
  </si>
  <si>
    <t>O00629</t>
  </si>
  <si>
    <t>C00629</t>
  </si>
  <si>
    <t>Customer 629</t>
  </si>
  <si>
    <t>O00630</t>
  </si>
  <si>
    <t>C00630</t>
  </si>
  <si>
    <t>Customer 630</t>
  </si>
  <si>
    <t>O00631</t>
  </si>
  <si>
    <t>C00631</t>
  </si>
  <si>
    <t>Customer 631</t>
  </si>
  <si>
    <t>O00632</t>
  </si>
  <si>
    <t>C00632</t>
  </si>
  <si>
    <t>Customer 632</t>
  </si>
  <si>
    <t>O00633</t>
  </si>
  <si>
    <t>C00633</t>
  </si>
  <si>
    <t>Customer 633</t>
  </si>
  <si>
    <t>O00634</t>
  </si>
  <si>
    <t>C00634</t>
  </si>
  <si>
    <t>Customer 634</t>
  </si>
  <si>
    <t>O00635</t>
  </si>
  <si>
    <t>C00635</t>
  </si>
  <si>
    <t>Customer 635</t>
  </si>
  <si>
    <t>O00636</t>
  </si>
  <si>
    <t>C00636</t>
  </si>
  <si>
    <t>Customer 636</t>
  </si>
  <si>
    <t>O00637</t>
  </si>
  <si>
    <t>C00637</t>
  </si>
  <si>
    <t>Customer 637</t>
  </si>
  <si>
    <t>O00638</t>
  </si>
  <si>
    <t>C00638</t>
  </si>
  <si>
    <t>Customer 638</t>
  </si>
  <si>
    <t>O00639</t>
  </si>
  <si>
    <t>C00639</t>
  </si>
  <si>
    <t>Customer 639</t>
  </si>
  <si>
    <t>O00640</t>
  </si>
  <si>
    <t>C00640</t>
  </si>
  <si>
    <t>Customer 640</t>
  </si>
  <si>
    <t>O00641</t>
  </si>
  <si>
    <t>C00641</t>
  </si>
  <si>
    <t>Customer 641</t>
  </si>
  <si>
    <t>O00642</t>
  </si>
  <si>
    <t>C00642</t>
  </si>
  <si>
    <t>Customer 642</t>
  </si>
  <si>
    <t>O00643</t>
  </si>
  <si>
    <t>C00643</t>
  </si>
  <si>
    <t>Customer 643</t>
  </si>
  <si>
    <t>O00644</t>
  </si>
  <si>
    <t>C00644</t>
  </si>
  <si>
    <t>Customer 644</t>
  </si>
  <si>
    <t>O00645</t>
  </si>
  <si>
    <t>C00645</t>
  </si>
  <si>
    <t>Customer 645</t>
  </si>
  <si>
    <t>O00646</t>
  </si>
  <si>
    <t>C00646</t>
  </si>
  <si>
    <t>Customer 646</t>
  </si>
  <si>
    <t>O00647</t>
  </si>
  <si>
    <t>C00647</t>
  </si>
  <si>
    <t>Customer 647</t>
  </si>
  <si>
    <t>O00648</t>
  </si>
  <si>
    <t>C00648</t>
  </si>
  <si>
    <t>Customer 648</t>
  </si>
  <si>
    <t>O00649</t>
  </si>
  <si>
    <t>C00649</t>
  </si>
  <si>
    <t>Customer 649</t>
  </si>
  <si>
    <t>O00650</t>
  </si>
  <si>
    <t>C00650</t>
  </si>
  <si>
    <t>Customer 650</t>
  </si>
  <si>
    <t>O00651</t>
  </si>
  <si>
    <t>C00651</t>
  </si>
  <si>
    <t>Customer 651</t>
  </si>
  <si>
    <t>O00652</t>
  </si>
  <si>
    <t>C00652</t>
  </si>
  <si>
    <t>Customer 652</t>
  </si>
  <si>
    <t>O00653</t>
  </si>
  <si>
    <t>C00653</t>
  </si>
  <si>
    <t>Customer 653</t>
  </si>
  <si>
    <t>O00654</t>
  </si>
  <si>
    <t>C00654</t>
  </si>
  <si>
    <t>Customer 654</t>
  </si>
  <si>
    <t>O00655</t>
  </si>
  <si>
    <t>C00655</t>
  </si>
  <si>
    <t>Customer 655</t>
  </si>
  <si>
    <t>O00656</t>
  </si>
  <si>
    <t>C00656</t>
  </si>
  <si>
    <t>Customer 656</t>
  </si>
  <si>
    <t>O00657</t>
  </si>
  <si>
    <t>C00657</t>
  </si>
  <si>
    <t>Customer 657</t>
  </si>
  <si>
    <t>O00658</t>
  </si>
  <si>
    <t>C00658</t>
  </si>
  <si>
    <t>Customer 658</t>
  </si>
  <si>
    <t>O00659</t>
  </si>
  <si>
    <t>C00659</t>
  </si>
  <si>
    <t>Customer 659</t>
  </si>
  <si>
    <t>O00660</t>
  </si>
  <si>
    <t>C00660</t>
  </si>
  <si>
    <t>Customer 660</t>
  </si>
  <si>
    <t>O00661</t>
  </si>
  <si>
    <t>C00661</t>
  </si>
  <si>
    <t>Customer 661</t>
  </si>
  <si>
    <t>O00662</t>
  </si>
  <si>
    <t>C00662</t>
  </si>
  <si>
    <t>Customer 662</t>
  </si>
  <si>
    <t>O00663</t>
  </si>
  <si>
    <t>C00663</t>
  </si>
  <si>
    <t>Customer 663</t>
  </si>
  <si>
    <t>O00664</t>
  </si>
  <si>
    <t>C00664</t>
  </si>
  <si>
    <t>Customer 664</t>
  </si>
  <si>
    <t>O00665</t>
  </si>
  <si>
    <t>C00665</t>
  </si>
  <si>
    <t>Customer 665</t>
  </si>
  <si>
    <t>O00666</t>
  </si>
  <si>
    <t>C00666</t>
  </si>
  <si>
    <t>Customer 666</t>
  </si>
  <si>
    <t>O00667</t>
  </si>
  <si>
    <t>C00667</t>
  </si>
  <si>
    <t>Customer 667</t>
  </si>
  <si>
    <t>O00668</t>
  </si>
  <si>
    <t>C00668</t>
  </si>
  <si>
    <t>Customer 668</t>
  </si>
  <si>
    <t>O00669</t>
  </si>
  <si>
    <t>C00669</t>
  </si>
  <si>
    <t>Customer 669</t>
  </si>
  <si>
    <t>O00670</t>
  </si>
  <si>
    <t>C00670</t>
  </si>
  <si>
    <t>Customer 670</t>
  </si>
  <si>
    <t>O00671</t>
  </si>
  <si>
    <t>C00671</t>
  </si>
  <si>
    <t>Customer 671</t>
  </si>
  <si>
    <t>O00672</t>
  </si>
  <si>
    <t>C00672</t>
  </si>
  <si>
    <t>Customer 672</t>
  </si>
  <si>
    <t>O00673</t>
  </si>
  <si>
    <t>C00673</t>
  </si>
  <si>
    <t>Customer 673</t>
  </si>
  <si>
    <t>O00674</t>
  </si>
  <si>
    <t>C00674</t>
  </si>
  <si>
    <t>Customer 674</t>
  </si>
  <si>
    <t>O00675</t>
  </si>
  <si>
    <t>C00675</t>
  </si>
  <si>
    <t>Customer 675</t>
  </si>
  <si>
    <t>O00676</t>
  </si>
  <si>
    <t>C00676</t>
  </si>
  <si>
    <t>Customer 676</t>
  </si>
  <si>
    <t>O00677</t>
  </si>
  <si>
    <t>C00677</t>
  </si>
  <si>
    <t>Customer 677</t>
  </si>
  <si>
    <t>O00678</t>
  </si>
  <si>
    <t>C00678</t>
  </si>
  <si>
    <t>Customer 678</t>
  </si>
  <si>
    <t>O00679</t>
  </si>
  <si>
    <t>C00679</t>
  </si>
  <si>
    <t>Customer 679</t>
  </si>
  <si>
    <t>O00680</t>
  </si>
  <si>
    <t>C00680</t>
  </si>
  <si>
    <t>Customer 680</t>
  </si>
  <si>
    <t>O00681</t>
  </si>
  <si>
    <t>C00681</t>
  </si>
  <si>
    <t>Customer 681</t>
  </si>
  <si>
    <t>O00682</t>
  </si>
  <si>
    <t>C00682</t>
  </si>
  <si>
    <t>Customer 682</t>
  </si>
  <si>
    <t>O00683</t>
  </si>
  <si>
    <t>C00683</t>
  </si>
  <si>
    <t>Customer 683</t>
  </si>
  <si>
    <t>O00684</t>
  </si>
  <si>
    <t>C00684</t>
  </si>
  <si>
    <t>Customer 684</t>
  </si>
  <si>
    <t>O00685</t>
  </si>
  <si>
    <t>C00685</t>
  </si>
  <si>
    <t>Customer 685</t>
  </si>
  <si>
    <t>O00686</t>
  </si>
  <si>
    <t>C00686</t>
  </si>
  <si>
    <t>Customer 686</t>
  </si>
  <si>
    <t>O00687</t>
  </si>
  <si>
    <t>C00687</t>
  </si>
  <si>
    <t>Customer 687</t>
  </si>
  <si>
    <t>O00688</t>
  </si>
  <si>
    <t>C00688</t>
  </si>
  <si>
    <t>Customer 688</t>
  </si>
  <si>
    <t>O00689</t>
  </si>
  <si>
    <t>C00689</t>
  </si>
  <si>
    <t>Customer 689</t>
  </si>
  <si>
    <t>O00690</t>
  </si>
  <si>
    <t>C00690</t>
  </si>
  <si>
    <t>Customer 690</t>
  </si>
  <si>
    <t>O00691</t>
  </si>
  <si>
    <t>C00691</t>
  </si>
  <si>
    <t>Customer 691</t>
  </si>
  <si>
    <t>O00692</t>
  </si>
  <si>
    <t>C00692</t>
  </si>
  <si>
    <t>Customer 692</t>
  </si>
  <si>
    <t>O00693</t>
  </si>
  <si>
    <t>C00693</t>
  </si>
  <si>
    <t>Customer 693</t>
  </si>
  <si>
    <t>O00694</t>
  </si>
  <si>
    <t>C00694</t>
  </si>
  <si>
    <t>Customer 694</t>
  </si>
  <si>
    <t>O00695</t>
  </si>
  <si>
    <t>C00695</t>
  </si>
  <si>
    <t>Customer 695</t>
  </si>
  <si>
    <t>O00696</t>
  </si>
  <si>
    <t>C00696</t>
  </si>
  <si>
    <t>Customer 696</t>
  </si>
  <si>
    <t>O00697</t>
  </si>
  <si>
    <t>C00697</t>
  </si>
  <si>
    <t>Customer 697</t>
  </si>
  <si>
    <t>O00698</t>
  </si>
  <si>
    <t>C00698</t>
  </si>
  <si>
    <t>Customer 698</t>
  </si>
  <si>
    <t>O00699</t>
  </si>
  <si>
    <t>C00699</t>
  </si>
  <si>
    <t>Customer 699</t>
  </si>
  <si>
    <t>O00700</t>
  </si>
  <si>
    <t>C00700</t>
  </si>
  <si>
    <t>Customer 700</t>
  </si>
  <si>
    <t>O00701</t>
  </si>
  <si>
    <t>C00701</t>
  </si>
  <si>
    <t>Customer 701</t>
  </si>
  <si>
    <t>O00702</t>
  </si>
  <si>
    <t>C00702</t>
  </si>
  <si>
    <t>Customer 702</t>
  </si>
  <si>
    <t>O00703</t>
  </si>
  <si>
    <t>C00703</t>
  </si>
  <si>
    <t>Customer 703</t>
  </si>
  <si>
    <t>O00704</t>
  </si>
  <si>
    <t>C00704</t>
  </si>
  <si>
    <t>Customer 704</t>
  </si>
  <si>
    <t>O00705</t>
  </si>
  <si>
    <t>C00705</t>
  </si>
  <si>
    <t>Customer 705</t>
  </si>
  <si>
    <t>O00706</t>
  </si>
  <si>
    <t>C00706</t>
  </si>
  <si>
    <t>Customer 706</t>
  </si>
  <si>
    <t>O00707</t>
  </si>
  <si>
    <t>C00707</t>
  </si>
  <si>
    <t>Customer 707</t>
  </si>
  <si>
    <t>O00708</t>
  </si>
  <si>
    <t>C00708</t>
  </si>
  <si>
    <t>Customer 708</t>
  </si>
  <si>
    <t>O00709</t>
  </si>
  <si>
    <t>C00709</t>
  </si>
  <si>
    <t>Customer 709</t>
  </si>
  <si>
    <t>O00710</t>
  </si>
  <si>
    <t>C00710</t>
  </si>
  <si>
    <t>Customer 710</t>
  </si>
  <si>
    <t>O00711</t>
  </si>
  <si>
    <t>C00711</t>
  </si>
  <si>
    <t>Customer 711</t>
  </si>
  <si>
    <t>O00712</t>
  </si>
  <si>
    <t>C00712</t>
  </si>
  <si>
    <t>Customer 712</t>
  </si>
  <si>
    <t>O00713</t>
  </si>
  <si>
    <t>C00713</t>
  </si>
  <si>
    <t>Customer 713</t>
  </si>
  <si>
    <t>O00714</t>
  </si>
  <si>
    <t>C00714</t>
  </si>
  <si>
    <t>Customer 714</t>
  </si>
  <si>
    <t>O00715</t>
  </si>
  <si>
    <t>C00715</t>
  </si>
  <si>
    <t>Customer 715</t>
  </si>
  <si>
    <t>O00716</t>
  </si>
  <si>
    <t>C00716</t>
  </si>
  <si>
    <t>Customer 716</t>
  </si>
  <si>
    <t>O00717</t>
  </si>
  <si>
    <t>C00717</t>
  </si>
  <si>
    <t>Customer 717</t>
  </si>
  <si>
    <t>O00718</t>
  </si>
  <si>
    <t>C00718</t>
  </si>
  <si>
    <t>Customer 718</t>
  </si>
  <si>
    <t>O00719</t>
  </si>
  <si>
    <t>C00719</t>
  </si>
  <si>
    <t>Customer 719</t>
  </si>
  <si>
    <t>O00720</t>
  </si>
  <si>
    <t>C00720</t>
  </si>
  <si>
    <t>Customer 720</t>
  </si>
  <si>
    <t>O00721</t>
  </si>
  <si>
    <t>C00721</t>
  </si>
  <si>
    <t>Customer 721</t>
  </si>
  <si>
    <t>O00722</t>
  </si>
  <si>
    <t>C00722</t>
  </si>
  <si>
    <t>Customer 722</t>
  </si>
  <si>
    <t>O00723</t>
  </si>
  <si>
    <t>C00723</t>
  </si>
  <si>
    <t>Customer 723</t>
  </si>
  <si>
    <t>O00724</t>
  </si>
  <si>
    <t>C00724</t>
  </si>
  <si>
    <t>Customer 724</t>
  </si>
  <si>
    <t>O00725</t>
  </si>
  <si>
    <t>C00725</t>
  </si>
  <si>
    <t>Customer 725</t>
  </si>
  <si>
    <t>O00726</t>
  </si>
  <si>
    <t>C00726</t>
  </si>
  <si>
    <t>Customer 726</t>
  </si>
  <si>
    <t>O00727</t>
  </si>
  <si>
    <t>C00727</t>
  </si>
  <si>
    <t>Customer 727</t>
  </si>
  <si>
    <t>O00728</t>
  </si>
  <si>
    <t>C00728</t>
  </si>
  <si>
    <t>Customer 728</t>
  </si>
  <si>
    <t>O00729</t>
  </si>
  <si>
    <t>C00729</t>
  </si>
  <si>
    <t>Customer 729</t>
  </si>
  <si>
    <t>O00730</t>
  </si>
  <si>
    <t>C00730</t>
  </si>
  <si>
    <t>Customer 730</t>
  </si>
  <si>
    <t>O00731</t>
  </si>
  <si>
    <t>C00731</t>
  </si>
  <si>
    <t>Customer 731</t>
  </si>
  <si>
    <t>O00732</t>
  </si>
  <si>
    <t>C00732</t>
  </si>
  <si>
    <t>Customer 732</t>
  </si>
  <si>
    <t>O00733</t>
  </si>
  <si>
    <t>C00733</t>
  </si>
  <si>
    <t>Customer 733</t>
  </si>
  <si>
    <t>O00734</t>
  </si>
  <si>
    <t>C00734</t>
  </si>
  <si>
    <t>Customer 734</t>
  </si>
  <si>
    <t>O00735</t>
  </si>
  <si>
    <t>C00735</t>
  </si>
  <si>
    <t>Customer 735</t>
  </si>
  <si>
    <t>O00736</t>
  </si>
  <si>
    <t>C00736</t>
  </si>
  <si>
    <t>Customer 736</t>
  </si>
  <si>
    <t>O00737</t>
  </si>
  <si>
    <t>C00737</t>
  </si>
  <si>
    <t>Customer 737</t>
  </si>
  <si>
    <t>O00738</t>
  </si>
  <si>
    <t>C00738</t>
  </si>
  <si>
    <t>Customer 738</t>
  </si>
  <si>
    <t>O00739</t>
  </si>
  <si>
    <t>C00739</t>
  </si>
  <si>
    <t>Customer 739</t>
  </si>
  <si>
    <t>O00740</t>
  </si>
  <si>
    <t>C00740</t>
  </si>
  <si>
    <t>Customer 740</t>
  </si>
  <si>
    <t>O00741</t>
  </si>
  <si>
    <t>C00741</t>
  </si>
  <si>
    <t>Customer 741</t>
  </si>
  <si>
    <t>O00742</t>
  </si>
  <si>
    <t>C00742</t>
  </si>
  <si>
    <t>Customer 742</t>
  </si>
  <si>
    <t>O00743</t>
  </si>
  <si>
    <t>C00743</t>
  </si>
  <si>
    <t>Customer 743</t>
  </si>
  <si>
    <t>O00744</t>
  </si>
  <si>
    <t>C00744</t>
  </si>
  <si>
    <t>Customer 744</t>
  </si>
  <si>
    <t>O00745</t>
  </si>
  <si>
    <t>C00745</t>
  </si>
  <si>
    <t>Customer 745</t>
  </si>
  <si>
    <t>O00746</t>
  </si>
  <si>
    <t>C00746</t>
  </si>
  <si>
    <t>Customer 746</t>
  </si>
  <si>
    <t>O00747</t>
  </si>
  <si>
    <t>C00747</t>
  </si>
  <si>
    <t>Customer 747</t>
  </si>
  <si>
    <t>O00748</t>
  </si>
  <si>
    <t>C00748</t>
  </si>
  <si>
    <t>Customer 748</t>
  </si>
  <si>
    <t>O00749</t>
  </si>
  <si>
    <t>C00749</t>
  </si>
  <si>
    <t>Customer 749</t>
  </si>
  <si>
    <t>O00750</t>
  </si>
  <si>
    <t>C00750</t>
  </si>
  <si>
    <t>Customer 750</t>
  </si>
  <si>
    <t>O00751</t>
  </si>
  <si>
    <t>C00751</t>
  </si>
  <si>
    <t>Customer 751</t>
  </si>
  <si>
    <t>O00752</t>
  </si>
  <si>
    <t>C00752</t>
  </si>
  <si>
    <t>Customer 752</t>
  </si>
  <si>
    <t>O00753</t>
  </si>
  <si>
    <t>C00753</t>
  </si>
  <si>
    <t>Customer 753</t>
  </si>
  <si>
    <t>O00754</t>
  </si>
  <si>
    <t>C00754</t>
  </si>
  <si>
    <t>Customer 754</t>
  </si>
  <si>
    <t>O00755</t>
  </si>
  <si>
    <t>C00755</t>
  </si>
  <si>
    <t>Customer 755</t>
  </si>
  <si>
    <t>O00756</t>
  </si>
  <si>
    <t>C00756</t>
  </si>
  <si>
    <t>Customer 756</t>
  </si>
  <si>
    <t>O00757</t>
  </si>
  <si>
    <t>C00757</t>
  </si>
  <si>
    <t>Customer 757</t>
  </si>
  <si>
    <t>O00758</t>
  </si>
  <si>
    <t>C00758</t>
  </si>
  <si>
    <t>Customer 758</t>
  </si>
  <si>
    <t>O00759</t>
  </si>
  <si>
    <t>C00759</t>
  </si>
  <si>
    <t>Customer 759</t>
  </si>
  <si>
    <t>O00760</t>
  </si>
  <si>
    <t>C00760</t>
  </si>
  <si>
    <t>Customer 760</t>
  </si>
  <si>
    <t>O00761</t>
  </si>
  <si>
    <t>C00761</t>
  </si>
  <si>
    <t>Customer 761</t>
  </si>
  <si>
    <t>O00762</t>
  </si>
  <si>
    <t>C00762</t>
  </si>
  <si>
    <t>Customer 762</t>
  </si>
  <si>
    <t>O00763</t>
  </si>
  <si>
    <t>C00763</t>
  </si>
  <si>
    <t>Customer 763</t>
  </si>
  <si>
    <t>O00764</t>
  </si>
  <si>
    <t>C00764</t>
  </si>
  <si>
    <t>Customer 764</t>
  </si>
  <si>
    <t>O00765</t>
  </si>
  <si>
    <t>C00765</t>
  </si>
  <si>
    <t>Customer 765</t>
  </si>
  <si>
    <t>O00766</t>
  </si>
  <si>
    <t>C00766</t>
  </si>
  <si>
    <t>Customer 766</t>
  </si>
  <si>
    <t>O00767</t>
  </si>
  <si>
    <t>C00767</t>
  </si>
  <si>
    <t>Customer 767</t>
  </si>
  <si>
    <t>O00768</t>
  </si>
  <si>
    <t>C00768</t>
  </si>
  <si>
    <t>Customer 768</t>
  </si>
  <si>
    <t>O00769</t>
  </si>
  <si>
    <t>C00769</t>
  </si>
  <si>
    <t>Customer 769</t>
  </si>
  <si>
    <t>O00770</t>
  </si>
  <si>
    <t>C00770</t>
  </si>
  <si>
    <t>Customer 770</t>
  </si>
  <si>
    <t>O00771</t>
  </si>
  <si>
    <t>C00771</t>
  </si>
  <si>
    <t>Customer 771</t>
  </si>
  <si>
    <t>O00772</t>
  </si>
  <si>
    <t>C00772</t>
  </si>
  <si>
    <t>Customer 772</t>
  </si>
  <si>
    <t>O00773</t>
  </si>
  <si>
    <t>C00773</t>
  </si>
  <si>
    <t>Customer 773</t>
  </si>
  <si>
    <t>O00774</t>
  </si>
  <si>
    <t>C00774</t>
  </si>
  <si>
    <t>Customer 774</t>
  </si>
  <si>
    <t>O00775</t>
  </si>
  <si>
    <t>C00775</t>
  </si>
  <si>
    <t>Customer 775</t>
  </si>
  <si>
    <t>O00776</t>
  </si>
  <si>
    <t>C00776</t>
  </si>
  <si>
    <t>Customer 776</t>
  </si>
  <si>
    <t>O00777</t>
  </si>
  <si>
    <t>C00777</t>
  </si>
  <si>
    <t>Customer 777</t>
  </si>
  <si>
    <t>O00778</t>
  </si>
  <si>
    <t>C00778</t>
  </si>
  <si>
    <t>Customer 778</t>
  </si>
  <si>
    <t>O00779</t>
  </si>
  <si>
    <t>C00779</t>
  </si>
  <si>
    <t>Customer 779</t>
  </si>
  <si>
    <t>O00780</t>
  </si>
  <si>
    <t>C00780</t>
  </si>
  <si>
    <t>Customer 780</t>
  </si>
  <si>
    <t>O00781</t>
  </si>
  <si>
    <t>C00781</t>
  </si>
  <si>
    <t>Customer 781</t>
  </si>
  <si>
    <t>O00782</t>
  </si>
  <si>
    <t>C00782</t>
  </si>
  <si>
    <t>Customer 782</t>
  </si>
  <si>
    <t>O00783</t>
  </si>
  <si>
    <t>C00783</t>
  </si>
  <si>
    <t>Customer 783</t>
  </si>
  <si>
    <t>O00784</t>
  </si>
  <si>
    <t>C00784</t>
  </si>
  <si>
    <t>Customer 784</t>
  </si>
  <si>
    <t>O00785</t>
  </si>
  <si>
    <t>C00785</t>
  </si>
  <si>
    <t>Customer 785</t>
  </si>
  <si>
    <t>O00786</t>
  </si>
  <si>
    <t>C00786</t>
  </si>
  <si>
    <t>Customer 786</t>
  </si>
  <si>
    <t>O00787</t>
  </si>
  <si>
    <t>C00787</t>
  </si>
  <si>
    <t>Customer 787</t>
  </si>
  <si>
    <t>O00788</t>
  </si>
  <si>
    <t>C00788</t>
  </si>
  <si>
    <t>Customer 788</t>
  </si>
  <si>
    <t>O00789</t>
  </si>
  <si>
    <t>C00789</t>
  </si>
  <si>
    <t>Customer 789</t>
  </si>
  <si>
    <t>O00790</t>
  </si>
  <si>
    <t>C00790</t>
  </si>
  <si>
    <t>Customer 790</t>
  </si>
  <si>
    <t>O00791</t>
  </si>
  <si>
    <t>C00791</t>
  </si>
  <si>
    <t>Customer 791</t>
  </si>
  <si>
    <t>O00792</t>
  </si>
  <si>
    <t>C00792</t>
  </si>
  <si>
    <t>Customer 792</t>
  </si>
  <si>
    <t>O00793</t>
  </si>
  <si>
    <t>C00793</t>
  </si>
  <si>
    <t>Customer 793</t>
  </si>
  <si>
    <t>O00794</t>
  </si>
  <si>
    <t>C00794</t>
  </si>
  <si>
    <t>Customer 794</t>
  </si>
  <si>
    <t>O00795</t>
  </si>
  <si>
    <t>C00795</t>
  </si>
  <si>
    <t>Customer 795</t>
  </si>
  <si>
    <t>O00796</t>
  </si>
  <si>
    <t>C00796</t>
  </si>
  <si>
    <t>Customer 796</t>
  </si>
  <si>
    <t>O00797</t>
  </si>
  <si>
    <t>C00797</t>
  </si>
  <si>
    <t>Customer 797</t>
  </si>
  <si>
    <t>O00798</t>
  </si>
  <si>
    <t>C00798</t>
  </si>
  <si>
    <t>Customer 798</t>
  </si>
  <si>
    <t>O00799</t>
  </si>
  <si>
    <t>C00799</t>
  </si>
  <si>
    <t>Customer 799</t>
  </si>
  <si>
    <t>O00800</t>
  </si>
  <si>
    <t>C00800</t>
  </si>
  <si>
    <t>Customer 800</t>
  </si>
  <si>
    <t>O00801</t>
  </si>
  <si>
    <t>C00801</t>
  </si>
  <si>
    <t>Customer 801</t>
  </si>
  <si>
    <t>O00802</t>
  </si>
  <si>
    <t>C00802</t>
  </si>
  <si>
    <t>Customer 802</t>
  </si>
  <si>
    <t>O00803</t>
  </si>
  <si>
    <t>C00803</t>
  </si>
  <si>
    <t>Customer 803</t>
  </si>
  <si>
    <t>O00804</t>
  </si>
  <si>
    <t>C00804</t>
  </si>
  <si>
    <t>Customer 804</t>
  </si>
  <si>
    <t>O00805</t>
  </si>
  <si>
    <t>C00805</t>
  </si>
  <si>
    <t>Customer 805</t>
  </si>
  <si>
    <t>O00806</t>
  </si>
  <si>
    <t>C00806</t>
  </si>
  <si>
    <t>Customer 806</t>
  </si>
  <si>
    <t>O00807</t>
  </si>
  <si>
    <t>C00807</t>
  </si>
  <si>
    <t>Customer 807</t>
  </si>
  <si>
    <t>O00808</t>
  </si>
  <si>
    <t>C00808</t>
  </si>
  <si>
    <t>Customer 808</t>
  </si>
  <si>
    <t>O00809</t>
  </si>
  <si>
    <t>C00809</t>
  </si>
  <si>
    <t>Customer 809</t>
  </si>
  <si>
    <t>O00810</t>
  </si>
  <si>
    <t>C00810</t>
  </si>
  <si>
    <t>Customer 810</t>
  </si>
  <si>
    <t>O00811</t>
  </si>
  <si>
    <t>C00811</t>
  </si>
  <si>
    <t>Customer 811</t>
  </si>
  <si>
    <t>O00812</t>
  </si>
  <si>
    <t>C00812</t>
  </si>
  <si>
    <t>Customer 812</t>
  </si>
  <si>
    <t>O00813</t>
  </si>
  <si>
    <t>C00813</t>
  </si>
  <si>
    <t>Customer 813</t>
  </si>
  <si>
    <t>O00814</t>
  </si>
  <si>
    <t>C00814</t>
  </si>
  <si>
    <t>Customer 814</t>
  </si>
  <si>
    <t>O00815</t>
  </si>
  <si>
    <t>C00815</t>
  </si>
  <si>
    <t>Customer 815</t>
  </si>
  <si>
    <t>O00816</t>
  </si>
  <si>
    <t>C00816</t>
  </si>
  <si>
    <t>Customer 816</t>
  </si>
  <si>
    <t>O00817</t>
  </si>
  <si>
    <t>C00817</t>
  </si>
  <si>
    <t>Customer 817</t>
  </si>
  <si>
    <t>O00818</t>
  </si>
  <si>
    <t>C00818</t>
  </si>
  <si>
    <t>Customer 818</t>
  </si>
  <si>
    <t>O00819</t>
  </si>
  <si>
    <t>C00819</t>
  </si>
  <si>
    <t>Customer 819</t>
  </si>
  <si>
    <t>O00820</t>
  </si>
  <si>
    <t>C00820</t>
  </si>
  <si>
    <t>Customer 820</t>
  </si>
  <si>
    <t>O00821</t>
  </si>
  <si>
    <t>C00821</t>
  </si>
  <si>
    <t>Customer 821</t>
  </si>
  <si>
    <t>O00822</t>
  </si>
  <si>
    <t>C00822</t>
  </si>
  <si>
    <t>Customer 822</t>
  </si>
  <si>
    <t>O00823</t>
  </si>
  <si>
    <t>C00823</t>
  </si>
  <si>
    <t>Customer 823</t>
  </si>
  <si>
    <t>O00824</t>
  </si>
  <si>
    <t>C00824</t>
  </si>
  <si>
    <t>Customer 824</t>
  </si>
  <si>
    <t>O00825</t>
  </si>
  <si>
    <t>C00825</t>
  </si>
  <si>
    <t>Customer 825</t>
  </si>
  <si>
    <t>O00826</t>
  </si>
  <si>
    <t>C00826</t>
  </si>
  <si>
    <t>Customer 826</t>
  </si>
  <si>
    <t>O00827</t>
  </si>
  <si>
    <t>C00827</t>
  </si>
  <si>
    <t>Customer 827</t>
  </si>
  <si>
    <t>O00828</t>
  </si>
  <si>
    <t>C00828</t>
  </si>
  <si>
    <t>Customer 828</t>
  </si>
  <si>
    <t>O00829</t>
  </si>
  <si>
    <t>C00829</t>
  </si>
  <si>
    <t>Customer 829</t>
  </si>
  <si>
    <t>O00830</t>
  </si>
  <si>
    <t>C00830</t>
  </si>
  <si>
    <t>Customer 830</t>
  </si>
  <si>
    <t>O00831</t>
  </si>
  <si>
    <t>C00831</t>
  </si>
  <si>
    <t>Customer 831</t>
  </si>
  <si>
    <t>O00832</t>
  </si>
  <si>
    <t>C00832</t>
  </si>
  <si>
    <t>Customer 832</t>
  </si>
  <si>
    <t>O00833</t>
  </si>
  <si>
    <t>C00833</t>
  </si>
  <si>
    <t>Customer 833</t>
  </si>
  <si>
    <t>O00834</t>
  </si>
  <si>
    <t>C00834</t>
  </si>
  <si>
    <t>Customer 834</t>
  </si>
  <si>
    <t>O00835</t>
  </si>
  <si>
    <t>C00835</t>
  </si>
  <si>
    <t>Customer 835</t>
  </si>
  <si>
    <t>O00836</t>
  </si>
  <si>
    <t>C00836</t>
  </si>
  <si>
    <t>Customer 836</t>
  </si>
  <si>
    <t>O00837</t>
  </si>
  <si>
    <t>C00837</t>
  </si>
  <si>
    <t>Customer 837</t>
  </si>
  <si>
    <t>O00838</t>
  </si>
  <si>
    <t>C00838</t>
  </si>
  <si>
    <t>Customer 838</t>
  </si>
  <si>
    <t>O00839</t>
  </si>
  <si>
    <t>C00839</t>
  </si>
  <si>
    <t>Customer 839</t>
  </si>
  <si>
    <t>O00840</t>
  </si>
  <si>
    <t>C00840</t>
  </si>
  <si>
    <t>Customer 840</t>
  </si>
  <si>
    <t>O00841</t>
  </si>
  <si>
    <t>C00841</t>
  </si>
  <si>
    <t>Customer 841</t>
  </si>
  <si>
    <t>O00842</t>
  </si>
  <si>
    <t>C00842</t>
  </si>
  <si>
    <t>Customer 842</t>
  </si>
  <si>
    <t>O00843</t>
  </si>
  <si>
    <t>C00843</t>
  </si>
  <si>
    <t>Customer 843</t>
  </si>
  <si>
    <t>O00844</t>
  </si>
  <si>
    <t>C00844</t>
  </si>
  <si>
    <t>Customer 844</t>
  </si>
  <si>
    <t>O00845</t>
  </si>
  <si>
    <t>C00845</t>
  </si>
  <si>
    <t>Customer 845</t>
  </si>
  <si>
    <t>O00846</t>
  </si>
  <si>
    <t>C00846</t>
  </si>
  <si>
    <t>Customer 846</t>
  </si>
  <si>
    <t>O00847</t>
  </si>
  <si>
    <t>C00847</t>
  </si>
  <si>
    <t>Customer 847</t>
  </si>
  <si>
    <t>O00848</t>
  </si>
  <si>
    <t>C00848</t>
  </si>
  <si>
    <t>Customer 848</t>
  </si>
  <si>
    <t>O00849</t>
  </si>
  <si>
    <t>C00849</t>
  </si>
  <si>
    <t>Customer 849</t>
  </si>
  <si>
    <t>O00850</t>
  </si>
  <si>
    <t>C00850</t>
  </si>
  <si>
    <t>Customer 850</t>
  </si>
  <si>
    <t>O00851</t>
  </si>
  <si>
    <t>C00851</t>
  </si>
  <si>
    <t>Customer 851</t>
  </si>
  <si>
    <t>O00852</t>
  </si>
  <si>
    <t>C00852</t>
  </si>
  <si>
    <t>Customer 852</t>
  </si>
  <si>
    <t>O00853</t>
  </si>
  <si>
    <t>C00853</t>
  </si>
  <si>
    <t>Customer 853</t>
  </si>
  <si>
    <t>O00854</t>
  </si>
  <si>
    <t>C00854</t>
  </si>
  <si>
    <t>Customer 854</t>
  </si>
  <si>
    <t>O00855</t>
  </si>
  <si>
    <t>C00855</t>
  </si>
  <si>
    <t>Customer 855</t>
  </si>
  <si>
    <t>O00856</t>
  </si>
  <si>
    <t>C00856</t>
  </si>
  <si>
    <t>Customer 856</t>
  </si>
  <si>
    <t>O00857</t>
  </si>
  <si>
    <t>C00857</t>
  </si>
  <si>
    <t>Customer 857</t>
  </si>
  <si>
    <t>O00858</t>
  </si>
  <si>
    <t>C00858</t>
  </si>
  <si>
    <t>Customer 858</t>
  </si>
  <si>
    <t>O00859</t>
  </si>
  <si>
    <t>C00859</t>
  </si>
  <si>
    <t>Customer 859</t>
  </si>
  <si>
    <t>O00860</t>
  </si>
  <si>
    <t>C00860</t>
  </si>
  <si>
    <t>Customer 860</t>
  </si>
  <si>
    <t>O00861</t>
  </si>
  <si>
    <t>C00861</t>
  </si>
  <si>
    <t>Customer 861</t>
  </si>
  <si>
    <t>O00862</t>
  </si>
  <si>
    <t>C00862</t>
  </si>
  <si>
    <t>Customer 862</t>
  </si>
  <si>
    <t>O00863</t>
  </si>
  <si>
    <t>C00863</t>
  </si>
  <si>
    <t>Customer 863</t>
  </si>
  <si>
    <t>O00864</t>
  </si>
  <si>
    <t>C00864</t>
  </si>
  <si>
    <t>Customer 864</t>
  </si>
  <si>
    <t>O00865</t>
  </si>
  <si>
    <t>C00865</t>
  </si>
  <si>
    <t>Customer 865</t>
  </si>
  <si>
    <t>O00866</t>
  </si>
  <si>
    <t>C00866</t>
  </si>
  <si>
    <t>Customer 866</t>
  </si>
  <si>
    <t>O00867</t>
  </si>
  <si>
    <t>C00867</t>
  </si>
  <si>
    <t>Customer 867</t>
  </si>
  <si>
    <t>O00868</t>
  </si>
  <si>
    <t>C00868</t>
  </si>
  <si>
    <t>Customer 868</t>
  </si>
  <si>
    <t>O00869</t>
  </si>
  <si>
    <t>C00869</t>
  </si>
  <si>
    <t>Customer 869</t>
  </si>
  <si>
    <t>O00870</t>
  </si>
  <si>
    <t>C00870</t>
  </si>
  <si>
    <t>Customer 870</t>
  </si>
  <si>
    <t>O00871</t>
  </si>
  <si>
    <t>C00871</t>
  </si>
  <si>
    <t>Customer 871</t>
  </si>
  <si>
    <t>O00872</t>
  </si>
  <si>
    <t>C00872</t>
  </si>
  <si>
    <t>Customer 872</t>
  </si>
  <si>
    <t>O00873</t>
  </si>
  <si>
    <t>C00873</t>
  </si>
  <si>
    <t>Customer 873</t>
  </si>
  <si>
    <t>O00874</t>
  </si>
  <si>
    <t>C00874</t>
  </si>
  <si>
    <t>Customer 874</t>
  </si>
  <si>
    <t>O00875</t>
  </si>
  <si>
    <t>C00875</t>
  </si>
  <si>
    <t>Customer 875</t>
  </si>
  <si>
    <t>O00876</t>
  </si>
  <si>
    <t>C00876</t>
  </si>
  <si>
    <t>Customer 876</t>
  </si>
  <si>
    <t>O00877</t>
  </si>
  <si>
    <t>C00877</t>
  </si>
  <si>
    <t>Customer 877</t>
  </si>
  <si>
    <t>O00878</t>
  </si>
  <si>
    <t>C00878</t>
  </si>
  <si>
    <t>Customer 878</t>
  </si>
  <si>
    <t>O00879</t>
  </si>
  <si>
    <t>C00879</t>
  </si>
  <si>
    <t>Customer 879</t>
  </si>
  <si>
    <t>O00880</t>
  </si>
  <si>
    <t>C00880</t>
  </si>
  <si>
    <t>Customer 880</t>
  </si>
  <si>
    <t>O00881</t>
  </si>
  <si>
    <t>C00881</t>
  </si>
  <si>
    <t>Customer 881</t>
  </si>
  <si>
    <t>O00882</t>
  </si>
  <si>
    <t>C00882</t>
  </si>
  <si>
    <t>Customer 882</t>
  </si>
  <si>
    <t>O00883</t>
  </si>
  <si>
    <t>C00883</t>
  </si>
  <si>
    <t>Customer 883</t>
  </si>
  <si>
    <t>O00884</t>
  </si>
  <si>
    <t>C00884</t>
  </si>
  <si>
    <t>Customer 884</t>
  </si>
  <si>
    <t>O00885</t>
  </si>
  <si>
    <t>C00885</t>
  </si>
  <si>
    <t>Customer 885</t>
  </si>
  <si>
    <t>O00886</t>
  </si>
  <si>
    <t>C00886</t>
  </si>
  <si>
    <t>Customer 886</t>
  </si>
  <si>
    <t>O00887</t>
  </si>
  <si>
    <t>C00887</t>
  </si>
  <si>
    <t>Customer 887</t>
  </si>
  <si>
    <t>O00888</t>
  </si>
  <si>
    <t>C00888</t>
  </si>
  <si>
    <t>Customer 888</t>
  </si>
  <si>
    <t>O00889</t>
  </si>
  <si>
    <t>C00889</t>
  </si>
  <si>
    <t>Customer 889</t>
  </si>
  <si>
    <t>O00890</t>
  </si>
  <si>
    <t>C00890</t>
  </si>
  <si>
    <t>Customer 890</t>
  </si>
  <si>
    <t>O00891</t>
  </si>
  <si>
    <t>C00891</t>
  </si>
  <si>
    <t>Customer 891</t>
  </si>
  <si>
    <t>O00892</t>
  </si>
  <si>
    <t>C00892</t>
  </si>
  <si>
    <t>Customer 892</t>
  </si>
  <si>
    <t>O00893</t>
  </si>
  <si>
    <t>C00893</t>
  </si>
  <si>
    <t>Customer 893</t>
  </si>
  <si>
    <t>O00894</t>
  </si>
  <si>
    <t>C00894</t>
  </si>
  <si>
    <t>Customer 894</t>
  </si>
  <si>
    <t>O00895</t>
  </si>
  <si>
    <t>C00895</t>
  </si>
  <si>
    <t>Customer 895</t>
  </si>
  <si>
    <t>O00896</t>
  </si>
  <si>
    <t>C00896</t>
  </si>
  <si>
    <t>Customer 896</t>
  </si>
  <si>
    <t>O00897</t>
  </si>
  <si>
    <t>C00897</t>
  </si>
  <si>
    <t>Customer 897</t>
  </si>
  <si>
    <t>O00898</t>
  </si>
  <si>
    <t>C00898</t>
  </si>
  <si>
    <t>Customer 898</t>
  </si>
  <si>
    <t>O00899</t>
  </si>
  <si>
    <t>C00899</t>
  </si>
  <si>
    <t>Customer 899</t>
  </si>
  <si>
    <t>O00900</t>
  </si>
  <si>
    <t>C00900</t>
  </si>
  <si>
    <t>Customer 900</t>
  </si>
  <si>
    <t>O00901</t>
  </si>
  <si>
    <t>C00901</t>
  </si>
  <si>
    <t>Customer 901</t>
  </si>
  <si>
    <t>O00902</t>
  </si>
  <si>
    <t>C00902</t>
  </si>
  <si>
    <t>Customer 902</t>
  </si>
  <si>
    <t>O00903</t>
  </si>
  <si>
    <t>C00903</t>
  </si>
  <si>
    <t>Customer 903</t>
  </si>
  <si>
    <t>O00904</t>
  </si>
  <si>
    <t>C00904</t>
  </si>
  <si>
    <t>Customer 904</t>
  </si>
  <si>
    <t>O00905</t>
  </si>
  <si>
    <t>C00905</t>
  </si>
  <si>
    <t>Customer 905</t>
  </si>
  <si>
    <t>O00906</t>
  </si>
  <si>
    <t>C00906</t>
  </si>
  <si>
    <t>Customer 906</t>
  </si>
  <si>
    <t>O00907</t>
  </si>
  <si>
    <t>C00907</t>
  </si>
  <si>
    <t>Customer 907</t>
  </si>
  <si>
    <t>O00908</t>
  </si>
  <si>
    <t>C00908</t>
  </si>
  <si>
    <t>Customer 908</t>
  </si>
  <si>
    <t>O00909</t>
  </si>
  <si>
    <t>C00909</t>
  </si>
  <si>
    <t>Customer 909</t>
  </si>
  <si>
    <t>O00910</t>
  </si>
  <si>
    <t>C00910</t>
  </si>
  <si>
    <t>Customer 910</t>
  </si>
  <si>
    <t>O00911</t>
  </si>
  <si>
    <t>C00911</t>
  </si>
  <si>
    <t>Customer 911</t>
  </si>
  <si>
    <t>O00912</t>
  </si>
  <si>
    <t>C00912</t>
  </si>
  <si>
    <t>Customer 912</t>
  </si>
  <si>
    <t>O00913</t>
  </si>
  <si>
    <t>C00913</t>
  </si>
  <si>
    <t>Customer 913</t>
  </si>
  <si>
    <t>O00914</t>
  </si>
  <si>
    <t>C00914</t>
  </si>
  <si>
    <t>Customer 914</t>
  </si>
  <si>
    <t>O00915</t>
  </si>
  <si>
    <t>C00915</t>
  </si>
  <si>
    <t>Customer 915</t>
  </si>
  <si>
    <t>O00916</t>
  </si>
  <si>
    <t>C00916</t>
  </si>
  <si>
    <t>Customer 916</t>
  </si>
  <si>
    <t>O00917</t>
  </si>
  <si>
    <t>C00917</t>
  </si>
  <si>
    <t>Customer 917</t>
  </si>
  <si>
    <t>O00918</t>
  </si>
  <si>
    <t>C00918</t>
  </si>
  <si>
    <t>Customer 918</t>
  </si>
  <si>
    <t>O00919</t>
  </si>
  <si>
    <t>C00919</t>
  </si>
  <si>
    <t>Customer 919</t>
  </si>
  <si>
    <t>O00920</t>
  </si>
  <si>
    <t>C00920</t>
  </si>
  <si>
    <t>Customer 920</t>
  </si>
  <si>
    <t>O00921</t>
  </si>
  <si>
    <t>C00921</t>
  </si>
  <si>
    <t>Customer 921</t>
  </si>
  <si>
    <t>O00922</t>
  </si>
  <si>
    <t>C00922</t>
  </si>
  <si>
    <t>Customer 922</t>
  </si>
  <si>
    <t>O00923</t>
  </si>
  <si>
    <t>C00923</t>
  </si>
  <si>
    <t>Customer 923</t>
  </si>
  <si>
    <t>O00924</t>
  </si>
  <si>
    <t>C00924</t>
  </si>
  <si>
    <t>Customer 924</t>
  </si>
  <si>
    <t>O00925</t>
  </si>
  <si>
    <t>C00925</t>
  </si>
  <si>
    <t>Customer 925</t>
  </si>
  <si>
    <t>O00926</t>
  </si>
  <si>
    <t>C00926</t>
  </si>
  <si>
    <t>Customer 926</t>
  </si>
  <si>
    <t>O00927</t>
  </si>
  <si>
    <t>C00927</t>
  </si>
  <si>
    <t>Customer 927</t>
  </si>
  <si>
    <t>O00928</t>
  </si>
  <si>
    <t>C00928</t>
  </si>
  <si>
    <t>Customer 928</t>
  </si>
  <si>
    <t>O00929</t>
  </si>
  <si>
    <t>C00929</t>
  </si>
  <si>
    <t>Customer 929</t>
  </si>
  <si>
    <t>O00930</t>
  </si>
  <si>
    <t>C00930</t>
  </si>
  <si>
    <t>Customer 930</t>
  </si>
  <si>
    <t>O00931</t>
  </si>
  <si>
    <t>C00931</t>
  </si>
  <si>
    <t>Customer 931</t>
  </si>
  <si>
    <t>O00932</t>
  </si>
  <si>
    <t>C00932</t>
  </si>
  <si>
    <t>Customer 932</t>
  </si>
  <si>
    <t>O00933</t>
  </si>
  <si>
    <t>C00933</t>
  </si>
  <si>
    <t>Customer 933</t>
  </si>
  <si>
    <t>O00934</t>
  </si>
  <si>
    <t>C00934</t>
  </si>
  <si>
    <t>Customer 934</t>
  </si>
  <si>
    <t>O00935</t>
  </si>
  <si>
    <t>C00935</t>
  </si>
  <si>
    <t>Customer 935</t>
  </si>
  <si>
    <t>O00936</t>
  </si>
  <si>
    <t>C00936</t>
  </si>
  <si>
    <t>Customer 936</t>
  </si>
  <si>
    <t>O00937</t>
  </si>
  <si>
    <t>C00937</t>
  </si>
  <si>
    <t>Customer 937</t>
  </si>
  <si>
    <t>O00938</t>
  </si>
  <si>
    <t>C00938</t>
  </si>
  <si>
    <t>Customer 938</t>
  </si>
  <si>
    <t>O00939</t>
  </si>
  <si>
    <t>C00939</t>
  </si>
  <si>
    <t>Customer 939</t>
  </si>
  <si>
    <t>O00940</t>
  </si>
  <si>
    <t>C00940</t>
  </si>
  <si>
    <t>Customer 940</t>
  </si>
  <si>
    <t>O00941</t>
  </si>
  <si>
    <t>C00941</t>
  </si>
  <si>
    <t>Customer 941</t>
  </si>
  <si>
    <t>O00942</t>
  </si>
  <si>
    <t>C00942</t>
  </si>
  <si>
    <t>Customer 942</t>
  </si>
  <si>
    <t>O00943</t>
  </si>
  <si>
    <t>C00943</t>
  </si>
  <si>
    <t>Customer 943</t>
  </si>
  <si>
    <t>O00944</t>
  </si>
  <si>
    <t>C00944</t>
  </si>
  <si>
    <t>Customer 944</t>
  </si>
  <si>
    <t>O00945</t>
  </si>
  <si>
    <t>C00945</t>
  </si>
  <si>
    <t>Customer 945</t>
  </si>
  <si>
    <t>O00946</t>
  </si>
  <si>
    <t>C00946</t>
  </si>
  <si>
    <t>Customer 946</t>
  </si>
  <si>
    <t>O00947</t>
  </si>
  <si>
    <t>C00947</t>
  </si>
  <si>
    <t>Customer 947</t>
  </si>
  <si>
    <t>O00948</t>
  </si>
  <si>
    <t>C00948</t>
  </si>
  <si>
    <t>Customer 948</t>
  </si>
  <si>
    <t>O00949</t>
  </si>
  <si>
    <t>C00949</t>
  </si>
  <si>
    <t>Customer 949</t>
  </si>
  <si>
    <t>O00950</t>
  </si>
  <si>
    <t>C00950</t>
  </si>
  <si>
    <t>Customer 950</t>
  </si>
  <si>
    <t>O00951</t>
  </si>
  <si>
    <t>C00951</t>
  </si>
  <si>
    <t>Customer 951</t>
  </si>
  <si>
    <t>O00952</t>
  </si>
  <si>
    <t>C00952</t>
  </si>
  <si>
    <t>Customer 952</t>
  </si>
  <si>
    <t>O00953</t>
  </si>
  <si>
    <t>C00953</t>
  </si>
  <si>
    <t>Customer 953</t>
  </si>
  <si>
    <t>O00954</t>
  </si>
  <si>
    <t>C00954</t>
  </si>
  <si>
    <t>Customer 954</t>
  </si>
  <si>
    <t>O00955</t>
  </si>
  <si>
    <t>C00955</t>
  </si>
  <si>
    <t>Customer 955</t>
  </si>
  <si>
    <t>O00956</t>
  </si>
  <si>
    <t>C00956</t>
  </si>
  <si>
    <t>Customer 956</t>
  </si>
  <si>
    <t>O00957</t>
  </si>
  <si>
    <t>C00957</t>
  </si>
  <si>
    <t>Customer 957</t>
  </si>
  <si>
    <t>O00958</t>
  </si>
  <si>
    <t>C00958</t>
  </si>
  <si>
    <t>Customer 958</t>
  </si>
  <si>
    <t>O00959</t>
  </si>
  <si>
    <t>C00959</t>
  </si>
  <si>
    <t>Customer 959</t>
  </si>
  <si>
    <t>O00960</t>
  </si>
  <si>
    <t>C00960</t>
  </si>
  <si>
    <t>Customer 960</t>
  </si>
  <si>
    <t>O00961</t>
  </si>
  <si>
    <t>C00961</t>
  </si>
  <si>
    <t>Customer 961</t>
  </si>
  <si>
    <t>O00962</t>
  </si>
  <si>
    <t>C00962</t>
  </si>
  <si>
    <t>Customer 962</t>
  </si>
  <si>
    <t>O00963</t>
  </si>
  <si>
    <t>C00963</t>
  </si>
  <si>
    <t>Customer 963</t>
  </si>
  <si>
    <t>O00964</t>
  </si>
  <si>
    <t>C00964</t>
  </si>
  <si>
    <t>Customer 964</t>
  </si>
  <si>
    <t>O00965</t>
  </si>
  <si>
    <t>C00965</t>
  </si>
  <si>
    <t>Customer 965</t>
  </si>
  <si>
    <t>O00966</t>
  </si>
  <si>
    <t>C00966</t>
  </si>
  <si>
    <t>Customer 966</t>
  </si>
  <si>
    <t>O00967</t>
  </si>
  <si>
    <t>C00967</t>
  </si>
  <si>
    <t>Customer 967</t>
  </si>
  <si>
    <t>O00968</t>
  </si>
  <si>
    <t>C00968</t>
  </si>
  <si>
    <t>Customer 968</t>
  </si>
  <si>
    <t>O00969</t>
  </si>
  <si>
    <t>C00969</t>
  </si>
  <si>
    <t>Customer 969</t>
  </si>
  <si>
    <t>O00970</t>
  </si>
  <si>
    <t>C00970</t>
  </si>
  <si>
    <t>Customer 970</t>
  </si>
  <si>
    <t>O00971</t>
  </si>
  <si>
    <t>C00971</t>
  </si>
  <si>
    <t>Customer 971</t>
  </si>
  <si>
    <t>O00972</t>
  </si>
  <si>
    <t>C00972</t>
  </si>
  <si>
    <t>Customer 972</t>
  </si>
  <si>
    <t>O00973</t>
  </si>
  <si>
    <t>C00973</t>
  </si>
  <si>
    <t>Customer 973</t>
  </si>
  <si>
    <t>O00974</t>
  </si>
  <si>
    <t>C00974</t>
  </si>
  <si>
    <t>Customer 974</t>
  </si>
  <si>
    <t>O00975</t>
  </si>
  <si>
    <t>C00975</t>
  </si>
  <si>
    <t>Customer 975</t>
  </si>
  <si>
    <t>O00976</t>
  </si>
  <si>
    <t>C00976</t>
  </si>
  <si>
    <t>Customer 976</t>
  </si>
  <si>
    <t>O00977</t>
  </si>
  <si>
    <t>C00977</t>
  </si>
  <si>
    <t>Customer 977</t>
  </si>
  <si>
    <t>O00978</t>
  </si>
  <si>
    <t>C00978</t>
  </si>
  <si>
    <t>Customer 978</t>
  </si>
  <si>
    <t>O00979</t>
  </si>
  <si>
    <t>C00979</t>
  </si>
  <si>
    <t>Customer 979</t>
  </si>
  <si>
    <t>O00980</t>
  </si>
  <si>
    <t>C00980</t>
  </si>
  <si>
    <t>Customer 980</t>
  </si>
  <si>
    <t>O00981</t>
  </si>
  <si>
    <t>C00981</t>
  </si>
  <si>
    <t>Customer 981</t>
  </si>
  <si>
    <t>O00982</t>
  </si>
  <si>
    <t>C00982</t>
  </si>
  <si>
    <t>Customer 982</t>
  </si>
  <si>
    <t>O00983</t>
  </si>
  <si>
    <t>C00983</t>
  </si>
  <si>
    <t>Customer 983</t>
  </si>
  <si>
    <t>O00984</t>
  </si>
  <si>
    <t>C00984</t>
  </si>
  <si>
    <t>Customer 984</t>
  </si>
  <si>
    <t>O00985</t>
  </si>
  <si>
    <t>C00985</t>
  </si>
  <si>
    <t>Customer 985</t>
  </si>
  <si>
    <t>O00986</t>
  </si>
  <si>
    <t>C00986</t>
  </si>
  <si>
    <t>Customer 986</t>
  </si>
  <si>
    <t>O00987</t>
  </si>
  <si>
    <t>C00987</t>
  </si>
  <si>
    <t>Customer 987</t>
  </si>
  <si>
    <t>O00988</t>
  </si>
  <si>
    <t>C00988</t>
  </si>
  <si>
    <t>Customer 988</t>
  </si>
  <si>
    <t>O00989</t>
  </si>
  <si>
    <t>C00989</t>
  </si>
  <si>
    <t>Customer 989</t>
  </si>
  <si>
    <t>O00990</t>
  </si>
  <si>
    <t>C00990</t>
  </si>
  <si>
    <t>Customer 990</t>
  </si>
  <si>
    <t>O00991</t>
  </si>
  <si>
    <t>C00991</t>
  </si>
  <si>
    <t>Customer 991</t>
  </si>
  <si>
    <t>O00992</t>
  </si>
  <si>
    <t>C00992</t>
  </si>
  <si>
    <t>Customer 992</t>
  </si>
  <si>
    <t>O00993</t>
  </si>
  <si>
    <t>C00993</t>
  </si>
  <si>
    <t>Customer 993</t>
  </si>
  <si>
    <t>O00994</t>
  </si>
  <si>
    <t>C00994</t>
  </si>
  <si>
    <t>Customer 994</t>
  </si>
  <si>
    <t>O00995</t>
  </si>
  <si>
    <t>C00995</t>
  </si>
  <si>
    <t>Customer 995</t>
  </si>
  <si>
    <t>O00996</t>
  </si>
  <si>
    <t>C00996</t>
  </si>
  <si>
    <t>Customer 996</t>
  </si>
  <si>
    <t>O00997</t>
  </si>
  <si>
    <t>C00997</t>
  </si>
  <si>
    <t>Customer 997</t>
  </si>
  <si>
    <t>O00998</t>
  </si>
  <si>
    <t>C00998</t>
  </si>
  <si>
    <t>Customer 998</t>
  </si>
  <si>
    <t>O00999</t>
  </si>
  <si>
    <t>C00999</t>
  </si>
  <si>
    <t>Customer 999</t>
  </si>
  <si>
    <t>O01000</t>
  </si>
  <si>
    <t>C01000</t>
  </si>
  <si>
    <t>Customer 1000</t>
  </si>
  <si>
    <t>Sum of Profit</t>
  </si>
  <si>
    <t>Count of Order ID</t>
  </si>
  <si>
    <t>Average of Sales Amount2</t>
  </si>
  <si>
    <t>Average of Customer Rating</t>
  </si>
  <si>
    <t>TOTAL SALES</t>
  </si>
  <si>
    <t>AVG RATING</t>
  </si>
  <si>
    <t>TOTAL ORDERS</t>
  </si>
  <si>
    <t>TOTAL QTY SOLD</t>
  </si>
  <si>
    <t>TOTAL PROFIT</t>
  </si>
  <si>
    <t>Match ID</t>
  </si>
  <si>
    <t>Match Date</t>
  </si>
  <si>
    <t>League</t>
  </si>
  <si>
    <t>Home Team</t>
  </si>
  <si>
    <t>Away Team</t>
  </si>
  <si>
    <t>Home Goals</t>
  </si>
  <si>
    <t>Away Goals</t>
  </si>
  <si>
    <t>Full-Time Result</t>
  </si>
  <si>
    <t>Attendance</t>
  </si>
  <si>
    <t>Stadium</t>
  </si>
  <si>
    <t>Referee</t>
  </si>
  <si>
    <t>Season</t>
  </si>
  <si>
    <t>M1277</t>
  </si>
  <si>
    <t>La Liga</t>
  </si>
  <si>
    <t>Juventus</t>
  </si>
  <si>
    <t>San Siro</t>
  </si>
  <si>
    <t>Michael Oliver</t>
  </si>
  <si>
    <t>2022/23</t>
  </si>
  <si>
    <t>M1203</t>
  </si>
  <si>
    <t>Bundesliga</t>
  </si>
  <si>
    <t>Inter Milan</t>
  </si>
  <si>
    <t>D</t>
  </si>
  <si>
    <t>Allianz Arena</t>
  </si>
  <si>
    <t>S. Marciniak</t>
  </si>
  <si>
    <t>2025/26</t>
  </si>
  <si>
    <t>M1593</t>
  </si>
  <si>
    <t>Ligue 1</t>
  </si>
  <si>
    <t>H</t>
  </si>
  <si>
    <t>M1334</t>
  </si>
  <si>
    <t>Real Madrid</t>
  </si>
  <si>
    <t>2024/25</t>
  </si>
  <si>
    <t>M1377</t>
  </si>
  <si>
    <t>Atletico Madrid</t>
  </si>
  <si>
    <t>Chelsea</t>
  </si>
  <si>
    <t>Old Trafford</t>
  </si>
  <si>
    <t>Anthony Taylor</t>
  </si>
  <si>
    <t>M1471</t>
  </si>
  <si>
    <t>Ajax</t>
  </si>
  <si>
    <t>Newcastle United</t>
  </si>
  <si>
    <t>M1200</t>
  </si>
  <si>
    <t>Anfield</t>
  </si>
  <si>
    <t>M1066</t>
  </si>
  <si>
    <t>Bayern Munich</t>
  </si>
  <si>
    <t>Tottenham Hotspur Stadium</t>
  </si>
  <si>
    <t>A. Taylor</t>
  </si>
  <si>
    <t>M1319</t>
  </si>
  <si>
    <t>Barcelona</t>
  </si>
  <si>
    <t>Borussia Dortmund</t>
  </si>
  <si>
    <t>Etihad Stadium</t>
  </si>
  <si>
    <t>2023/24</t>
  </si>
  <si>
    <t>M1498</t>
  </si>
  <si>
    <t>M1349</t>
  </si>
  <si>
    <t>M1217</t>
  </si>
  <si>
    <t>Santiago Bernabéu</t>
  </si>
  <si>
    <t>M1521</t>
  </si>
  <si>
    <t>Arsenal</t>
  </si>
  <si>
    <t>C. Pawson</t>
  </si>
  <si>
    <t>M1084</t>
  </si>
  <si>
    <t>Johan Cruyff Arena</t>
  </si>
  <si>
    <t>M. Oliver</t>
  </si>
  <si>
    <t>M1376</t>
  </si>
  <si>
    <t>M1063</t>
  </si>
  <si>
    <t>Serie A</t>
  </si>
  <si>
    <t>Manchester City</t>
  </si>
  <si>
    <t>M1055</t>
  </si>
  <si>
    <t>Daniele Orsato</t>
  </si>
  <si>
    <t>M1424</t>
  </si>
  <si>
    <t>M1496</t>
  </si>
  <si>
    <t>M1524</t>
  </si>
  <si>
    <t>Stamford Bridge</t>
  </si>
  <si>
    <t>M1311</t>
  </si>
  <si>
    <t>M1068</t>
  </si>
  <si>
    <t>Manchester United</t>
  </si>
  <si>
    <t>Parc des Princes</t>
  </si>
  <si>
    <t>M1253</t>
  </si>
  <si>
    <t>Premier League</t>
  </si>
  <si>
    <t>M1186</t>
  </si>
  <si>
    <t>Signal Iduna Park</t>
  </si>
  <si>
    <t>M1289</t>
  </si>
  <si>
    <t>M1411</t>
  </si>
  <si>
    <t>M1480</t>
  </si>
  <si>
    <t>St James' Park</t>
  </si>
  <si>
    <t>M1076</t>
  </si>
  <si>
    <t>M1251</t>
  </si>
  <si>
    <t>Liverpool</t>
  </si>
  <si>
    <t>M1039</t>
  </si>
  <si>
    <t>M1206</t>
  </si>
  <si>
    <t>M1444</t>
  </si>
  <si>
    <t>M1351</t>
  </si>
  <si>
    <t>M1227</t>
  </si>
  <si>
    <t>Benfica</t>
  </si>
  <si>
    <t>M1482</t>
  </si>
  <si>
    <t>M1382</t>
  </si>
  <si>
    <t>M1525</t>
  </si>
  <si>
    <t>M1345</t>
  </si>
  <si>
    <t>M1490</t>
  </si>
  <si>
    <t>M1288</t>
  </si>
  <si>
    <t>M1416</t>
  </si>
  <si>
    <t>M1130</t>
  </si>
  <si>
    <t>M1337</t>
  </si>
  <si>
    <t>Tottenham Hotspur</t>
  </si>
  <si>
    <t>M1448</t>
  </si>
  <si>
    <t>Camp Nou</t>
  </si>
  <si>
    <t>M1548</t>
  </si>
  <si>
    <t>Emirates Stadium</t>
  </si>
  <si>
    <t>M1062</t>
  </si>
  <si>
    <t>M1134</t>
  </si>
  <si>
    <t>M1531</t>
  </si>
  <si>
    <t>M1389</t>
  </si>
  <si>
    <t>M1275</t>
  </si>
  <si>
    <t>M1353</t>
  </si>
  <si>
    <t>M1306</t>
  </si>
  <si>
    <t>M1215</t>
  </si>
  <si>
    <t>M1061</t>
  </si>
  <si>
    <t>M1576</t>
  </si>
  <si>
    <t>M1139</t>
  </si>
  <si>
    <t>M1473</t>
  </si>
  <si>
    <t>M1177</t>
  </si>
  <si>
    <t>M1143</t>
  </si>
  <si>
    <t>M1540</t>
  </si>
  <si>
    <t>M1533</t>
  </si>
  <si>
    <t>M1327</t>
  </si>
  <si>
    <t>M1235</t>
  </si>
  <si>
    <t>M1402</t>
  </si>
  <si>
    <t>M1107</t>
  </si>
  <si>
    <t>M1384</t>
  </si>
  <si>
    <t>M1451</t>
  </si>
  <si>
    <t>M1481</t>
  </si>
  <si>
    <t>M1509</t>
  </si>
  <si>
    <t>M1592</t>
  </si>
  <si>
    <t>Paris Saint-Germain</t>
  </si>
  <si>
    <t>M1527</t>
  </si>
  <si>
    <t>M1028</t>
  </si>
  <si>
    <t>M1162</t>
  </si>
  <si>
    <t>M1294</t>
  </si>
  <si>
    <t>M1269</t>
  </si>
  <si>
    <t>M1403</t>
  </si>
  <si>
    <t>M1257</t>
  </si>
  <si>
    <t>M1255</t>
  </si>
  <si>
    <t>M1279</t>
  </si>
  <si>
    <t>M1529</t>
  </si>
  <si>
    <t>M1497</t>
  </si>
  <si>
    <t>M1008</t>
  </si>
  <si>
    <t>M1508</t>
  </si>
  <si>
    <t>M1577</t>
  </si>
  <si>
    <t>M1372</t>
  </si>
  <si>
    <t>M1369</t>
  </si>
  <si>
    <t>M1109</t>
  </si>
  <si>
    <t>M1263</t>
  </si>
  <si>
    <t>M1556</t>
  </si>
  <si>
    <t>M1072</t>
  </si>
  <si>
    <t>M1344</t>
  </si>
  <si>
    <t>M1332</t>
  </si>
  <si>
    <t>M1188</t>
  </si>
  <si>
    <t>M1175</t>
  </si>
  <si>
    <t>M1190</t>
  </si>
  <si>
    <t>M1038</t>
  </si>
  <si>
    <t>M1500</t>
  </si>
  <si>
    <t>M1570</t>
  </si>
  <si>
    <t>M1573</t>
  </si>
  <si>
    <t>M1574</t>
  </si>
  <si>
    <t>M1539</t>
  </si>
  <si>
    <t>M1358</t>
  </si>
  <si>
    <t>M1065</t>
  </si>
  <si>
    <t>M1070</t>
  </si>
  <si>
    <t>M1393</t>
  </si>
  <si>
    <t>M1097</t>
  </si>
  <si>
    <t>M1270</t>
  </si>
  <si>
    <t>M1425</t>
  </si>
  <si>
    <t>M1406</t>
  </si>
  <si>
    <t>M1099</t>
  </si>
  <si>
    <t>M1123</t>
  </si>
  <si>
    <t>M1141</t>
  </si>
  <si>
    <t>M1187</t>
  </si>
  <si>
    <t>M1011</t>
  </si>
  <si>
    <t>M1542</t>
  </si>
  <si>
    <t>M1262</t>
  </si>
  <si>
    <t>M1513</t>
  </si>
  <si>
    <t>M1041</t>
  </si>
  <si>
    <t>M1396</t>
  </si>
  <si>
    <t>M1233</t>
  </si>
  <si>
    <t>M1581</t>
  </si>
  <si>
    <t>M1392</t>
  </si>
  <si>
    <t>M1523</t>
  </si>
  <si>
    <t>M1077</t>
  </si>
  <si>
    <t>M1317</t>
  </si>
  <si>
    <t>M1205</t>
  </si>
  <si>
    <t>M1080</t>
  </si>
  <si>
    <t>M1507</t>
  </si>
  <si>
    <t>M1547</t>
  </si>
  <si>
    <t>M1502</t>
  </si>
  <si>
    <t>M1151</t>
  </si>
  <si>
    <t>M1025</t>
  </si>
  <si>
    <t>M1164</t>
  </si>
  <si>
    <t>M1428</t>
  </si>
  <si>
    <t>M1321</t>
  </si>
  <si>
    <t>M1284</t>
  </si>
  <si>
    <t>M1013</t>
  </si>
  <si>
    <t>M1137</t>
  </si>
  <si>
    <t>M1409</t>
  </si>
  <si>
    <t>M1386</t>
  </si>
  <si>
    <t>M1138</t>
  </si>
  <si>
    <t>M1158</t>
  </si>
  <si>
    <t>M1318</t>
  </si>
  <si>
    <t>M1128</t>
  </si>
  <si>
    <t>M1407</t>
  </si>
  <si>
    <t>M1303</t>
  </si>
  <si>
    <t>M1246</t>
  </si>
  <si>
    <t>M1432</t>
  </si>
  <si>
    <t>M1296</t>
  </si>
  <si>
    <t>M1026</t>
  </si>
  <si>
    <t>M1114</t>
  </si>
  <si>
    <t>M1433</t>
  </si>
  <si>
    <t>M1183</t>
  </si>
  <si>
    <t>M1060</t>
  </si>
  <si>
    <t>M1212</t>
  </si>
  <si>
    <t>M1293</t>
  </si>
  <si>
    <t>M1329</t>
  </si>
  <si>
    <t>M1504</t>
  </si>
  <si>
    <t>M1259</t>
  </si>
  <si>
    <t>M1198</t>
  </si>
  <si>
    <t>M1304</t>
  </si>
  <si>
    <t>M1169</t>
  </si>
  <si>
    <t>M1087</t>
  </si>
  <si>
    <t>M1196</t>
  </si>
  <si>
    <t>M1016</t>
  </si>
  <si>
    <t>M1102</t>
  </si>
  <si>
    <t>M1157</t>
  </si>
  <si>
    <t>M1442</t>
  </si>
  <si>
    <t>M1154</t>
  </si>
  <si>
    <t>M1224</t>
  </si>
  <si>
    <t>M1121</t>
  </si>
  <si>
    <t>M1357</t>
  </si>
  <si>
    <t>M1302</t>
  </si>
  <si>
    <t>M1239</t>
  </si>
  <si>
    <t>M1575</t>
  </si>
  <si>
    <t>M1518</t>
  </si>
  <si>
    <t>M1156</t>
  </si>
  <si>
    <t>M1101</t>
  </si>
  <si>
    <t>M1338</t>
  </si>
  <si>
    <t>M1599</t>
  </si>
  <si>
    <t>M1027</t>
  </si>
  <si>
    <t>M1018</t>
  </si>
  <si>
    <t>M1002</t>
  </si>
  <si>
    <t>M1185</t>
  </si>
  <si>
    <t>M1003</t>
  </si>
  <si>
    <t>M1280</t>
  </si>
  <si>
    <t>M1145</t>
  </si>
  <si>
    <t>M1582</t>
  </si>
  <si>
    <t>M1429</t>
  </si>
  <si>
    <t>M1112</t>
  </si>
  <si>
    <t>M1181</t>
  </si>
  <si>
    <t>M1017</t>
  </si>
  <si>
    <t>M1427</t>
  </si>
  <si>
    <t>M1067</t>
  </si>
  <si>
    <t>M1506</t>
  </si>
  <si>
    <t>M1385</t>
  </si>
  <si>
    <t>M1587</t>
  </si>
  <si>
    <t>M1308</t>
  </si>
  <si>
    <t>M1118</t>
  </si>
  <si>
    <t>M1558</t>
  </si>
  <si>
    <t>M1600</t>
  </si>
  <si>
    <t>M1543</t>
  </si>
  <si>
    <t>M1194</t>
  </si>
  <si>
    <t>M1532</t>
  </si>
  <si>
    <t>M1104</t>
  </si>
  <si>
    <t>M1551</t>
  </si>
  <si>
    <t>M1430</t>
  </si>
  <si>
    <t>M1579</t>
  </si>
  <si>
    <t>M1413</t>
  </si>
  <si>
    <t>M1510</t>
  </si>
  <si>
    <t>M1050</t>
  </si>
  <si>
    <t>M1560</t>
  </si>
  <si>
    <t>M1356</t>
  </si>
  <si>
    <t>M1135</t>
  </si>
  <si>
    <t>M1133</t>
  </si>
  <si>
    <t>M1335</t>
  </si>
  <si>
    <t>M1042</t>
  </si>
  <si>
    <t>M1222</t>
  </si>
  <si>
    <t>M1347</t>
  </si>
  <si>
    <t>M1363</t>
  </si>
  <si>
    <t>M1007</t>
  </si>
  <si>
    <t>M1528</t>
  </si>
  <si>
    <t>M1545</t>
  </si>
  <si>
    <t>M1585</t>
  </si>
  <si>
    <t>M1465</t>
  </si>
  <si>
    <t>M1085</t>
  </si>
  <si>
    <t>M1074</t>
  </si>
  <si>
    <t>M1544</t>
  </si>
  <si>
    <t>M1323</t>
  </si>
  <si>
    <t>M1591</t>
  </si>
  <si>
    <t>M1420</t>
  </si>
  <si>
    <t>M1103</t>
  </si>
  <si>
    <t>M1250</t>
  </si>
  <si>
    <t>M1281</t>
  </si>
  <si>
    <t>M1530</t>
  </si>
  <si>
    <t>M1146</t>
  </si>
  <si>
    <t>M1031</t>
  </si>
  <si>
    <t>M1172</t>
  </si>
  <si>
    <t>M1562</t>
  </si>
  <si>
    <t>M1537</t>
  </si>
  <si>
    <t>M1360</t>
  </si>
  <si>
    <t>M1209</t>
  </si>
  <si>
    <t>M1399</t>
  </si>
  <si>
    <t>M1322</t>
  </si>
  <si>
    <t>M1122</t>
  </si>
  <si>
    <t>M1330</t>
  </si>
  <si>
    <t>M1037</t>
  </si>
  <si>
    <t>M1090</t>
  </si>
  <si>
    <t>M1191</t>
  </si>
  <si>
    <t>M1505</t>
  </si>
  <si>
    <t>M1565</t>
  </si>
  <si>
    <t>M1588</t>
  </si>
  <si>
    <t>M1305</t>
  </si>
  <si>
    <t>M1426</t>
  </si>
  <si>
    <t>M1438</t>
  </si>
  <si>
    <t>M1142</t>
  </si>
  <si>
    <t>M1238</t>
  </si>
  <si>
    <t>M1131</t>
  </si>
  <si>
    <t>M1472</t>
  </si>
  <si>
    <t>M1568</t>
  </si>
  <si>
    <t>M1009</t>
  </si>
  <si>
    <t>M1211</t>
  </si>
  <si>
    <t>M1119</t>
  </si>
  <si>
    <t>M1580</t>
  </si>
  <si>
    <t>M1462</t>
  </si>
  <si>
    <t>M1484</t>
  </si>
  <si>
    <t>M1197</t>
  </si>
  <si>
    <t>M1493</t>
  </si>
  <si>
    <t>M1029</t>
  </si>
  <si>
    <t>M1049</t>
  </si>
  <si>
    <t>M1014</t>
  </si>
  <si>
    <t>M1516</t>
  </si>
  <si>
    <t>M1265</t>
  </si>
  <si>
    <t>M1182</t>
  </si>
  <si>
    <t>M1324</t>
  </si>
  <si>
    <t>M1092</t>
  </si>
  <si>
    <t>M1421</t>
  </si>
  <si>
    <t>M1024</t>
  </si>
  <si>
    <t>M1445</t>
  </si>
  <si>
    <t>M1258</t>
  </si>
  <si>
    <t>M1144</t>
  </si>
  <si>
    <t>M1193</t>
  </si>
  <si>
    <t>M1180</t>
  </si>
  <si>
    <t>M1223</t>
  </si>
  <si>
    <t>M1256</t>
  </si>
  <si>
    <t>M1552</t>
  </si>
  <si>
    <t>M1354</t>
  </si>
  <si>
    <t>M1147</t>
  </si>
  <si>
    <t>M1456</t>
  </si>
  <si>
    <t>M1589</t>
  </si>
  <si>
    <t>M1469</t>
  </si>
  <si>
    <t>M1554</t>
  </si>
  <si>
    <t>M1201</t>
  </si>
  <si>
    <t>M1520</t>
  </si>
  <si>
    <t>M1342</t>
  </si>
  <si>
    <t>M1096</t>
  </si>
  <si>
    <t>M1178</t>
  </si>
  <si>
    <t>M1243</t>
  </si>
  <si>
    <t>M1161</t>
  </si>
  <si>
    <t>M1236</t>
  </si>
  <si>
    <t>M1495</t>
  </si>
  <si>
    <t>M1242</t>
  </si>
  <si>
    <t>M1449</t>
  </si>
  <si>
    <t>M1225</t>
  </si>
  <si>
    <t>M1361</t>
  </si>
  <si>
    <t>M1044</t>
  </si>
  <si>
    <t>M1091</t>
  </si>
  <si>
    <t>M1460</t>
  </si>
  <si>
    <t>M1047</t>
  </si>
  <si>
    <t>M1167</t>
  </si>
  <si>
    <t>M1423</t>
  </si>
  <si>
    <t>M1378</t>
  </si>
  <si>
    <t>M1350</t>
  </si>
  <si>
    <t>M1272</t>
  </si>
  <si>
    <t>M1477</t>
  </si>
  <si>
    <t>M1098</t>
  </si>
  <si>
    <t>M1300</t>
  </si>
  <si>
    <t>M1590</t>
  </si>
  <si>
    <t>M1207</t>
  </si>
  <si>
    <t>M1546</t>
  </si>
  <si>
    <t>M1210</t>
  </si>
  <si>
    <t>M1491</t>
  </si>
  <si>
    <t>M1461</t>
  </si>
  <si>
    <t>M1266</t>
  </si>
  <si>
    <t>M1422</t>
  </si>
  <si>
    <t>M1494</t>
  </si>
  <si>
    <t>M1166</t>
  </si>
  <si>
    <t>M1431</t>
  </si>
  <si>
    <t>M1148</t>
  </si>
  <si>
    <t>M1464</t>
  </si>
  <si>
    <t>M1226</t>
  </si>
  <si>
    <t>M1452</t>
  </si>
  <si>
    <t>M1401</t>
  </si>
  <si>
    <t>M1093</t>
  </si>
  <si>
    <t>M1120</t>
  </si>
  <si>
    <t>M1453</t>
  </si>
  <si>
    <t>M1254</t>
  </si>
  <si>
    <t>M1555</t>
  </si>
  <si>
    <t>M1563</t>
  </si>
  <si>
    <t>M1160</t>
  </si>
  <si>
    <t>M1149</t>
  </si>
  <si>
    <t>M1571</t>
  </si>
  <si>
    <t>M1583</t>
  </si>
  <si>
    <t>M1485</t>
  </si>
  <si>
    <t>M1352</t>
  </si>
  <si>
    <t>M1173</t>
  </si>
  <si>
    <t>M1179</t>
  </si>
  <si>
    <t>M1381</t>
  </si>
  <si>
    <t>M1208</t>
  </si>
  <si>
    <t>M1034</t>
  </si>
  <si>
    <t>M1021</t>
  </si>
  <si>
    <t>M1124</t>
  </si>
  <si>
    <t>M1150</t>
  </si>
  <si>
    <t>M1291</t>
  </si>
  <si>
    <t>M1297</t>
  </si>
  <si>
    <t>M1022</t>
  </si>
  <si>
    <t>M1374</t>
  </si>
  <si>
    <t>M1048</t>
  </si>
  <si>
    <t>M1136</t>
  </si>
  <si>
    <t>M1299</t>
  </si>
  <si>
    <t>M1503</t>
  </si>
  <si>
    <t>M1598</t>
  </si>
  <si>
    <t>M1129</t>
  </si>
  <si>
    <t>M1125</t>
  </si>
  <si>
    <t>M1271</t>
  </si>
  <si>
    <t>M1400</t>
  </si>
  <si>
    <t>M1559</t>
  </si>
  <si>
    <t>M1312</t>
  </si>
  <si>
    <t>M1398</t>
  </si>
  <si>
    <t>M1273</t>
  </si>
  <si>
    <t>M1057</t>
  </si>
  <si>
    <t>M1140</t>
  </si>
  <si>
    <t>M1367</t>
  </si>
  <si>
    <t>M1437</t>
  </si>
  <si>
    <t>M1538</t>
  </si>
  <si>
    <t>M1088</t>
  </si>
  <si>
    <t>M1467</t>
  </si>
  <si>
    <t>M1010</t>
  </si>
  <si>
    <t>M1079</t>
  </si>
  <si>
    <t>M1534</t>
  </si>
  <si>
    <t>M1075</t>
  </si>
  <si>
    <t>M1519</t>
  </si>
  <si>
    <t>M1499</t>
  </si>
  <si>
    <t>M1515</t>
  </si>
  <si>
    <t>M1483</t>
  </si>
  <si>
    <t>M1220</t>
  </si>
  <si>
    <t>M1536</t>
  </si>
  <si>
    <t>M1268</t>
  </si>
  <si>
    <t>M1415</t>
  </si>
  <si>
    <t>M1455</t>
  </si>
  <si>
    <t>M1240</t>
  </si>
  <si>
    <t>M1320</t>
  </si>
  <si>
    <t>M1443</t>
  </si>
  <si>
    <t>M1362</t>
  </si>
  <si>
    <t>M1405</t>
  </si>
  <si>
    <t>M1100</t>
  </si>
  <si>
    <t>M1419</t>
  </si>
  <si>
    <t>M1290</t>
  </si>
  <si>
    <t>M1395</t>
  </si>
  <si>
    <t>M1550</t>
  </si>
  <si>
    <t>M1553</t>
  </si>
  <si>
    <t>M1176</t>
  </si>
  <si>
    <t>M1512</t>
  </si>
  <si>
    <t>M1474</t>
  </si>
  <si>
    <t>M1364</t>
  </si>
  <si>
    <t>M1012</t>
  </si>
  <si>
    <t>M1046</t>
  </si>
  <si>
    <t>M1298</t>
  </si>
  <si>
    <t>M1283</t>
  </si>
  <si>
    <t>M1249</t>
  </si>
  <si>
    <t>M1032</t>
  </si>
  <si>
    <t>M1339</t>
  </si>
  <si>
    <t>M1596</t>
  </si>
  <si>
    <t>M1035</t>
  </si>
  <si>
    <t>M1159</t>
  </si>
  <si>
    <t>M1051</t>
  </si>
  <si>
    <t>M1470</t>
  </si>
  <si>
    <t>M1348</t>
  </si>
  <si>
    <t>M1454</t>
  </si>
  <si>
    <t>M1058</t>
  </si>
  <si>
    <t>M1301</t>
  </si>
  <si>
    <t>M1597</t>
  </si>
  <si>
    <t>M1594</t>
  </si>
  <si>
    <t>M1457</t>
  </si>
  <si>
    <t>M1479</t>
  </si>
  <si>
    <t>M1435</t>
  </si>
  <si>
    <t>M1418</t>
  </si>
  <si>
    <t>M1116</t>
  </si>
  <si>
    <t>M1155</t>
  </si>
  <si>
    <t>M1287</t>
  </si>
  <si>
    <t>M1487</t>
  </si>
  <si>
    <t>M1219</t>
  </si>
  <si>
    <t>M1036</t>
  </si>
  <si>
    <t>M1174</t>
  </si>
  <si>
    <t>M1073</t>
  </si>
  <si>
    <t>M1059</t>
  </si>
  <si>
    <t>M1458</t>
  </si>
  <si>
    <t>M1218</t>
  </si>
  <si>
    <t>M1561</t>
  </si>
  <si>
    <t>M1549</t>
  </si>
  <si>
    <t>M1586</t>
  </si>
  <si>
    <t>M1083</t>
  </si>
  <si>
    <t>M1264</t>
  </si>
  <si>
    <t>M1541</t>
  </si>
  <si>
    <t>M1069</t>
  </si>
  <si>
    <t>M1043</t>
  </si>
  <si>
    <t>M1564</t>
  </si>
  <si>
    <t>M1315</t>
  </si>
  <si>
    <t>M1408</t>
  </si>
  <si>
    <t>M1015</t>
  </si>
  <si>
    <t>M1094</t>
  </si>
  <si>
    <t>M1440</t>
  </si>
  <si>
    <t>M1387</t>
  </si>
  <si>
    <t>M1110</t>
  </si>
  <si>
    <t>M1005</t>
  </si>
  <si>
    <t>M1241</t>
  </si>
  <si>
    <t>M1132</t>
  </si>
  <si>
    <t>M1316</t>
  </si>
  <si>
    <t>M1366</t>
  </si>
  <si>
    <t>M1371</t>
  </si>
  <si>
    <t>M1595</t>
  </si>
  <si>
    <t>M1071</t>
  </si>
  <si>
    <t>M1082</t>
  </si>
  <si>
    <t>M1446</t>
  </si>
  <si>
    <t>M1171</t>
  </si>
  <si>
    <t>M1572</t>
  </si>
  <si>
    <t>M1486</t>
  </si>
  <si>
    <t>M1340</t>
  </si>
  <si>
    <t>M1165</t>
  </si>
  <si>
    <t>M1261</t>
  </si>
  <si>
    <t>M1412</t>
  </si>
  <si>
    <t>M1346</t>
  </si>
  <si>
    <t>M1514</t>
  </si>
  <si>
    <t>M1286</t>
  </si>
  <si>
    <t>M1004</t>
  </si>
  <si>
    <t>M1105</t>
  </si>
  <si>
    <t>M1152</t>
  </si>
  <si>
    <t>M1391</t>
  </si>
  <si>
    <t>M1214</t>
  </si>
  <si>
    <t>M1463</t>
  </si>
  <si>
    <t>M1282</t>
  </si>
  <si>
    <t>M1153</t>
  </si>
  <si>
    <t>M1566</t>
  </si>
  <si>
    <t>M1001</t>
  </si>
  <si>
    <t>M1228</t>
  </si>
  <si>
    <t>M1106</t>
  </si>
  <si>
    <t>M1388</t>
  </si>
  <si>
    <t>M1295</t>
  </si>
  <si>
    <t>M1526</t>
  </si>
  <si>
    <t>M1237</t>
  </si>
  <si>
    <t>M1086</t>
  </si>
  <si>
    <t>M1111</t>
  </si>
  <si>
    <t>M1231</t>
  </si>
  <si>
    <t>M1019</t>
  </si>
  <si>
    <t>M1117</t>
  </si>
  <si>
    <t>M1310</t>
  </si>
  <si>
    <t>M1230</t>
  </si>
  <si>
    <t>M1023</t>
  </si>
  <si>
    <t>M1390</t>
  </si>
  <si>
    <t>M1325</t>
  </si>
  <si>
    <t>M1276</t>
  </si>
  <si>
    <t>M1095</t>
  </si>
  <si>
    <t>M1478</t>
  </si>
  <si>
    <t>M1379</t>
  </si>
  <si>
    <t>M1567</t>
  </si>
  <si>
    <t>M1375</t>
  </si>
  <si>
    <t>M1368</t>
  </si>
  <si>
    <t>M1108</t>
  </si>
  <si>
    <t>M1313</t>
  </si>
  <si>
    <t>M1569</t>
  </si>
  <si>
    <t>M1040</t>
  </si>
  <si>
    <t>M1006</t>
  </si>
  <si>
    <t>M1064</t>
  </si>
  <si>
    <t>M1488</t>
  </si>
  <si>
    <t>M1081</t>
  </si>
  <si>
    <t>M1052</t>
  </si>
  <si>
    <t>M1336</t>
  </si>
  <si>
    <t>M1285</t>
  </si>
  <si>
    <t>M1030</t>
  </si>
  <si>
    <t>M1252</t>
  </si>
  <si>
    <t>M1397</t>
  </si>
  <si>
    <t>M1492</t>
  </si>
  <si>
    <t>M1341</t>
  </si>
  <si>
    <t>M1489</t>
  </si>
  <si>
    <t>M1359</t>
  </si>
  <si>
    <t>M1078</t>
  </si>
  <si>
    <t>M1260</t>
  </si>
  <si>
    <t>M1045</t>
  </si>
  <si>
    <t>M1229</t>
  </si>
  <si>
    <t>M1244</t>
  </si>
  <si>
    <t>M1126</t>
  </si>
  <si>
    <t>M1517</t>
  </si>
  <si>
    <t>M1584</t>
  </si>
  <si>
    <t>M1245</t>
  </si>
  <si>
    <t>M1216</t>
  </si>
  <si>
    <t>M1278</t>
  </si>
  <si>
    <t>M1522</t>
  </si>
  <si>
    <t>M1404</t>
  </si>
  <si>
    <t>M1199</t>
  </si>
  <si>
    <t>M1414</t>
  </si>
  <si>
    <t>M1333</t>
  </si>
  <si>
    <t>M1459</t>
  </si>
  <si>
    <t>M1501</t>
  </si>
  <si>
    <t>M1113</t>
  </si>
  <si>
    <t>M1248</t>
  </si>
  <si>
    <t>M1053</t>
  </si>
  <si>
    <t>M1383</t>
  </si>
  <si>
    <t>M1373</t>
  </si>
  <si>
    <t>M1394</t>
  </si>
  <si>
    <t>M1127</t>
  </si>
  <si>
    <t>M1450</t>
  </si>
  <si>
    <t>M1089</t>
  </si>
  <si>
    <t>M1170</t>
  </si>
  <si>
    <t>M1475</t>
  </si>
  <si>
    <t>M1557</t>
  </si>
  <si>
    <t>M1033</t>
  </si>
  <si>
    <t>M1192</t>
  </si>
  <si>
    <t>M1115</t>
  </si>
  <si>
    <t>M1234</t>
  </si>
  <si>
    <t>M1247</t>
  </si>
  <si>
    <t>M1447</t>
  </si>
  <si>
    <t>M1380</t>
  </si>
  <si>
    <t>M1184</t>
  </si>
  <si>
    <t>M1476</t>
  </si>
  <si>
    <t>M1436</t>
  </si>
  <si>
    <t>M1410</t>
  </si>
  <si>
    <t>M1578</t>
  </si>
  <si>
    <t>M1274</t>
  </si>
  <si>
    <t>M1213</t>
  </si>
  <si>
    <t>M1434</t>
  </si>
  <si>
    <t>M1468</t>
  </si>
  <si>
    <t>M1466</t>
  </si>
  <si>
    <t>M1511</t>
  </si>
  <si>
    <t>M1221</t>
  </si>
  <si>
    <t>M1439</t>
  </si>
  <si>
    <t>M1417</t>
  </si>
  <si>
    <t>M1326</t>
  </si>
  <si>
    <t>M1189</t>
  </si>
  <si>
    <t>M1056</t>
  </si>
  <si>
    <t>M1314</t>
  </si>
  <si>
    <t>M1292</t>
  </si>
  <si>
    <t>M1054</t>
  </si>
  <si>
    <t>M1195</t>
  </si>
  <si>
    <t>M1370</t>
  </si>
  <si>
    <t>M1202</t>
  </si>
  <si>
    <t>M1204</t>
  </si>
  <si>
    <t>M1328</t>
  </si>
  <si>
    <t>M1232</t>
  </si>
  <si>
    <t>M1168</t>
  </si>
  <si>
    <t>M1365</t>
  </si>
  <si>
    <t>M1307</t>
  </si>
  <si>
    <t>M1343</t>
  </si>
  <si>
    <t>M1267</t>
  </si>
  <si>
    <t>M1163</t>
  </si>
  <si>
    <t>M1535</t>
  </si>
  <si>
    <t>M1441</t>
  </si>
  <si>
    <t>M1331</t>
  </si>
  <si>
    <t>M1309</t>
  </si>
  <si>
    <t>M1020</t>
  </si>
  <si>
    <t>M1355</t>
  </si>
  <si>
    <t>Row Labels</t>
  </si>
  <si>
    <t>Count of Match ID</t>
  </si>
  <si>
    <t>Sum of Home Goals</t>
  </si>
  <si>
    <t>Average of Attendance</t>
  </si>
  <si>
    <t>Column Labels</t>
  </si>
  <si>
    <t>Ac Milan</t>
  </si>
  <si>
    <t>TOTAL MATCHES</t>
  </si>
  <si>
    <t>Sum of Away Goals</t>
  </si>
  <si>
    <t>AVG ATTENDENCE</t>
  </si>
  <si>
    <t>HOME GOALS</t>
  </si>
  <si>
    <t>AWAY GOALS</t>
  </si>
  <si>
    <t>employe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</si>
</sst>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409]d\-mmm\-yyyy;@"/>
    <numFmt numFmtId="165" formatCode="_-[$$-409]* #,##0.00_ ;_-[$$-409]* \-#,##0.00\ ;_-[$$-409]* &quot;-&quot;??_ ;_-@_ "/>
    <numFmt numFmtId="166" formatCode="[$-F400]h:mm:ss\ AM/PM"/>
    <numFmt numFmtId="167" formatCode="dd\-mmm\-yyyy"/>
    <numFmt numFmtId="168" formatCode="hh:mm\ AM/PM"/>
    <numFmt numFmtId="169" formatCode="[$-F800]dddd\,\ mmmm\ dd\,\ yyyy"/>
    <numFmt numFmtId="170" formatCode="[$-14009]yyyy/mm/dd;@"/>
    <numFmt numFmtId="171" formatCode="[$-14009]dd\ mmmm\ yyyy;@"/>
    <numFmt numFmtId="172" formatCode="&quot;₹&quot;\ #,##0.00"/>
    <numFmt numFmtId="173" formatCode="0.0"/>
  </numFmts>
  <fonts count="47" x14ac:knownFonts="1">
    <font>
      <sz val="11"/>
      <color theme="1"/>
      <name val="Calibri"/>
      <family val="2"/>
      <scheme val="minor"/>
    </font>
    <font>
      <b/>
      <sz val="11"/>
      <color theme="1"/>
      <name val="Calibri"/>
      <family val="2"/>
      <scheme val="minor"/>
    </font>
    <font>
      <b/>
      <sz val="10"/>
      <color rgb="FFFFFFFF"/>
      <name val="Arial"/>
      <family val="2"/>
    </font>
    <font>
      <sz val="10"/>
      <name val="Arial"/>
      <family val="2"/>
    </font>
    <font>
      <b/>
      <sz val="10"/>
      <color theme="0"/>
      <name val="Arial"/>
      <family val="2"/>
    </font>
    <font>
      <b/>
      <sz val="10"/>
      <name val="Arial"/>
      <family val="2"/>
    </font>
    <font>
      <b/>
      <sz val="10"/>
      <color rgb="FFFFFFFF"/>
      <name val="Arial"/>
      <family val="2"/>
    </font>
    <font>
      <sz val="10"/>
      <name val="Arial"/>
      <family val="2"/>
    </font>
    <font>
      <sz val="8"/>
      <name val="Calibri"/>
      <family val="2"/>
      <scheme val="minor"/>
    </font>
    <font>
      <sz val="11"/>
      <color theme="0"/>
      <name val="Calibri"/>
      <family val="2"/>
      <scheme val="minor"/>
    </font>
    <font>
      <sz val="18"/>
      <color theme="3"/>
      <name val="Calibri Light"/>
      <family val="1"/>
      <scheme val="major"/>
    </font>
    <font>
      <sz val="10"/>
      <color theme="1"/>
      <name val="Calibri"/>
      <family val="2"/>
      <scheme val="minor"/>
    </font>
    <font>
      <sz val="10"/>
      <color theme="0" tint="-0.499984740745262"/>
      <name val="Calibri"/>
      <family val="2"/>
      <scheme val="minor"/>
    </font>
    <font>
      <sz val="10"/>
      <color theme="0"/>
      <name val="Calibri"/>
      <family val="2"/>
      <scheme val="minor"/>
    </font>
    <font>
      <sz val="12"/>
      <color theme="1"/>
      <name val="Calibri"/>
      <family val="2"/>
      <scheme val="minor"/>
    </font>
    <font>
      <b/>
      <sz val="10"/>
      <color theme="1"/>
      <name val="Calibri"/>
      <family val="2"/>
      <scheme val="minor"/>
    </font>
    <font>
      <i/>
      <sz val="12"/>
      <color rgb="FF7F7F7F"/>
      <name val="Calibri"/>
      <family val="2"/>
      <scheme val="minor"/>
    </font>
    <font>
      <sz val="12"/>
      <color theme="0"/>
      <name val="Calibri"/>
      <family val="2"/>
      <scheme val="minor"/>
    </font>
    <font>
      <b/>
      <sz val="18"/>
      <color theme="3"/>
      <name val="Calibri Light"/>
      <family val="1"/>
      <scheme val="major"/>
    </font>
    <font>
      <u/>
      <sz val="11"/>
      <color theme="10"/>
      <name val="Calibri"/>
      <family val="2"/>
      <scheme val="minor"/>
    </font>
    <font>
      <u/>
      <sz val="10"/>
      <color theme="10"/>
      <name val="Calibri"/>
      <family val="2"/>
      <scheme val="minor"/>
    </font>
    <font>
      <sz val="14"/>
      <color theme="8"/>
      <name val="Calibri Light"/>
      <family val="1"/>
      <scheme val="major"/>
    </font>
    <font>
      <sz val="12"/>
      <color theme="5"/>
      <name val="Calibri"/>
      <family val="2"/>
      <scheme val="minor"/>
    </font>
    <font>
      <sz val="10"/>
      <color theme="1"/>
      <name val="Wingdings"/>
      <charset val="2"/>
    </font>
    <font>
      <sz val="10"/>
      <color theme="1"/>
      <name val="Calibri"/>
      <family val="2"/>
    </font>
    <font>
      <b/>
      <sz val="10"/>
      <name val="Calibri"/>
      <family val="2"/>
      <scheme val="minor"/>
    </font>
    <font>
      <b/>
      <sz val="11"/>
      <name val="Calibri"/>
      <family val="2"/>
      <scheme val="minor"/>
    </font>
    <font>
      <b/>
      <sz val="18"/>
      <name val="Calibri Light"/>
      <family val="1"/>
      <scheme val="major"/>
    </font>
    <font>
      <b/>
      <sz val="16"/>
      <color rgb="FFFFFFFF"/>
      <name val="Arial"/>
      <family val="2"/>
    </font>
    <font>
      <b/>
      <sz val="12"/>
      <color rgb="FF1F4E78"/>
      <name val="Arial"/>
      <family val="2"/>
    </font>
    <font>
      <sz val="10.5"/>
      <name val="Arial"/>
      <family val="2"/>
    </font>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9"/>
      <color rgb="FF595959"/>
      <name val="Arial"/>
      <family val="2"/>
    </font>
    <font>
      <b/>
      <sz val="12"/>
      <color theme="0"/>
      <name val="Aptos SemiBold"/>
      <family val="2"/>
    </font>
    <font>
      <b/>
      <sz val="11"/>
      <color theme="1"/>
      <name val="Aptos Display"/>
      <family val="2"/>
    </font>
    <font>
      <b/>
      <sz val="14"/>
      <color theme="1"/>
      <name val="Aptos Black"/>
      <family val="2"/>
    </font>
    <font>
      <b/>
      <sz val="18"/>
      <color theme="1"/>
      <name val="Aptos Black"/>
      <family val="2"/>
    </font>
    <font>
      <sz val="18"/>
      <color theme="1"/>
      <name val="Calibri"/>
      <family val="2"/>
      <scheme val="minor"/>
    </font>
    <font>
      <sz val="11"/>
      <color theme="1"/>
      <name val="Angsana New"/>
      <family val="1"/>
      <charset val="222"/>
    </font>
    <font>
      <b/>
      <sz val="11"/>
      <color theme="1"/>
      <name val="Georgia Pro Black"/>
      <family val="1"/>
    </font>
    <font>
      <b/>
      <sz val="14"/>
      <color theme="1" tint="4.9989318521683403E-2"/>
      <name val="Aptos Black"/>
      <family val="2"/>
    </font>
    <font>
      <b/>
      <i/>
      <u/>
      <sz val="16"/>
      <color theme="4"/>
      <name val="Arial"/>
      <family val="2"/>
    </font>
  </fonts>
  <fills count="24">
    <fill>
      <patternFill patternType="none"/>
    </fill>
    <fill>
      <patternFill patternType="gray125"/>
    </fill>
    <fill>
      <patternFill patternType="solid">
        <fgColor rgb="FFFFF2CC"/>
        <bgColor rgb="FFF2F2F2"/>
      </patternFill>
    </fill>
    <fill>
      <patternFill patternType="solid">
        <fgColor rgb="FF2E75B6"/>
        <bgColor rgb="FF1155CC"/>
      </patternFill>
    </fill>
    <fill>
      <patternFill patternType="solid">
        <fgColor rgb="FFF2F2F2"/>
        <bgColor rgb="FFDDEBF7"/>
      </patternFill>
    </fill>
    <fill>
      <patternFill patternType="solid">
        <fgColor theme="4"/>
        <bgColor rgb="FFDDEBF7"/>
      </patternFill>
    </fill>
    <fill>
      <patternFill patternType="solid">
        <fgColor theme="4"/>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1F4E78"/>
        <bgColor rgb="FF003366"/>
      </patternFill>
    </fill>
    <fill>
      <patternFill patternType="solid">
        <fgColor rgb="FFDDEBF7"/>
        <bgColor rgb="FFF2F2F2"/>
      </patternFill>
    </fill>
    <fill>
      <patternFill patternType="solid">
        <fgColor theme="1" tint="4.9989318521683403E-2"/>
        <bgColor rgb="FF1155CC"/>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249977111117893"/>
        <bgColor rgb="FF203864"/>
      </patternFill>
    </fill>
    <fill>
      <patternFill patternType="solid">
        <fgColor theme="5"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7" tint="0.79995117038483843"/>
        <bgColor indexed="64"/>
      </patternFill>
    </fill>
  </fills>
  <borders count="2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hair">
        <color rgb="FFD9D9D9"/>
      </bottom>
      <diagonal/>
    </border>
    <border>
      <left style="thin">
        <color rgb="FFBFBFBF"/>
      </left>
      <right/>
      <top/>
      <bottom/>
      <diagonal/>
    </border>
    <border>
      <left/>
      <right/>
      <top style="medium">
        <color indexed="64"/>
      </top>
      <bottom/>
      <diagonal/>
    </border>
    <border>
      <left/>
      <right/>
      <top/>
      <bottom style="medium">
        <color indexed="64"/>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style="thin">
        <color rgb="FFB7B7B7"/>
      </right>
      <top style="thin">
        <color rgb="FFB7B7B7"/>
      </top>
      <bottom style="thin">
        <color rgb="FFB7B7B7"/>
      </bottom>
      <diagonal/>
    </border>
    <border>
      <left style="thin">
        <color rgb="FFBFBFBF"/>
      </left>
      <right style="thin">
        <color rgb="FFBFBFBF"/>
      </right>
      <top/>
      <bottom style="thin">
        <color rgb="FFBFBFBF"/>
      </bottom>
      <diagonal/>
    </border>
  </borders>
  <cellStyleXfs count="8">
    <xf numFmtId="0" fontId="0" fillId="0" borderId="0"/>
    <xf numFmtId="0" fontId="14" fillId="8" borderId="0" applyNumberFormat="0" applyBorder="0" applyAlignment="0" applyProtection="0"/>
    <xf numFmtId="0" fontId="10" fillId="0" borderId="0" applyNumberFormat="0" applyFill="0" applyBorder="0" applyAlignment="0" applyProtection="0"/>
    <xf numFmtId="0" fontId="16" fillId="0" borderId="0" applyNumberFormat="0" applyFill="0" applyBorder="0" applyAlignment="0" applyProtection="0"/>
    <xf numFmtId="0" fontId="17" fillId="6" borderId="0" applyNumberFormat="0" applyBorder="0" applyAlignment="0" applyProtection="0"/>
    <xf numFmtId="0" fontId="14" fillId="7" borderId="0" applyNumberFormat="0" applyBorder="0" applyAlignment="0" applyProtection="0"/>
    <xf numFmtId="0" fontId="19" fillId="0" borderId="0" applyNumberFormat="0" applyFill="0" applyBorder="0" applyAlignment="0" applyProtection="0"/>
    <xf numFmtId="9" fontId="31" fillId="0" borderId="0" applyFont="0" applyFill="0" applyBorder="0" applyAlignment="0" applyProtection="0"/>
  </cellStyleXfs>
  <cellXfs count="180">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0" xfId="0" applyAlignment="1">
      <alignment horizontal="center"/>
    </xf>
    <xf numFmtId="0" fontId="4" fillId="5" borderId="2" xfId="0" applyFont="1" applyFill="1" applyBorder="1" applyAlignment="1">
      <alignment horizontal="center" vertical="center"/>
    </xf>
    <xf numFmtId="0" fontId="1" fillId="0" borderId="0" xfId="0" applyFont="1" applyAlignment="1">
      <alignment horizontal="center"/>
    </xf>
    <xf numFmtId="0" fontId="1" fillId="0" borderId="3" xfId="0" applyFont="1" applyBorder="1" applyAlignment="1">
      <alignment horizontal="center"/>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4" borderId="1" xfId="0" applyFont="1" applyFill="1" applyBorder="1" applyAlignment="1">
      <alignment horizontal="center" vertical="center"/>
    </xf>
    <xf numFmtId="164" fontId="7" fillId="0" borderId="1" xfId="0" applyNumberFormat="1" applyFont="1" applyBorder="1" applyAlignment="1">
      <alignment horizontal="center" vertical="center"/>
    </xf>
    <xf numFmtId="0" fontId="7" fillId="0" borderId="1" xfId="0" quotePrefix="1" applyFont="1" applyBorder="1" applyAlignment="1">
      <alignment horizontal="center" vertical="center"/>
    </xf>
    <xf numFmtId="0" fontId="6" fillId="3" borderId="2" xfId="0" applyFont="1" applyFill="1" applyBorder="1" applyAlignment="1">
      <alignment horizontal="center" vertical="center" wrapText="1"/>
    </xf>
    <xf numFmtId="0" fontId="7" fillId="0" borderId="2" xfId="0" applyFont="1" applyBorder="1" applyAlignment="1">
      <alignment horizontal="center" vertical="center"/>
    </xf>
    <xf numFmtId="0" fontId="7" fillId="0" borderId="0" xfId="0" applyFont="1" applyAlignment="1">
      <alignment horizontal="center" vertical="center"/>
    </xf>
    <xf numFmtId="3" fontId="7" fillId="4" borderId="1" xfId="0" applyNumberFormat="1" applyFont="1" applyFill="1" applyBorder="1" applyAlignment="1">
      <alignment horizontal="center" vertical="center"/>
    </xf>
    <xf numFmtId="3" fontId="7" fillId="0" borderId="1" xfId="0" applyNumberFormat="1" applyFont="1" applyBorder="1" applyAlignment="1">
      <alignment horizontal="center" vertical="center"/>
    </xf>
    <xf numFmtId="0" fontId="5" fillId="0" borderId="0" xfId="0" applyFont="1"/>
    <xf numFmtId="3" fontId="0" fillId="2" borderId="1" xfId="0" applyNumberFormat="1" applyFill="1" applyBorder="1"/>
    <xf numFmtId="0" fontId="9" fillId="6" borderId="0" xfId="0" applyFont="1" applyFill="1"/>
    <xf numFmtId="0" fontId="9" fillId="6" borderId="4" xfId="0" applyFont="1" applyFill="1" applyBorder="1"/>
    <xf numFmtId="0" fontId="13" fillId="6" borderId="4" xfId="4" applyFont="1" applyBorder="1"/>
    <xf numFmtId="0" fontId="11" fillId="0" borderId="4" xfId="0" applyFont="1" applyBorder="1"/>
    <xf numFmtId="0" fontId="0" fillId="0" borderId="4" xfId="0" applyBorder="1"/>
    <xf numFmtId="0" fontId="18" fillId="0" borderId="4" xfId="2" applyFont="1" applyBorder="1"/>
    <xf numFmtId="0" fontId="1" fillId="0" borderId="4" xfId="0" applyFont="1" applyBorder="1"/>
    <xf numFmtId="0" fontId="12" fillId="0" borderId="4" xfId="0" applyFont="1" applyBorder="1"/>
    <xf numFmtId="0" fontId="10" fillId="0" borderId="4" xfId="2" applyBorder="1"/>
    <xf numFmtId="0" fontId="15" fillId="0" borderId="4" xfId="0" applyFont="1" applyBorder="1"/>
    <xf numFmtId="22" fontId="11" fillId="0" borderId="4" xfId="0" applyNumberFormat="1" applyFont="1" applyBorder="1"/>
    <xf numFmtId="14" fontId="11" fillId="0" borderId="4" xfId="0" applyNumberFormat="1" applyFont="1" applyBorder="1"/>
    <xf numFmtId="0" fontId="11" fillId="0" borderId="11" xfId="0" applyFont="1" applyBorder="1"/>
    <xf numFmtId="0" fontId="15" fillId="0" borderId="11" xfId="0" applyFont="1" applyBorder="1"/>
    <xf numFmtId="0" fontId="12" fillId="0" borderId="12" xfId="0" applyFont="1" applyBorder="1"/>
    <xf numFmtId="0" fontId="10" fillId="0" borderId="11" xfId="2" applyBorder="1"/>
    <xf numFmtId="166" fontId="0" fillId="0" borderId="0" xfId="0" applyNumberFormat="1"/>
    <xf numFmtId="22" fontId="0" fillId="0" borderId="0" xfId="0" applyNumberFormat="1"/>
    <xf numFmtId="0" fontId="10" fillId="0" borderId="5" xfId="2" applyBorder="1"/>
    <xf numFmtId="0" fontId="11" fillId="0" borderId="6" xfId="0" applyFont="1" applyBorder="1"/>
    <xf numFmtId="0" fontId="12" fillId="0" borderId="7" xfId="0" applyFont="1" applyBorder="1"/>
    <xf numFmtId="0" fontId="12" fillId="0" borderId="8" xfId="0" applyFont="1" applyBorder="1"/>
    <xf numFmtId="0" fontId="11" fillId="0" borderId="9" xfId="0" applyFont="1" applyBorder="1"/>
    <xf numFmtId="0" fontId="12" fillId="0" borderId="10" xfId="0" applyFont="1" applyBorder="1"/>
    <xf numFmtId="0" fontId="15" fillId="0" borderId="6" xfId="0" applyFont="1" applyBorder="1"/>
    <xf numFmtId="0" fontId="13" fillId="6" borderId="4" xfId="4" applyFont="1" applyBorder="1" applyAlignment="1">
      <alignment wrapText="1"/>
    </xf>
    <xf numFmtId="0" fontId="11" fillId="0" borderId="7" xfId="0" applyFont="1" applyBorder="1"/>
    <xf numFmtId="0" fontId="11" fillId="0" borderId="4" xfId="0" applyFont="1" applyBorder="1" applyAlignment="1">
      <alignment wrapText="1"/>
    </xf>
    <xf numFmtId="14" fontId="0" fillId="0" borderId="0" xfId="0" applyNumberFormat="1"/>
    <xf numFmtId="0" fontId="11" fillId="0" borderId="8" xfId="0" applyFont="1" applyBorder="1"/>
    <xf numFmtId="0" fontId="13" fillId="6" borderId="7" xfId="4" applyFont="1" applyBorder="1"/>
    <xf numFmtId="0" fontId="13" fillId="6" borderId="10" xfId="4" applyFont="1" applyBorder="1"/>
    <xf numFmtId="0" fontId="11" fillId="0" borderId="0" xfId="0" applyFont="1"/>
    <xf numFmtId="165" fontId="11" fillId="0" borderId="4" xfId="0" applyNumberFormat="1" applyFont="1" applyBorder="1"/>
    <xf numFmtId="0" fontId="10" fillId="0" borderId="7" xfId="2" applyBorder="1"/>
    <xf numFmtId="0" fontId="21" fillId="0" borderId="4" xfId="2" applyFont="1" applyBorder="1"/>
    <xf numFmtId="165" fontId="11" fillId="0" borderId="4" xfId="0" applyNumberFormat="1" applyFont="1" applyBorder="1" applyAlignment="1">
      <alignment horizontal="right"/>
    </xf>
    <xf numFmtId="0" fontId="11" fillId="0" borderId="4" xfId="0" applyFont="1" applyBorder="1" applyAlignment="1">
      <alignment horizontal="left"/>
    </xf>
    <xf numFmtId="0" fontId="11" fillId="0" borderId="4" xfId="0" applyFont="1" applyBorder="1" applyAlignment="1">
      <alignment horizontal="right"/>
    </xf>
    <xf numFmtId="0" fontId="22" fillId="0" borderId="7" xfId="0" applyFont="1" applyBorder="1"/>
    <xf numFmtId="0" fontId="22" fillId="0" borderId="8" xfId="0" applyFont="1" applyBorder="1"/>
    <xf numFmtId="0" fontId="22" fillId="0" borderId="10" xfId="0" applyFont="1" applyBorder="1"/>
    <xf numFmtId="0" fontId="12" fillId="0" borderId="0" xfId="0" applyFont="1"/>
    <xf numFmtId="0" fontId="10" fillId="0" borderId="0" xfId="2" applyBorder="1"/>
    <xf numFmtId="0" fontId="27" fillId="0" borderId="5" xfId="2" applyFont="1" applyBorder="1"/>
    <xf numFmtId="0" fontId="26" fillId="0" borderId="0" xfId="0" applyFont="1"/>
    <xf numFmtId="0" fontId="14" fillId="7" borderId="4" xfId="5" applyBorder="1"/>
    <xf numFmtId="0" fontId="14" fillId="8" borderId="4" xfId="1" applyBorder="1"/>
    <xf numFmtId="0" fontId="14" fillId="7" borderId="4" xfId="5" applyBorder="1" applyAlignment="1">
      <alignment wrapText="1"/>
    </xf>
    <xf numFmtId="0" fontId="11" fillId="0" borderId="10" xfId="0" applyFont="1" applyBorder="1"/>
    <xf numFmtId="0" fontId="11" fillId="0" borderId="13" xfId="0" applyFont="1" applyBorder="1" applyAlignment="1">
      <alignment wrapText="1"/>
    </xf>
    <xf numFmtId="0" fontId="11" fillId="0" borderId="9" xfId="0" applyFont="1" applyBorder="1" applyAlignment="1">
      <alignment wrapText="1"/>
    </xf>
    <xf numFmtId="0" fontId="11" fillId="0" borderId="14" xfId="0" applyFont="1" applyBorder="1"/>
    <xf numFmtId="0" fontId="11" fillId="0" borderId="15" xfId="0" applyFont="1" applyBorder="1"/>
    <xf numFmtId="0" fontId="11" fillId="0" borderId="16" xfId="0" applyFont="1" applyBorder="1"/>
    <xf numFmtId="166" fontId="11" fillId="0" borderId="4" xfId="0" applyNumberFormat="1" applyFont="1" applyBorder="1"/>
    <xf numFmtId="0" fontId="25" fillId="0" borderId="6" xfId="0" applyFont="1" applyBorder="1"/>
    <xf numFmtId="0" fontId="0" fillId="0" borderId="4" xfId="0" applyBorder="1" applyAlignment="1">
      <alignment wrapText="1"/>
    </xf>
    <xf numFmtId="0" fontId="11" fillId="0" borderId="4" xfId="0" quotePrefix="1" applyFont="1" applyBorder="1"/>
    <xf numFmtId="0" fontId="25" fillId="0" borderId="9" xfId="0" applyFont="1" applyBorder="1"/>
    <xf numFmtId="0" fontId="15" fillId="0" borderId="9" xfId="0" applyFont="1" applyBorder="1"/>
    <xf numFmtId="0" fontId="11" fillId="0" borderId="0" xfId="0" applyFont="1" applyAlignment="1">
      <alignment horizontal="left" vertical="center" wrapText="1"/>
    </xf>
    <xf numFmtId="0" fontId="28" fillId="9" borderId="0" xfId="0" applyFont="1" applyFill="1" applyAlignment="1">
      <alignment horizontal="left" vertical="center" indent="1"/>
    </xf>
    <xf numFmtId="0" fontId="29" fillId="10" borderId="0" xfId="0" applyFont="1" applyFill="1" applyAlignment="1">
      <alignment horizontal="left" vertical="center" indent="1"/>
    </xf>
    <xf numFmtId="0" fontId="29" fillId="2" borderId="0" xfId="0" applyFont="1" applyFill="1" applyAlignment="1">
      <alignment horizontal="left" vertical="center" indent="1"/>
    </xf>
    <xf numFmtId="0" fontId="2" fillId="3" borderId="4" xfId="0" applyFont="1" applyFill="1" applyBorder="1" applyAlignment="1">
      <alignment horizontal="center" vertical="center" wrapText="1"/>
    </xf>
    <xf numFmtId="0" fontId="3" fillId="0" borderId="4" xfId="0" applyFont="1" applyBorder="1" applyAlignment="1">
      <alignment horizontal="center" vertical="center"/>
    </xf>
    <xf numFmtId="0" fontId="3" fillId="4" borderId="4" xfId="0" applyFont="1" applyFill="1" applyBorder="1" applyAlignment="1">
      <alignment horizontal="center" vertical="center"/>
    </xf>
    <xf numFmtId="0" fontId="0" fillId="0" borderId="4" xfId="0" applyBorder="1" applyAlignment="1">
      <alignment horizontal="center"/>
    </xf>
    <xf numFmtId="9" fontId="0" fillId="0" borderId="4" xfId="7" applyFont="1" applyBorder="1" applyAlignment="1">
      <alignment horizontal="center"/>
    </xf>
    <xf numFmtId="0" fontId="3" fillId="0" borderId="0" xfId="0" applyFont="1" applyAlignment="1">
      <alignment horizontal="center" vertical="center"/>
    </xf>
    <xf numFmtId="0" fontId="30" fillId="0" borderId="0" xfId="0" applyFont="1" applyAlignment="1">
      <alignment horizontal="left" vertical="center" wrapText="1" indent="1"/>
    </xf>
    <xf numFmtId="14" fontId="3" fillId="0" borderId="4" xfId="0" applyNumberFormat="1" applyFont="1" applyBorder="1" applyAlignment="1">
      <alignment horizontal="center" vertical="center"/>
    </xf>
    <xf numFmtId="169" fontId="3" fillId="0" borderId="4" xfId="0" applyNumberFormat="1" applyFont="1" applyBorder="1" applyAlignment="1">
      <alignment horizontal="center" vertical="center"/>
    </xf>
    <xf numFmtId="167" fontId="3" fillId="0" borderId="4" xfId="0" applyNumberFormat="1" applyFont="1" applyBorder="1" applyAlignment="1">
      <alignment horizontal="center" vertical="center"/>
    </xf>
    <xf numFmtId="167" fontId="3" fillId="4" borderId="4" xfId="0" applyNumberFormat="1" applyFont="1" applyFill="1" applyBorder="1" applyAlignment="1">
      <alignment horizontal="center" vertical="center"/>
    </xf>
    <xf numFmtId="168" fontId="3" fillId="0" borderId="4" xfId="0" applyNumberFormat="1" applyFont="1" applyBorder="1" applyAlignment="1">
      <alignment horizontal="center" vertical="center"/>
    </xf>
    <xf numFmtId="166" fontId="3" fillId="0" borderId="4" xfId="0" applyNumberFormat="1" applyFont="1" applyBorder="1" applyAlignment="1">
      <alignment horizontal="center" vertical="center"/>
    </xf>
    <xf numFmtId="49" fontId="3" fillId="0" borderId="4" xfId="0" applyNumberFormat="1" applyFont="1" applyBorder="1" applyAlignment="1">
      <alignment horizontal="center" vertical="center"/>
    </xf>
    <xf numFmtId="168" fontId="3" fillId="4" borderId="4" xfId="0" applyNumberFormat="1" applyFont="1" applyFill="1" applyBorder="1" applyAlignment="1">
      <alignment horizontal="center" vertical="center"/>
    </xf>
    <xf numFmtId="0" fontId="3" fillId="0" borderId="18" xfId="0" applyFont="1" applyBorder="1" applyAlignment="1">
      <alignment horizontal="center" vertical="center"/>
    </xf>
    <xf numFmtId="0" fontId="2" fillId="11" borderId="1" xfId="0" applyFont="1" applyFill="1" applyBorder="1" applyAlignment="1">
      <alignment horizontal="center" vertical="center" wrapText="1"/>
    </xf>
    <xf numFmtId="0" fontId="0" fillId="0" borderId="0" xfId="0">
      <extLst>
        <ext xmlns:xfpb="http://schemas.microsoft.com/office/spreadsheetml/2022/featurepropertybag" uri="{C7286773-470A-42A8-94C5-96B5CB345126}">
          <xfpb:xfComplement i="0"/>
        </ext>
      </extLst>
    </xf>
    <xf numFmtId="0" fontId="2" fillId="3" borderId="18" xfId="0" applyFont="1" applyFill="1" applyBorder="1" applyAlignment="1">
      <alignment horizontal="center" vertical="center" wrapText="1"/>
    </xf>
    <xf numFmtId="9" fontId="0" fillId="0" borderId="0" xfId="0" applyNumberFormat="1"/>
    <xf numFmtId="9" fontId="0" fillId="12" borderId="0" xfId="0" applyNumberFormat="1" applyFill="1"/>
    <xf numFmtId="10" fontId="0" fillId="12" borderId="0" xfId="0" applyNumberFormat="1" applyFill="1"/>
    <xf numFmtId="0" fontId="0" fillId="12" borderId="0" xfId="0" applyFill="1"/>
    <xf numFmtId="3" fontId="0" fillId="13" borderId="0" xfId="0" applyNumberFormat="1" applyFill="1"/>
    <xf numFmtId="0" fontId="0" fillId="13" borderId="0" xfId="0" applyFill="1"/>
    <xf numFmtId="10" fontId="0" fillId="13" borderId="0" xfId="0" applyNumberFormat="1" applyFill="1"/>
    <xf numFmtId="2" fontId="0" fillId="12" borderId="0" xfId="0" applyNumberFormat="1" applyFill="1"/>
    <xf numFmtId="0" fontId="0" fillId="14" borderId="0" xfId="0" applyFill="1"/>
    <xf numFmtId="0" fontId="0" fillId="0" borderId="20" xfId="0" applyBorder="1"/>
    <xf numFmtId="0" fontId="32" fillId="15" borderId="15" xfId="0" applyFont="1" applyFill="1" applyBorder="1" applyAlignment="1">
      <alignment horizontal="left"/>
    </xf>
    <xf numFmtId="0" fontId="32" fillId="15" borderId="19" xfId="0" applyFont="1" applyFill="1" applyBorder="1" applyAlignment="1">
      <alignment horizontal="left"/>
    </xf>
    <xf numFmtId="0" fontId="0" fillId="0" borderId="8" xfId="0" applyBorder="1"/>
    <xf numFmtId="0" fontId="33" fillId="16" borderId="0" xfId="0" applyFont="1" applyFill="1" applyAlignment="1">
      <alignment horizontal="left"/>
    </xf>
    <xf numFmtId="0" fontId="34" fillId="16" borderId="8" xfId="0" applyFont="1" applyFill="1" applyBorder="1" applyAlignment="1">
      <alignment horizontal="left"/>
    </xf>
    <xf numFmtId="0" fontId="33" fillId="16" borderId="20" xfId="0" applyFont="1" applyFill="1" applyBorder="1" applyAlignment="1">
      <alignment horizontal="left"/>
    </xf>
    <xf numFmtId="0" fontId="35" fillId="15" borderId="19" xfId="0" applyFont="1" applyFill="1" applyBorder="1" applyAlignment="1">
      <alignment horizontal="right"/>
    </xf>
    <xf numFmtId="0" fontId="35" fillId="15" borderId="15" xfId="0" applyFont="1" applyFill="1" applyBorder="1" applyAlignment="1">
      <alignment horizontal="right"/>
    </xf>
    <xf numFmtId="0" fontId="0" fillId="17" borderId="0" xfId="0" applyFill="1"/>
    <xf numFmtId="0" fontId="36" fillId="0" borderId="0" xfId="0" applyFont="1" applyAlignment="1">
      <alignment vertical="top" wrapText="1"/>
    </xf>
    <xf numFmtId="167" fontId="3" fillId="0" borderId="1" xfId="0" applyNumberFormat="1" applyFont="1" applyBorder="1" applyAlignment="1">
      <alignment horizontal="center" vertical="center"/>
    </xf>
    <xf numFmtId="167" fontId="3" fillId="4" borderId="1" xfId="0" applyNumberFormat="1" applyFont="1" applyFill="1" applyBorder="1" applyAlignment="1">
      <alignment horizontal="center" vertical="center"/>
    </xf>
    <xf numFmtId="3" fontId="3" fillId="0" borderId="1" xfId="0" applyNumberFormat="1" applyFont="1" applyBorder="1" applyAlignment="1">
      <alignment horizontal="center" vertical="center"/>
    </xf>
    <xf numFmtId="3" fontId="3" fillId="4" borderId="1" xfId="0" applyNumberFormat="1" applyFont="1" applyFill="1" applyBorder="1" applyAlignment="1">
      <alignment horizontal="center" vertical="center"/>
    </xf>
    <xf numFmtId="0" fontId="3" fillId="0" borderId="22" xfId="0" applyFont="1" applyBorder="1"/>
    <xf numFmtId="0" fontId="38" fillId="18" borderId="21" xfId="0" applyFont="1" applyFill="1" applyBorder="1" applyAlignment="1">
      <alignment horizontal="center" vertical="center"/>
    </xf>
    <xf numFmtId="0" fontId="3" fillId="0" borderId="21" xfId="0" applyFont="1" applyBorder="1" applyAlignment="1">
      <alignment horizontal="center"/>
    </xf>
    <xf numFmtId="170" fontId="3" fillId="0" borderId="21" xfId="0" applyNumberFormat="1" applyFont="1" applyBorder="1" applyAlignment="1">
      <alignment horizontal="center"/>
    </xf>
    <xf numFmtId="14" fontId="3" fillId="0" borderId="21" xfId="0" applyNumberFormat="1" applyFont="1" applyBorder="1" applyAlignment="1">
      <alignment horizontal="center"/>
    </xf>
    <xf numFmtId="0" fontId="0" fillId="0" borderId="0" xfId="0" pivotButton="1"/>
    <xf numFmtId="0" fontId="38" fillId="18" borderId="23" xfId="0" applyFont="1" applyFill="1" applyBorder="1" applyAlignment="1">
      <alignment horizontal="center" vertical="center"/>
    </xf>
    <xf numFmtId="0" fontId="3" fillId="0" borderId="23" xfId="0" applyFont="1" applyBorder="1" applyAlignment="1">
      <alignment horizontal="center"/>
    </xf>
    <xf numFmtId="0" fontId="1" fillId="0" borderId="0" xfId="0" applyFont="1"/>
    <xf numFmtId="0" fontId="1" fillId="0" borderId="0" xfId="0" pivotButton="1" applyFont="1"/>
    <xf numFmtId="0" fontId="0" fillId="19" borderId="0" xfId="0" applyFill="1"/>
    <xf numFmtId="0" fontId="39" fillId="19" borderId="0" xfId="0" applyFont="1" applyFill="1" applyAlignment="1">
      <alignment horizontal="center"/>
    </xf>
    <xf numFmtId="0" fontId="39" fillId="19" borderId="0" xfId="0" applyFont="1" applyFill="1"/>
    <xf numFmtId="2" fontId="0" fillId="0" borderId="0" xfId="0" applyNumberFormat="1"/>
    <xf numFmtId="10" fontId="0" fillId="0" borderId="0" xfId="0" applyNumberFormat="1"/>
    <xf numFmtId="172" fontId="0" fillId="0" borderId="0" xfId="0" applyNumberFormat="1"/>
    <xf numFmtId="173" fontId="0" fillId="0" borderId="0" xfId="0" applyNumberFormat="1"/>
    <xf numFmtId="0" fontId="0" fillId="20" borderId="0" xfId="0" applyFill="1" applyAlignment="1">
      <alignment horizontal="center"/>
    </xf>
    <xf numFmtId="171" fontId="0" fillId="0" borderId="0" xfId="0" applyNumberFormat="1" applyAlignment="1">
      <alignment horizontal="center"/>
    </xf>
    <xf numFmtId="2" fontId="0" fillId="0" borderId="0" xfId="0" applyNumberFormat="1" applyAlignment="1">
      <alignment horizontal="center"/>
    </xf>
    <xf numFmtId="172" fontId="0" fillId="0" borderId="0" xfId="0" applyNumberFormat="1" applyAlignment="1">
      <alignment horizontal="center"/>
    </xf>
    <xf numFmtId="10" fontId="0" fillId="0" borderId="0" xfId="0" applyNumberFormat="1" applyAlignment="1">
      <alignment horizontal="center"/>
    </xf>
    <xf numFmtId="173" fontId="0" fillId="0" borderId="0" xfId="0" applyNumberFormat="1" applyAlignment="1">
      <alignment horizontal="center"/>
    </xf>
    <xf numFmtId="0" fontId="0" fillId="21" borderId="0" xfId="0" applyFill="1"/>
    <xf numFmtId="0" fontId="40" fillId="21" borderId="0" xfId="0" applyFont="1" applyFill="1"/>
    <xf numFmtId="0" fontId="41" fillId="21" borderId="0" xfId="0" applyFont="1" applyFill="1" applyAlignment="1">
      <alignment horizontal="center"/>
    </xf>
    <xf numFmtId="0" fontId="42" fillId="21" borderId="0" xfId="0" applyFont="1" applyFill="1" applyAlignment="1">
      <alignment horizontal="center"/>
    </xf>
    <xf numFmtId="0" fontId="0" fillId="0" borderId="0" xfId="0" applyAlignment="1">
      <alignment horizontal="left"/>
    </xf>
    <xf numFmtId="14" fontId="0" fillId="0" borderId="0" xfId="0" applyNumberFormat="1" applyAlignment="1">
      <alignment horizontal="center"/>
    </xf>
    <xf numFmtId="0" fontId="0" fillId="22" borderId="0" xfId="0" applyFill="1"/>
    <xf numFmtId="0" fontId="40" fillId="22" borderId="0" xfId="0" applyFont="1" applyFill="1" applyAlignment="1">
      <alignment horizontal="center"/>
    </xf>
    <xf numFmtId="0" fontId="45" fillId="22" borderId="0" xfId="0" applyFont="1" applyFill="1" applyAlignment="1">
      <alignment horizontal="center"/>
    </xf>
    <xf numFmtId="0" fontId="44" fillId="22" borderId="0" xfId="0" applyFont="1" applyFill="1" applyAlignment="1">
      <alignment horizontal="center"/>
    </xf>
    <xf numFmtId="0" fontId="43" fillId="22" borderId="0" xfId="0" applyFont="1" applyFill="1"/>
    <xf numFmtId="0" fontId="2" fillId="3" borderId="24" xfId="0" applyFont="1" applyFill="1" applyBorder="1" applyAlignment="1">
      <alignment horizontal="center" vertical="center" wrapText="1"/>
    </xf>
    <xf numFmtId="14" fontId="11" fillId="0" borderId="7" xfId="0" applyNumberFormat="1" applyFont="1" applyBorder="1" applyAlignment="1">
      <alignment horizontal="center"/>
    </xf>
    <xf numFmtId="14" fontId="11" fillId="0" borderId="10" xfId="0" applyNumberFormat="1" applyFont="1" applyBorder="1" applyAlignment="1">
      <alignment horizontal="center"/>
    </xf>
    <xf numFmtId="0" fontId="20" fillId="0" borderId="0" xfId="6" applyFont="1" applyAlignment="1">
      <alignment horizontal="center"/>
    </xf>
    <xf numFmtId="0" fontId="11" fillId="0" borderId="7" xfId="0" applyFont="1" applyBorder="1" applyAlignment="1">
      <alignment horizontal="left" wrapText="1"/>
    </xf>
    <xf numFmtId="0" fontId="11" fillId="0" borderId="8" xfId="0" applyFont="1" applyBorder="1" applyAlignment="1">
      <alignment horizontal="left" wrapText="1"/>
    </xf>
    <xf numFmtId="0" fontId="11" fillId="0" borderId="10" xfId="0" applyFont="1" applyBorder="1" applyAlignment="1">
      <alignment horizontal="left" wrapText="1"/>
    </xf>
    <xf numFmtId="0" fontId="11" fillId="0" borderId="7" xfId="0"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xf>
    <xf numFmtId="0" fontId="30" fillId="0" borderId="17" xfId="0" applyFont="1" applyBorder="1" applyAlignment="1">
      <alignment horizontal="left" vertical="center" wrapText="1" indent="1"/>
    </xf>
    <xf numFmtId="0" fontId="28" fillId="9" borderId="0" xfId="0" applyFont="1" applyFill="1" applyAlignment="1">
      <alignment horizontal="left" vertical="center" indent="1"/>
    </xf>
    <xf numFmtId="0" fontId="29" fillId="10" borderId="0" xfId="0" applyFont="1" applyFill="1" applyAlignment="1">
      <alignment horizontal="left" vertical="center" indent="1"/>
    </xf>
    <xf numFmtId="0" fontId="29" fillId="2" borderId="0" xfId="0" applyFont="1" applyFill="1" applyAlignment="1">
      <alignment horizontal="left" vertical="center" indent="1"/>
    </xf>
    <xf numFmtId="0" fontId="46" fillId="23" borderId="4" xfId="0" applyFont="1" applyFill="1" applyBorder="1" applyAlignment="1">
      <alignment horizontal="left" vertical="center" indent="1"/>
    </xf>
    <xf numFmtId="0" fontId="37" fillId="0" borderId="0" xfId="0" applyFont="1" applyAlignment="1">
      <alignment wrapText="1"/>
    </xf>
    <xf numFmtId="0" fontId="0" fillId="0" borderId="0" xfId="0" applyNumberFormat="1"/>
  </cellXfs>
  <cellStyles count="8">
    <cellStyle name="40% - Accent2 2" xfId="1" xr:uid="{13FF13DC-E9B7-440F-8DCB-92396A836EF6}"/>
    <cellStyle name="40% - Accent5 2" xfId="5" xr:uid="{033C217D-AA58-4196-BF83-20D267964DF7}"/>
    <cellStyle name="Accent1 2" xfId="4" xr:uid="{96ECA427-6DAC-413B-B839-0691D89E266A}"/>
    <cellStyle name="Explanatory Text 2" xfId="3" xr:uid="{57BB6238-73A8-4442-BCC1-6430E785D691}"/>
    <cellStyle name="Hyperlink" xfId="6" builtinId="8"/>
    <cellStyle name="Normal" xfId="0" builtinId="0"/>
    <cellStyle name="Percent" xfId="7" builtinId="5"/>
    <cellStyle name="Title 2" xfId="2" xr:uid="{9464EA54-A85B-43FC-9694-AAB0C6F4F628}"/>
  </cellStyles>
  <dxfs count="99">
    <dxf>
      <fill>
        <patternFill>
          <bgColor theme="8"/>
        </patternFill>
      </fill>
    </dxf>
    <dxf>
      <font>
        <color rgb="FF9C0006"/>
      </font>
      <fill>
        <patternFill>
          <bgColor rgb="FFFFC7CE"/>
        </patternFill>
      </fill>
    </dxf>
    <dxf>
      <font>
        <color rgb="FF9C0006"/>
      </font>
      <fill>
        <patternFill>
          <bgColor rgb="FFFFC7CE"/>
        </patternFill>
      </fill>
    </dxf>
    <dxf>
      <font>
        <color rgb="FF9C0006"/>
      </font>
    </dxf>
    <dxf>
      <fill>
        <patternFill>
          <bgColor rgb="FFFFFF00"/>
        </patternFill>
      </fill>
    </dxf>
    <dxf>
      <fill>
        <patternFill>
          <bgColor rgb="FFFF0000"/>
        </patternFill>
      </fill>
    </dxf>
    <dxf>
      <fill>
        <patternFill>
          <bgColor rgb="FF7030A0"/>
        </patternFill>
      </fill>
    </dxf>
    <dxf>
      <fill>
        <patternFill>
          <bgColor rgb="FFFFFF00"/>
        </patternFill>
      </fill>
    </dxf>
    <dxf>
      <fill>
        <patternFill>
          <bgColor rgb="FF00B0F0"/>
        </patternFill>
      </fill>
    </dxf>
    <dxf>
      <font>
        <color rgb="FF9C5700"/>
      </font>
      <fill>
        <patternFill>
          <bgColor rgb="FFFFEB9C"/>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3"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2" formatCode="&quot;₹&quot;\ #,##0.00"/>
      <alignment horizontal="center" vertical="bottom" textRotation="0" wrapText="0" indent="0" justifyLastLine="0" shrinkToFit="0" readingOrder="0"/>
    </dxf>
    <dxf>
      <numFmt numFmtId="172" formatCode="&quot;₹&quot;\ #,##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72" formatCode="&quot;₹&quot;\ #,##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1" formatCode="[$-14009]dd\ mmmm\ 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9"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family val="2"/>
        <scheme val="none"/>
      </font>
      <numFmt numFmtId="170" formatCode="[$-14009]yyyy/mm/dd;@"/>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right style="thin">
          <color rgb="FFB7B7B7"/>
        </right>
        <top/>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0"/>
        <name val="Aptos SemiBold"/>
        <family val="2"/>
        <scheme val="none"/>
      </font>
      <fill>
        <patternFill patternType="solid">
          <fgColor rgb="FF203864"/>
          <bgColor theme="9" tint="-0.249977111117893"/>
        </patternFill>
      </fill>
      <alignment horizontal="center" vertical="center" textRotation="0" wrapText="0" indent="0" justifyLastLine="0" shrinkToFit="0" readingOrder="0"/>
      <border diagonalUp="0" diagonalDown="0" outline="0">
        <left style="thin">
          <color rgb="FFB7B7B7"/>
        </left>
        <right style="thin">
          <color rgb="FFB7B7B7"/>
        </right>
        <top/>
        <bottom/>
      </border>
    </dxf>
    <dxf>
      <font>
        <i val="0"/>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b/>
      </font>
    </dxf>
    <dxf>
      <font>
        <b/>
        <i/>
        <sz val="10"/>
        <color theme="0"/>
        <name val="Calibri"/>
        <family val="2"/>
        <scheme val="none"/>
      </font>
      <fill>
        <patternFill>
          <bgColor theme="1" tint="0.34998626667073579"/>
        </patternFill>
      </fill>
    </dxf>
    <dxf>
      <font>
        <b/>
        <i/>
        <sz val="10"/>
        <name val="Calibri"/>
        <family val="2"/>
        <scheme val="none"/>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i/>
        <sz val="10"/>
        <color theme="1"/>
        <name val="Calibri"/>
        <family val="2"/>
        <scheme val="minor"/>
      </font>
      <fill>
        <patternFill>
          <bgColor theme="9" tint="0.39994506668294322"/>
        </patternFill>
      </fill>
    </dxf>
    <dxf>
      <font>
        <b/>
        <i/>
        <sz val="10"/>
        <name val="Times New Roman"/>
        <family val="1"/>
        <scheme val="none"/>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99CC"/>
        </patternFill>
      </fill>
    </dxf>
    <dxf>
      <fill>
        <patternFill>
          <bgColor rgb="FF66FFCC"/>
        </patternFill>
      </fill>
    </dxf>
    <dxf>
      <fill>
        <patternFill>
          <bgColor theme="5" tint="0.59996337778862885"/>
        </patternFill>
      </fill>
    </dxf>
    <dxf>
      <fill>
        <patternFill>
          <bgColor theme="5" tint="0.39994506668294322"/>
        </patternFill>
      </fill>
    </dxf>
    <dxf>
      <fill>
        <patternFill>
          <bgColor theme="5" tint="0.59996337778862885"/>
        </patternFill>
      </fill>
    </dxf>
    <dxf>
      <fill>
        <patternFill>
          <bgColor theme="5" tint="-0.499984740745262"/>
        </patternFill>
      </fill>
    </dxf>
    <dxf>
      <fill>
        <patternFill>
          <bgColor theme="8" tint="-0.24994659260841701"/>
        </patternFill>
      </fill>
    </dxf>
    <dxf>
      <font>
        <b/>
        <i val="0"/>
        <sz val="10"/>
        <color theme="0"/>
        <name val="Arial"/>
        <family val="2"/>
        <scheme val="none"/>
      </font>
      <fill>
        <patternFill>
          <bgColor theme="8" tint="-0.499984740745262"/>
        </patternFill>
      </fill>
    </dxf>
    <dxf>
      <fill>
        <patternFill>
          <bgColor theme="9" tint="-0.24994659260841701"/>
        </patternFill>
      </fill>
    </dxf>
    <dxf>
      <font>
        <b/>
        <i/>
        <sz val="10"/>
        <color theme="0"/>
        <name val="Times New Roman"/>
        <family val="1"/>
      </font>
      <fill>
        <patternFill>
          <bgColor theme="9"/>
        </patternFill>
      </fill>
      <border>
        <left style="medium">
          <color auto="1"/>
        </left>
        <right style="medium">
          <color auto="1"/>
        </right>
        <top style="medium">
          <color auto="1"/>
        </top>
        <bottom style="medium">
          <color auto="1"/>
        </bottom>
      </border>
    </dxf>
    <dxf>
      <font>
        <color theme="0"/>
      </font>
      <fill>
        <patternFill>
          <bgColor theme="1" tint="0.34998626667073579"/>
        </patternFill>
      </fill>
    </dxf>
    <dxf>
      <font>
        <b/>
        <i/>
        <sz val="10"/>
        <color theme="0"/>
        <name val="Times New Roman"/>
        <family val="1"/>
      </font>
      <fill>
        <patternFill>
          <bgColor theme="1" tint="0.24994659260841701"/>
        </patternFill>
      </fill>
      <border>
        <left style="medium">
          <color auto="1"/>
        </left>
        <right style="medium">
          <color auto="1"/>
        </right>
        <top style="medium">
          <color auto="1"/>
        </top>
        <bottom style="medium">
          <color auto="1"/>
        </bottom>
      </border>
    </dxf>
    <dxf>
      <font>
        <b/>
        <i/>
        <sz val="10"/>
        <name val="Times New Roman"/>
        <family val="1"/>
        <scheme val="none"/>
      </font>
    </dxf>
  </dxfs>
  <tableStyles count="10" defaultTableStyle="TableStyleMedium2" defaultPivotStyle="PivotStyleLight16">
    <tableStyle name="Slicer Style 1" pivot="0" table="0" count="1" xr9:uid="{65005E4D-9048-4531-833B-23A1E6CD325B}">
      <tableStyleElement type="wholeTable" dxfId="98"/>
    </tableStyle>
    <tableStyle name="Slicer Style 2" pivot="0" table="0" count="2" xr9:uid="{00E1CDFB-156B-421C-A00F-11D0EB7BE0AA}">
      <tableStyleElement type="wholeTable" dxfId="97"/>
      <tableStyleElement type="headerRow" dxfId="96"/>
    </tableStyle>
    <tableStyle name="Slicer Style 2 2" pivot="0" table="0" count="2" xr9:uid="{EDF60BF1-8A5A-4822-9A89-C65EE1D7F81E}">
      <tableStyleElement type="wholeTable" dxfId="95"/>
      <tableStyleElement type="headerRow" dxfId="94"/>
    </tableStyle>
    <tableStyle name="Slicer Style 3" pivot="0" table="0" count="2" xr9:uid="{C83AE772-5CC2-44AD-A5C1-578BA98433FE}">
      <tableStyleElement type="wholeTable" dxfId="93"/>
      <tableStyleElement type="headerRow" dxfId="92"/>
    </tableStyle>
    <tableStyle name="Slicer Style 4" pivot="0" table="0" count="2" xr9:uid="{27D9FA77-425D-42C6-92D7-FF9709E45287}">
      <tableStyleElement type="wholeTable" dxfId="91"/>
      <tableStyleElement type="headerRow" dxfId="90"/>
    </tableStyle>
    <tableStyle name="Slicer Style 5" pivot="0" table="0" count="2" xr9:uid="{CED73784-E752-4854-9B42-B5DDBF91029D}">
      <tableStyleElement type="wholeTable" dxfId="89"/>
      <tableStyleElement type="headerRow" dxfId="88"/>
    </tableStyle>
    <tableStyle name="Slicer Style 6" pivot="0" table="0" count="0" xr9:uid="{D50B67AC-1CB7-4767-A9E0-424798AEE364}"/>
    <tableStyle name="Slicer Style 7" pivot="0" table="0" count="2" xr9:uid="{DE9A6ED2-1720-4B7A-B876-8FF6EA5139C5}">
      <tableStyleElement type="wholeTable" dxfId="87"/>
      <tableStyleElement type="headerRow" dxfId="86"/>
    </tableStyle>
    <tableStyle name="Timeline Style 1" pivot="0" table="0" count="2" xr9:uid="{E08C2374-46F8-4FAC-A700-980253DE3053}">
      <tableStyleElement type="wholeTable" dxfId="85"/>
      <tableStyleElement type="headerRow" dxfId="84"/>
    </tableStyle>
    <tableStyle name="Timeline Style 1 2" pivot="0" table="0" count="2" xr9:uid="{960AF028-71C5-439E-8535-68B9D52ABCB8}">
      <tableStyleElement type="wholeTable" dxfId="83"/>
      <tableStyleElement type="headerRow" dxfId="82"/>
    </tableStyle>
  </tableStyles>
  <colors>
    <mruColors>
      <color rgb="FF101B2D"/>
      <color rgb="FFEB7907"/>
      <color rgb="FF6AE2FA"/>
      <color rgb="FF39E7E7"/>
      <color rgb="FF0099CC"/>
      <color rgb="FF66FFCC"/>
      <color rgb="FFCC99FF"/>
      <color rgb="FF6666FF"/>
      <color rgb="FF993366"/>
      <color rgb="FF8569B7"/>
    </mruColors>
  </colors>
  <extLst>
    <ext xmlns:x14="http://schemas.microsoft.com/office/spreadsheetml/2009/9/main" uri="{EB79DEF2-80B8-43e5-95BD-54CBDDF9020C}">
      <x14:slicerStyles defaultSlicerStyle="SlicerStyleLight1">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pivotCacheDefinition" Target="pivotCache/pivotCacheDefinition4.xml"/><Relationship Id="rId63" Type="http://schemas.openxmlformats.org/officeDocument/2006/relationships/theme" Target="theme/theme1.xml"/><Relationship Id="rId68" Type="http://schemas.microsoft.com/office/2022/11/relationships/FeaturePropertyBag" Target="featurePropertyBag/featurePropertyBag.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2.xml"/><Relationship Id="rId53" Type="http://schemas.microsoft.com/office/2007/relationships/slicerCache" Target="slicerCaches/slicerCache6.xml"/><Relationship Id="rId58" Type="http://schemas.microsoft.com/office/2007/relationships/slicerCache" Target="slicerCaches/slicerCache11.xml"/><Relationship Id="rId66" Type="http://schemas.openxmlformats.org/officeDocument/2006/relationships/sharedStrings" Target="sharedStrings.xml"/><Relationship Id="rId5" Type="http://schemas.openxmlformats.org/officeDocument/2006/relationships/worksheet" Target="worksheets/sheet5.xml"/><Relationship Id="rId61" Type="http://schemas.microsoft.com/office/2007/relationships/slicerCache" Target="slicerCaches/slicerCache1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07/relationships/slicerCache" Target="slicerCaches/slicerCache1.xml"/><Relationship Id="rId56" Type="http://schemas.microsoft.com/office/2007/relationships/slicerCache" Target="slicerCaches/slicerCache9.xml"/><Relationship Id="rId64" Type="http://schemas.openxmlformats.org/officeDocument/2006/relationships/connections" Target="connections.xml"/><Relationship Id="rId69" Type="http://schemas.openxmlformats.org/officeDocument/2006/relationships/calcChain" Target="calcChain.xml"/><Relationship Id="rId8" Type="http://schemas.openxmlformats.org/officeDocument/2006/relationships/worksheet" Target="worksheets/sheet8.xml"/><Relationship Id="rId51" Type="http://schemas.microsoft.com/office/2007/relationships/slicerCache" Target="slicerCaches/slicerCache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3.xml"/><Relationship Id="rId59" Type="http://schemas.microsoft.com/office/2007/relationships/slicerCache" Target="slicerCaches/slicerCache12.xml"/><Relationship Id="rId67"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07/relationships/slicerCache" Target="slicerCaches/slicerCache7.xml"/><Relationship Id="rId62" Type="http://schemas.microsoft.com/office/2011/relationships/timelineCache" Target="timelineCaches/timelineCache1.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07/relationships/slicerCache" Target="slicerCaches/slicerCache2.xml"/><Relationship Id="rId57" Type="http://schemas.microsoft.com/office/2007/relationships/slicerCache" Target="slicerCaches/slicerCache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52" Type="http://schemas.microsoft.com/office/2007/relationships/slicerCache" Target="slicerCaches/slicerCache5.xml"/><Relationship Id="rId60" Type="http://schemas.microsoft.com/office/2007/relationships/slicerCache" Target="slicerCaches/slicerCache13.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microsoft.com/office/2007/relationships/slicerCache" Target="slicerCaches/slicerCache3.xml"/><Relationship Id="rId55"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[shibil123.xlsx]Sheet8!PivotTable1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tx1"/>
                </a:solidFill>
              </a:rPr>
              <a:t>PAYMENT METHOD</a:t>
            </a:r>
          </a:p>
        </c:rich>
      </c:tx>
      <c:layout>
        <c:manualLayout>
          <c:xMode val="edge"/>
          <c:yMode val="edge"/>
          <c:x val="0.35901599015990154"/>
          <c:y val="2.777777777777777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Total</c:v>
                </c:pt>
              </c:strCache>
            </c:strRef>
          </c:tx>
          <c:spPr>
            <a:solidFill>
              <a:schemeClr val="accent2"/>
            </a:solidFill>
            <a:ln>
              <a:noFill/>
            </a:ln>
            <a:effectLst/>
          </c:spPr>
          <c:invertIfNegative val="0"/>
          <c:cat>
            <c:strRef>
              <c:f>Sheet8!$A$5:$A$13</c:f>
              <c:strCache>
                <c:ptCount val="8"/>
                <c:pt idx="0">
                  <c:v>Cash</c:v>
                </c:pt>
                <c:pt idx="1">
                  <c:v>Credit Card</c:v>
                </c:pt>
                <c:pt idx="2">
                  <c:v>Card</c:v>
                </c:pt>
                <c:pt idx="3">
                  <c:v>Upi</c:v>
                </c:pt>
                <c:pt idx="4">
                  <c:v>Debit Card</c:v>
                </c:pt>
                <c:pt idx="5">
                  <c:v>Online</c:v>
                </c:pt>
                <c:pt idx="6">
                  <c:v>Online </c:v>
                </c:pt>
                <c:pt idx="7">
                  <c:v>Unknown</c:v>
                </c:pt>
              </c:strCache>
            </c:strRef>
          </c:cat>
          <c:val>
            <c:numRef>
              <c:f>Sheet8!$B$5:$B$13</c:f>
              <c:numCache>
                <c:formatCode>General</c:formatCode>
                <c:ptCount val="8"/>
                <c:pt idx="0">
                  <c:v>16</c:v>
                </c:pt>
                <c:pt idx="1">
                  <c:v>11</c:v>
                </c:pt>
                <c:pt idx="2">
                  <c:v>10</c:v>
                </c:pt>
                <c:pt idx="3">
                  <c:v>10</c:v>
                </c:pt>
                <c:pt idx="4">
                  <c:v>9</c:v>
                </c:pt>
                <c:pt idx="5">
                  <c:v>7</c:v>
                </c:pt>
                <c:pt idx="6">
                  <c:v>5</c:v>
                </c:pt>
                <c:pt idx="7">
                  <c:v>2</c:v>
                </c:pt>
              </c:numCache>
            </c:numRef>
          </c:val>
          <c:extLst>
            <c:ext xmlns:c16="http://schemas.microsoft.com/office/drawing/2014/chart" uri="{C3380CC4-5D6E-409C-BE32-E72D297353CC}">
              <c16:uniqueId val="{00000000-F139-4C5D-AE0E-E7F01474A1DE}"/>
            </c:ext>
          </c:extLst>
        </c:ser>
        <c:dLbls>
          <c:showLegendKey val="0"/>
          <c:showVal val="0"/>
          <c:showCatName val="0"/>
          <c:showSerName val="0"/>
          <c:showPercent val="0"/>
          <c:showBubbleSize val="0"/>
        </c:dLbls>
        <c:gapWidth val="219"/>
        <c:overlap val="-27"/>
        <c:axId val="1326236815"/>
        <c:axId val="1223972671"/>
      </c:barChart>
      <c:catAx>
        <c:axId val="1326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3972671"/>
        <c:crosses val="autoZero"/>
        <c:auto val="1"/>
        <c:lblAlgn val="ctr"/>
        <c:lblOffset val="100"/>
        <c:noMultiLvlLbl val="0"/>
      </c:catAx>
      <c:valAx>
        <c:axId val="122397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62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EACH PAYMENT METHOD</a:t>
            </a:r>
            <a:endParaRPr lang="en-US" b="1">
              <a:solidFill>
                <a:schemeClr val="tx1"/>
              </a:solidFill>
            </a:endParaRPr>
          </a:p>
        </c:rich>
      </c:tx>
      <c:layout>
        <c:manualLayout>
          <c:xMode val="edge"/>
          <c:yMode val="edge"/>
          <c:x val="0.233153846153846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36240662224909E-2"/>
          <c:y val="0.17171296296296296"/>
          <c:w val="0.79700181708055728"/>
          <c:h val="0.67003098571011954"/>
        </c:manualLayout>
      </c:layout>
      <c:lineChart>
        <c:grouping val="standard"/>
        <c:varyColors val="0"/>
        <c:ser>
          <c:idx val="0"/>
          <c:order val="0"/>
          <c:tx>
            <c:strRef>
              <c:f>Sheet8!$B$15:$B$16</c:f>
              <c:strCache>
                <c:ptCount val="1"/>
                <c:pt idx="0">
                  <c:v>Total</c:v>
                </c:pt>
              </c:strCache>
            </c:strRef>
          </c:tx>
          <c:spPr>
            <a:ln w="28575" cap="rnd">
              <a:solidFill>
                <a:schemeClr val="accent2"/>
              </a:solidFill>
              <a:round/>
            </a:ln>
            <a:effectLst/>
          </c:spPr>
          <c:marker>
            <c:symbol val="none"/>
          </c:marker>
          <c:cat>
            <c:strRef>
              <c:f>Sheet8!$A$17:$A$25</c:f>
              <c:strCache>
                <c:ptCount val="8"/>
                <c:pt idx="0">
                  <c:v>Card</c:v>
                </c:pt>
                <c:pt idx="1">
                  <c:v>Cash</c:v>
                </c:pt>
                <c:pt idx="2">
                  <c:v>Credit Card</c:v>
                </c:pt>
                <c:pt idx="3">
                  <c:v>Debit Card</c:v>
                </c:pt>
                <c:pt idx="4">
                  <c:v>Online</c:v>
                </c:pt>
                <c:pt idx="5">
                  <c:v>Online </c:v>
                </c:pt>
                <c:pt idx="6">
                  <c:v>Unknown</c:v>
                </c:pt>
                <c:pt idx="7">
                  <c:v>Upi</c:v>
                </c:pt>
              </c:strCache>
            </c:strRef>
          </c:cat>
          <c:val>
            <c:numRef>
              <c:f>Sheet8!$B$17:$B$25</c:f>
              <c:numCache>
                <c:formatCode>General</c:formatCode>
                <c:ptCount val="8"/>
                <c:pt idx="0">
                  <c:v>32789</c:v>
                </c:pt>
                <c:pt idx="1">
                  <c:v>80944</c:v>
                </c:pt>
                <c:pt idx="2">
                  <c:v>80018</c:v>
                </c:pt>
                <c:pt idx="3">
                  <c:v>41880</c:v>
                </c:pt>
                <c:pt idx="4">
                  <c:v>22567</c:v>
                </c:pt>
                <c:pt idx="5">
                  <c:v>19474</c:v>
                </c:pt>
                <c:pt idx="6">
                  <c:v>12986</c:v>
                </c:pt>
                <c:pt idx="7">
                  <c:v>56778</c:v>
                </c:pt>
              </c:numCache>
            </c:numRef>
          </c:val>
          <c:smooth val="0"/>
          <c:extLst>
            <c:ext xmlns:c16="http://schemas.microsoft.com/office/drawing/2014/chart" uri="{C3380CC4-5D6E-409C-BE32-E72D297353CC}">
              <c16:uniqueId val="{00000000-5846-43FC-B870-64D682A5A2E8}"/>
            </c:ext>
          </c:extLst>
        </c:ser>
        <c:dLbls>
          <c:showLegendKey val="0"/>
          <c:showVal val="0"/>
          <c:showCatName val="0"/>
          <c:showSerName val="0"/>
          <c:showPercent val="0"/>
          <c:showBubbleSize val="0"/>
        </c:dLbls>
        <c:smooth val="0"/>
        <c:axId val="1270841887"/>
        <c:axId val="1223981311"/>
      </c:lineChart>
      <c:catAx>
        <c:axId val="1270841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81311"/>
        <c:crosses val="autoZero"/>
        <c:auto val="1"/>
        <c:lblAlgn val="ctr"/>
        <c:lblOffset val="100"/>
        <c:noMultiLvlLbl val="0"/>
      </c:catAx>
      <c:valAx>
        <c:axId val="122398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EACH PRODUCT</a:t>
            </a:r>
            <a:endParaRPr lang="en-IN" b="1">
              <a:solidFill>
                <a:schemeClr val="tx1"/>
              </a:solidFill>
            </a:endParaRPr>
          </a:p>
        </c:rich>
      </c:tx>
      <c:layout>
        <c:manualLayout>
          <c:xMode val="edge"/>
          <c:yMode val="edge"/>
          <c:x val="0.35686111111111113"/>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Sheet8!$E$3:$E$4</c:f>
              <c:strCache>
                <c:ptCount val="1"/>
                <c:pt idx="0">
                  <c:v>Total</c:v>
                </c:pt>
              </c:strCache>
            </c:strRef>
          </c:tx>
          <c:spPr>
            <a:solidFill>
              <a:schemeClr val="accent2"/>
            </a:solidFill>
            <a:ln>
              <a:noFill/>
            </a:ln>
            <a:effectLst/>
            <a:sp3d/>
          </c:spPr>
          <c:invertIfNegative val="0"/>
          <c:cat>
            <c:strRef>
              <c:f>Sheet8!$D$5:$D$33</c:f>
              <c:strCache>
                <c:ptCount val="28"/>
                <c:pt idx="0">
                  <c:v>Woolen Sweater</c:v>
                </c:pt>
                <c:pt idx="1">
                  <c:v>Filing Cabinet</c:v>
                </c:pt>
                <c:pt idx="2">
                  <c:v>Sunflower Oil 1L</c:v>
                </c:pt>
                <c:pt idx="3">
                  <c:v>Green Tea Pack</c:v>
                </c:pt>
                <c:pt idx="4">
                  <c:v>LED Bulb</c:v>
                </c:pt>
                <c:pt idx="5">
                  <c:v>Bed Frame</c:v>
                </c:pt>
                <c:pt idx="6">
                  <c:v>USB Cable</c:v>
                </c:pt>
                <c:pt idx="7">
                  <c:v>Kurta Set</c:v>
                </c:pt>
                <c:pt idx="8">
                  <c:v>Basmati Rice 5kg</c:v>
                </c:pt>
                <c:pt idx="9">
                  <c:v>Wheat Flour 5kg</c:v>
                </c:pt>
                <c:pt idx="10">
                  <c:v>Office Chair</c:v>
                </c:pt>
                <c:pt idx="11">
                  <c:v>Gel Pens (10)</c:v>
                </c:pt>
                <c:pt idx="12">
                  <c:v>Formal Shirt</c:v>
                </c:pt>
                <c:pt idx="13">
                  <c:v>Sofa Cushion</c:v>
                </c:pt>
                <c:pt idx="14">
                  <c:v>Sugar 1kg</c:v>
                </c:pt>
                <c:pt idx="15">
                  <c:v>Stapler</c:v>
                </c:pt>
                <c:pt idx="16">
                  <c:v>Whiteboard Marker</c:v>
                </c:pt>
                <c:pt idx="17">
                  <c:v>Study Table</c:v>
                </c:pt>
                <c:pt idx="18">
                  <c:v>Power Bank</c:v>
                </c:pt>
                <c:pt idx="19">
                  <c:v>Headphones</c:v>
                </c:pt>
                <c:pt idx="20">
                  <c:v>Webcam</c:v>
                </c:pt>
                <c:pt idx="21">
                  <c:v>File Folder</c:v>
                </c:pt>
                <c:pt idx="22">
                  <c:v>Wireless Mouse</c:v>
                </c:pt>
                <c:pt idx="23">
                  <c:v>Toor Dal 1kg</c:v>
                </c:pt>
                <c:pt idx="24">
                  <c:v>Sports Shorts</c:v>
                </c:pt>
                <c:pt idx="25">
                  <c:v>Sticky Notes</c:v>
                </c:pt>
                <c:pt idx="26">
                  <c:v>Notebook Pack</c:v>
                </c:pt>
                <c:pt idx="27">
                  <c:v>Cotton T-Shirt</c:v>
                </c:pt>
              </c:strCache>
            </c:strRef>
          </c:cat>
          <c:val>
            <c:numRef>
              <c:f>Sheet8!$E$5:$E$33</c:f>
              <c:numCache>
                <c:formatCode>General</c:formatCode>
                <c:ptCount val="28"/>
                <c:pt idx="0">
                  <c:v>54</c:v>
                </c:pt>
                <c:pt idx="1">
                  <c:v>52</c:v>
                </c:pt>
                <c:pt idx="2">
                  <c:v>40</c:v>
                </c:pt>
                <c:pt idx="3">
                  <c:v>35</c:v>
                </c:pt>
                <c:pt idx="4">
                  <c:v>29</c:v>
                </c:pt>
                <c:pt idx="5">
                  <c:v>28</c:v>
                </c:pt>
                <c:pt idx="6">
                  <c:v>25</c:v>
                </c:pt>
                <c:pt idx="7">
                  <c:v>24</c:v>
                </c:pt>
                <c:pt idx="8">
                  <c:v>16</c:v>
                </c:pt>
                <c:pt idx="9">
                  <c:v>16</c:v>
                </c:pt>
                <c:pt idx="10">
                  <c:v>16</c:v>
                </c:pt>
                <c:pt idx="11">
                  <c:v>15</c:v>
                </c:pt>
                <c:pt idx="12">
                  <c:v>14</c:v>
                </c:pt>
                <c:pt idx="13">
                  <c:v>12</c:v>
                </c:pt>
                <c:pt idx="14">
                  <c:v>12</c:v>
                </c:pt>
                <c:pt idx="15">
                  <c:v>12</c:v>
                </c:pt>
                <c:pt idx="16">
                  <c:v>9</c:v>
                </c:pt>
                <c:pt idx="17">
                  <c:v>9</c:v>
                </c:pt>
                <c:pt idx="18">
                  <c:v>9</c:v>
                </c:pt>
                <c:pt idx="19">
                  <c:v>7</c:v>
                </c:pt>
                <c:pt idx="20">
                  <c:v>6</c:v>
                </c:pt>
                <c:pt idx="21">
                  <c:v>5</c:v>
                </c:pt>
                <c:pt idx="22">
                  <c:v>5</c:v>
                </c:pt>
                <c:pt idx="23">
                  <c:v>5</c:v>
                </c:pt>
                <c:pt idx="24">
                  <c:v>3</c:v>
                </c:pt>
                <c:pt idx="25">
                  <c:v>3</c:v>
                </c:pt>
                <c:pt idx="26">
                  <c:v>2</c:v>
                </c:pt>
                <c:pt idx="27">
                  <c:v>1</c:v>
                </c:pt>
              </c:numCache>
            </c:numRef>
          </c:val>
          <c:extLst>
            <c:ext xmlns:c16="http://schemas.microsoft.com/office/drawing/2014/chart" uri="{C3380CC4-5D6E-409C-BE32-E72D297353CC}">
              <c16:uniqueId val="{00000000-7949-44BA-AE4B-663ED01C7788}"/>
            </c:ext>
          </c:extLst>
        </c:ser>
        <c:dLbls>
          <c:showLegendKey val="0"/>
          <c:showVal val="0"/>
          <c:showCatName val="0"/>
          <c:showSerName val="0"/>
          <c:showPercent val="0"/>
          <c:showBubbleSize val="0"/>
        </c:dLbls>
        <c:gapWidth val="150"/>
        <c:shape val="box"/>
        <c:axId val="1393548495"/>
        <c:axId val="1223994751"/>
        <c:axId val="0"/>
      </c:bar3DChart>
      <c:catAx>
        <c:axId val="1393548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4751"/>
        <c:crosses val="autoZero"/>
        <c:auto val="1"/>
        <c:lblAlgn val="ctr"/>
        <c:lblOffset val="100"/>
        <c:noMultiLvlLbl val="0"/>
      </c:catAx>
      <c:valAx>
        <c:axId val="122399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4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REGION</a:t>
            </a:r>
          </a:p>
        </c:rich>
      </c:tx>
      <c:layout>
        <c:manualLayout>
          <c:xMode val="edge"/>
          <c:yMode val="edge"/>
          <c:x val="0.3974374453193350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sx="90000" sy="90000" algn="ctr" rotWithShape="0">
              <a:srgbClr val="000000">
                <a:alpha val="8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2"/>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3"/>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4"/>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s>
    <c:plotArea>
      <c:layout/>
      <c:pieChart>
        <c:varyColors val="1"/>
        <c:ser>
          <c:idx val="0"/>
          <c:order val="0"/>
          <c:tx>
            <c:strRef>
              <c:f>Sheet8!$H$4:$H$5</c:f>
              <c:strCache>
                <c:ptCount val="1"/>
                <c:pt idx="0">
                  <c:v>Total</c:v>
                </c:pt>
              </c:strCache>
            </c:strRef>
          </c:tx>
          <c:spPr>
            <a:effectLst>
              <a:outerShdw blurRad="50800" dist="50800" dir="5400000" sx="90000" sy="90000" algn="ctr" rotWithShape="0">
                <a:srgbClr val="000000">
                  <a:alpha val="88000"/>
                </a:srgbClr>
              </a:outerShdw>
            </a:effectLst>
          </c:spPr>
          <c:dPt>
            <c:idx val="0"/>
            <c:bubble3D val="0"/>
            <c:spPr>
              <a:solidFill>
                <a:schemeClr val="accent1"/>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2-116C-41FD-8390-010B8EBC1FED}"/>
              </c:ext>
            </c:extLst>
          </c:dPt>
          <c:dPt>
            <c:idx val="1"/>
            <c:bubble3D val="0"/>
            <c:spPr>
              <a:solidFill>
                <a:schemeClr val="accent2"/>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3-5FBF-4446-9A7C-777D21C4A41A}"/>
              </c:ext>
            </c:extLst>
          </c:dPt>
          <c:dPt>
            <c:idx val="2"/>
            <c:bubble3D val="0"/>
            <c:spPr>
              <a:solidFill>
                <a:schemeClr val="accent3"/>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5-5FBF-4446-9A7C-777D21C4A41A}"/>
              </c:ext>
            </c:extLst>
          </c:dPt>
          <c:dPt>
            <c:idx val="3"/>
            <c:bubble3D val="0"/>
            <c:spPr>
              <a:solidFill>
                <a:schemeClr val="accent4"/>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7-5FBF-4446-9A7C-777D21C4A41A}"/>
              </c:ext>
            </c:extLst>
          </c:dPt>
          <c:cat>
            <c:strRef>
              <c:f>Sheet8!$G$6:$G$10</c:f>
              <c:strCache>
                <c:ptCount val="4"/>
                <c:pt idx="0">
                  <c:v>North</c:v>
                </c:pt>
                <c:pt idx="1">
                  <c:v>West</c:v>
                </c:pt>
                <c:pt idx="2">
                  <c:v>East</c:v>
                </c:pt>
                <c:pt idx="3">
                  <c:v>South</c:v>
                </c:pt>
              </c:strCache>
            </c:strRef>
          </c:cat>
          <c:val>
            <c:numRef>
              <c:f>Sheet8!$H$6:$H$10</c:f>
              <c:numCache>
                <c:formatCode>General</c:formatCode>
                <c:ptCount val="4"/>
                <c:pt idx="0">
                  <c:v>113739</c:v>
                </c:pt>
                <c:pt idx="1">
                  <c:v>98025</c:v>
                </c:pt>
                <c:pt idx="2">
                  <c:v>88464</c:v>
                </c:pt>
                <c:pt idx="3">
                  <c:v>47208</c:v>
                </c:pt>
              </c:numCache>
            </c:numRef>
          </c:val>
          <c:extLst>
            <c:ext xmlns:c16="http://schemas.microsoft.com/office/drawing/2014/chart" uri="{C3380CC4-5D6E-409C-BE32-E72D297353CC}">
              <c16:uniqueId val="{00000000-116C-41FD-8390-010B8EBC1F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3695070294431"/>
          <c:y val="0.18300925925925926"/>
          <c:w val="0.72418201190197751"/>
          <c:h val="0.70959135316418775"/>
        </c:manualLayout>
      </c:layout>
      <c:barChart>
        <c:barDir val="bar"/>
        <c:grouping val="stacked"/>
        <c:varyColors val="0"/>
        <c:ser>
          <c:idx val="0"/>
          <c:order val="0"/>
          <c:tx>
            <c:strRef>
              <c:f>Sheet8!$H$13:$H$14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Sheet8!$G$15:$G$21</c:f>
              <c:strCache>
                <c:ptCount val="6"/>
                <c:pt idx="0">
                  <c:v> </c:v>
                </c:pt>
                <c:pt idx="1">
                  <c:v>Groceries</c:v>
                </c:pt>
                <c:pt idx="2">
                  <c:v>Apparel</c:v>
                </c:pt>
                <c:pt idx="3">
                  <c:v>Electronics</c:v>
                </c:pt>
                <c:pt idx="4">
                  <c:v>Stationaries</c:v>
                </c:pt>
                <c:pt idx="5">
                  <c:v>Electronic</c:v>
                </c:pt>
              </c:strCache>
            </c:strRef>
          </c:cat>
          <c:val>
            <c:numRef>
              <c:f>Sheet8!$H$15:$H$21</c:f>
              <c:numCache>
                <c:formatCode>General</c:formatCode>
                <c:ptCount val="6"/>
                <c:pt idx="0">
                  <c:v>99133</c:v>
                </c:pt>
                <c:pt idx="1">
                  <c:v>78276</c:v>
                </c:pt>
                <c:pt idx="2">
                  <c:v>62954</c:v>
                </c:pt>
                <c:pt idx="3">
                  <c:v>49334</c:v>
                </c:pt>
                <c:pt idx="4">
                  <c:v>41754</c:v>
                </c:pt>
                <c:pt idx="5">
                  <c:v>15985</c:v>
                </c:pt>
              </c:numCache>
            </c:numRef>
          </c:val>
          <c:extLst>
            <c:ext xmlns:c16="http://schemas.microsoft.com/office/drawing/2014/chart" uri="{C3380CC4-5D6E-409C-BE32-E72D297353CC}">
              <c16:uniqueId val="{00000000-5BAC-42FC-8B5A-8C829017051D}"/>
            </c:ext>
          </c:extLst>
        </c:ser>
        <c:dLbls>
          <c:dLblPos val="ctr"/>
          <c:showLegendKey val="0"/>
          <c:showVal val="1"/>
          <c:showCatName val="0"/>
          <c:showSerName val="0"/>
          <c:showPercent val="0"/>
          <c:showBubbleSize val="0"/>
        </c:dLbls>
        <c:gapWidth val="150"/>
        <c:overlap val="100"/>
        <c:axId val="1270853023"/>
        <c:axId val="1223993311"/>
      </c:barChart>
      <c:catAx>
        <c:axId val="1270853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3311"/>
        <c:crosses val="autoZero"/>
        <c:auto val="1"/>
        <c:lblAlgn val="ctr"/>
        <c:lblOffset val="100"/>
        <c:noMultiLvlLbl val="0"/>
      </c:catAx>
      <c:valAx>
        <c:axId val="1223993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asassy Caps" panose="020F0502020204030204" pitchFamily="2" charset="0"/>
                <a:ea typeface="+mn-ea"/>
                <a:cs typeface="+mn-cs"/>
              </a:defRPr>
            </a:pPr>
            <a:r>
              <a:rPr lang="en-US" b="1">
                <a:solidFill>
                  <a:sysClr val="windowText" lastClr="000000"/>
                </a:solidFill>
                <a:latin typeface="+mn-lt"/>
              </a:rPr>
              <a:t>MONTHLY</a:t>
            </a:r>
            <a:r>
              <a:rPr lang="en-US" b="1" baseline="0">
                <a:solidFill>
                  <a:sysClr val="windowText" lastClr="000000"/>
                </a:solidFill>
                <a:latin typeface="+mn-lt"/>
              </a:rPr>
              <a:t> SALES</a:t>
            </a:r>
            <a:endParaRPr lang="en-US" b="1">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asassy Caps" panose="020F0502020204030204" pitchFamily="2"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Sheet8!$K$4:$K$5</c:f>
              <c:strCache>
                <c:ptCount val="1"/>
                <c:pt idx="0">
                  <c:v>Total</c:v>
                </c:pt>
              </c:strCache>
            </c:strRef>
          </c:tx>
          <c:spPr>
            <a:solidFill>
              <a:schemeClr val="accent2"/>
            </a:solidFill>
            <a:ln>
              <a:noFill/>
            </a:ln>
            <a:effectLst/>
          </c:spPr>
          <c:invertIfNegative val="0"/>
          <c:cat>
            <c:strRef>
              <c:f>Sheet8!$J$6:$J$18</c:f>
              <c:strCache>
                <c:ptCount val="12"/>
                <c:pt idx="0">
                  <c:v>Aug</c:v>
                </c:pt>
                <c:pt idx="1">
                  <c:v>Dec</c:v>
                </c:pt>
                <c:pt idx="2">
                  <c:v>May</c:v>
                </c:pt>
                <c:pt idx="3">
                  <c:v>Apr</c:v>
                </c:pt>
                <c:pt idx="4">
                  <c:v>Jul</c:v>
                </c:pt>
                <c:pt idx="5">
                  <c:v>Nov</c:v>
                </c:pt>
                <c:pt idx="6">
                  <c:v>Jun</c:v>
                </c:pt>
                <c:pt idx="7">
                  <c:v>Mar</c:v>
                </c:pt>
                <c:pt idx="8">
                  <c:v>Oct</c:v>
                </c:pt>
                <c:pt idx="9">
                  <c:v>Feb</c:v>
                </c:pt>
                <c:pt idx="10">
                  <c:v>Jan</c:v>
                </c:pt>
                <c:pt idx="11">
                  <c:v>Sep</c:v>
                </c:pt>
              </c:strCache>
            </c:strRef>
          </c:cat>
          <c:val>
            <c:numRef>
              <c:f>Sheet8!$K$6:$K$18</c:f>
              <c:numCache>
                <c:formatCode>General</c:formatCode>
                <c:ptCount val="12"/>
                <c:pt idx="0">
                  <c:v>57919</c:v>
                </c:pt>
                <c:pt idx="1">
                  <c:v>55439</c:v>
                </c:pt>
                <c:pt idx="2">
                  <c:v>45962</c:v>
                </c:pt>
                <c:pt idx="3">
                  <c:v>45453</c:v>
                </c:pt>
                <c:pt idx="4">
                  <c:v>41264</c:v>
                </c:pt>
                <c:pt idx="5">
                  <c:v>27454</c:v>
                </c:pt>
                <c:pt idx="6">
                  <c:v>18716</c:v>
                </c:pt>
                <c:pt idx="7">
                  <c:v>18702</c:v>
                </c:pt>
                <c:pt idx="8">
                  <c:v>14917</c:v>
                </c:pt>
                <c:pt idx="9">
                  <c:v>10785</c:v>
                </c:pt>
                <c:pt idx="10">
                  <c:v>5932</c:v>
                </c:pt>
                <c:pt idx="11">
                  <c:v>4893</c:v>
                </c:pt>
              </c:numCache>
            </c:numRef>
          </c:val>
          <c:extLst>
            <c:ext xmlns:c16="http://schemas.microsoft.com/office/drawing/2014/chart" uri="{C3380CC4-5D6E-409C-BE32-E72D297353CC}">
              <c16:uniqueId val="{00000000-9EA1-4D86-A4F1-7DFDD8E906C5}"/>
            </c:ext>
          </c:extLst>
        </c:ser>
        <c:dLbls>
          <c:showLegendKey val="0"/>
          <c:showVal val="0"/>
          <c:showCatName val="0"/>
          <c:showSerName val="0"/>
          <c:showPercent val="0"/>
          <c:showBubbleSize val="0"/>
        </c:dLbls>
        <c:gapWidth val="219"/>
        <c:overlap val="-27"/>
        <c:axId val="1388889087"/>
        <c:axId val="952783871"/>
      </c:barChart>
      <c:catAx>
        <c:axId val="13888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83871"/>
        <c:crosses val="autoZero"/>
        <c:auto val="1"/>
        <c:lblAlgn val="ctr"/>
        <c:lblOffset val="100"/>
        <c:noMultiLvlLbl val="0"/>
      </c:catAx>
      <c:valAx>
        <c:axId val="95278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8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EACH PAYMENT METHOD</a:t>
            </a:r>
            <a:endParaRPr lang="en-US" b="1">
              <a:solidFill>
                <a:schemeClr val="tx1"/>
              </a:solidFill>
            </a:endParaRPr>
          </a:p>
        </c:rich>
      </c:tx>
      <c:layout>
        <c:manualLayout>
          <c:xMode val="edge"/>
          <c:yMode val="edge"/>
          <c:x val="0.233153846153846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36240662224909E-2"/>
          <c:y val="0.17171296296296296"/>
          <c:w val="0.79700181708055728"/>
          <c:h val="0.67003098571011954"/>
        </c:manualLayout>
      </c:layout>
      <c:lineChart>
        <c:grouping val="standard"/>
        <c:varyColors val="0"/>
        <c:ser>
          <c:idx val="0"/>
          <c:order val="0"/>
          <c:tx>
            <c:strRef>
              <c:f>Sheet8!$B$15:$B$16</c:f>
              <c:strCache>
                <c:ptCount val="1"/>
                <c:pt idx="0">
                  <c:v>Total</c:v>
                </c:pt>
              </c:strCache>
            </c:strRef>
          </c:tx>
          <c:spPr>
            <a:ln w="28575" cap="rnd">
              <a:solidFill>
                <a:schemeClr val="accent2"/>
              </a:solidFill>
              <a:round/>
            </a:ln>
            <a:effectLst/>
          </c:spPr>
          <c:marker>
            <c:symbol val="none"/>
          </c:marker>
          <c:cat>
            <c:strRef>
              <c:f>Sheet8!$A$17:$A$25</c:f>
              <c:strCache>
                <c:ptCount val="8"/>
                <c:pt idx="0">
                  <c:v>Card</c:v>
                </c:pt>
                <c:pt idx="1">
                  <c:v>Cash</c:v>
                </c:pt>
                <c:pt idx="2">
                  <c:v>Credit Card</c:v>
                </c:pt>
                <c:pt idx="3">
                  <c:v>Debit Card</c:v>
                </c:pt>
                <c:pt idx="4">
                  <c:v>Online</c:v>
                </c:pt>
                <c:pt idx="5">
                  <c:v>Online </c:v>
                </c:pt>
                <c:pt idx="6">
                  <c:v>Unknown</c:v>
                </c:pt>
                <c:pt idx="7">
                  <c:v>Upi</c:v>
                </c:pt>
              </c:strCache>
            </c:strRef>
          </c:cat>
          <c:val>
            <c:numRef>
              <c:f>Sheet8!$B$17:$B$25</c:f>
              <c:numCache>
                <c:formatCode>General</c:formatCode>
                <c:ptCount val="8"/>
                <c:pt idx="0">
                  <c:v>32789</c:v>
                </c:pt>
                <c:pt idx="1">
                  <c:v>80944</c:v>
                </c:pt>
                <c:pt idx="2">
                  <c:v>80018</c:v>
                </c:pt>
                <c:pt idx="3">
                  <c:v>41880</c:v>
                </c:pt>
                <c:pt idx="4">
                  <c:v>22567</c:v>
                </c:pt>
                <c:pt idx="5">
                  <c:v>19474</c:v>
                </c:pt>
                <c:pt idx="6">
                  <c:v>12986</c:v>
                </c:pt>
                <c:pt idx="7">
                  <c:v>56778</c:v>
                </c:pt>
              </c:numCache>
            </c:numRef>
          </c:val>
          <c:smooth val="0"/>
          <c:extLst>
            <c:ext xmlns:c16="http://schemas.microsoft.com/office/drawing/2014/chart" uri="{C3380CC4-5D6E-409C-BE32-E72D297353CC}">
              <c16:uniqueId val="{00000000-E23B-4D66-9737-208007F10A12}"/>
            </c:ext>
          </c:extLst>
        </c:ser>
        <c:dLbls>
          <c:showLegendKey val="0"/>
          <c:showVal val="0"/>
          <c:showCatName val="0"/>
          <c:showSerName val="0"/>
          <c:showPercent val="0"/>
          <c:showBubbleSize val="0"/>
        </c:dLbls>
        <c:smooth val="0"/>
        <c:axId val="1270841887"/>
        <c:axId val="1223981311"/>
      </c:lineChart>
      <c:catAx>
        <c:axId val="1270841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81311"/>
        <c:crosses val="autoZero"/>
        <c:auto val="1"/>
        <c:lblAlgn val="ctr"/>
        <c:lblOffset val="100"/>
        <c:noMultiLvlLbl val="0"/>
      </c:catAx>
      <c:valAx>
        <c:axId val="122398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1887"/>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[shibil123.xlsx]Sheet8!PivotTable5</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3695070294431"/>
          <c:y val="0.18300925925925926"/>
          <c:w val="0.72418201190197751"/>
          <c:h val="0.70959135316418775"/>
        </c:manualLayout>
      </c:layout>
      <c:barChart>
        <c:barDir val="bar"/>
        <c:grouping val="stacked"/>
        <c:varyColors val="0"/>
        <c:ser>
          <c:idx val="0"/>
          <c:order val="0"/>
          <c:tx>
            <c:strRef>
              <c:f>Sheet8!$H$13:$H$14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Sheet8!$G$15:$G$21</c:f>
              <c:strCache>
                <c:ptCount val="6"/>
                <c:pt idx="0">
                  <c:v> </c:v>
                </c:pt>
                <c:pt idx="1">
                  <c:v>Groceries</c:v>
                </c:pt>
                <c:pt idx="2">
                  <c:v>Apparel</c:v>
                </c:pt>
                <c:pt idx="3">
                  <c:v>Electronics</c:v>
                </c:pt>
                <c:pt idx="4">
                  <c:v>Stationaries</c:v>
                </c:pt>
                <c:pt idx="5">
                  <c:v>Electronic</c:v>
                </c:pt>
              </c:strCache>
            </c:strRef>
          </c:cat>
          <c:val>
            <c:numRef>
              <c:f>Sheet8!$H$15:$H$21</c:f>
              <c:numCache>
                <c:formatCode>General</c:formatCode>
                <c:ptCount val="6"/>
                <c:pt idx="0">
                  <c:v>99133</c:v>
                </c:pt>
                <c:pt idx="1">
                  <c:v>78276</c:v>
                </c:pt>
                <c:pt idx="2">
                  <c:v>62954</c:v>
                </c:pt>
                <c:pt idx="3">
                  <c:v>49334</c:v>
                </c:pt>
                <c:pt idx="4">
                  <c:v>41754</c:v>
                </c:pt>
                <c:pt idx="5">
                  <c:v>15985</c:v>
                </c:pt>
              </c:numCache>
            </c:numRef>
          </c:val>
          <c:extLst>
            <c:ext xmlns:c16="http://schemas.microsoft.com/office/drawing/2014/chart" uri="{C3380CC4-5D6E-409C-BE32-E72D297353CC}">
              <c16:uniqueId val="{00000000-D2ED-4C10-8BDA-B87DB40F1917}"/>
            </c:ext>
          </c:extLst>
        </c:ser>
        <c:dLbls>
          <c:dLblPos val="ctr"/>
          <c:showLegendKey val="0"/>
          <c:showVal val="1"/>
          <c:showCatName val="0"/>
          <c:showSerName val="0"/>
          <c:showPercent val="0"/>
          <c:showBubbleSize val="0"/>
        </c:dLbls>
        <c:gapWidth val="150"/>
        <c:overlap val="100"/>
        <c:axId val="1270853023"/>
        <c:axId val="1223993311"/>
      </c:barChart>
      <c:catAx>
        <c:axId val="1270853023"/>
        <c:scaling>
          <c:orientation val="minMax"/>
        </c:scaling>
        <c:delete val="0"/>
        <c:axPos val="l"/>
        <c:numFmt formatCode="General" sourceLinked="1"/>
        <c:majorTickMark val="none"/>
        <c:minorTickMark val="none"/>
        <c:tickLblPos val="nextTo"/>
        <c:spPr>
          <a:solidFill>
            <a:schemeClr val="accent2">
              <a:lumMod val="60000"/>
              <a:lumOff val="40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3311"/>
        <c:crosses val="autoZero"/>
        <c:auto val="1"/>
        <c:lblAlgn val="ctr"/>
        <c:lblOffset val="100"/>
        <c:noMultiLvlLbl val="0"/>
      </c:catAx>
      <c:valAx>
        <c:axId val="122399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REGION</a:t>
            </a:r>
          </a:p>
        </c:rich>
      </c:tx>
      <c:layout>
        <c:manualLayout>
          <c:xMode val="edge"/>
          <c:yMode val="edge"/>
          <c:x val="0.3974374453193350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sx="90000" sy="90000" algn="ctr" rotWithShape="0">
              <a:srgbClr val="000000">
                <a:alpha val="8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2"/>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3"/>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4"/>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5"/>
        <c:spPr>
          <a:solidFill>
            <a:schemeClr val="accent1"/>
          </a:solidFill>
          <a:ln w="19050">
            <a:solidFill>
              <a:schemeClr val="lt1"/>
            </a:solidFill>
          </a:ln>
          <a:effectLst>
            <a:outerShdw blurRad="50800" dist="50800" dir="5400000" sx="90000" sy="90000" algn="ctr" rotWithShape="0">
              <a:srgbClr val="000000">
                <a:alpha val="8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7"/>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8"/>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9"/>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10"/>
        <c:spPr>
          <a:solidFill>
            <a:schemeClr val="accent1"/>
          </a:solidFill>
          <a:ln w="19050">
            <a:solidFill>
              <a:schemeClr val="lt1"/>
            </a:solidFill>
          </a:ln>
          <a:effectLst>
            <a:outerShdw blurRad="50800" dist="50800" dir="5400000" sx="90000" sy="90000" algn="ctr" rotWithShape="0">
              <a:srgbClr val="000000">
                <a:alpha val="8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12"/>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13"/>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
        <c:idx val="14"/>
        <c:spPr>
          <a:solidFill>
            <a:schemeClr val="accent1"/>
          </a:solidFill>
          <a:ln w="19050">
            <a:solidFill>
              <a:schemeClr val="lt1"/>
            </a:solidFill>
          </a:ln>
          <a:effectLst>
            <a:outerShdw blurRad="50800" dist="50800" dir="5400000" sx="90000" sy="90000" algn="ctr" rotWithShape="0">
              <a:srgbClr val="000000">
                <a:alpha val="88000"/>
              </a:srgbClr>
            </a:outerShdw>
          </a:effectLst>
        </c:spPr>
      </c:pivotFmt>
    </c:pivotFmts>
    <c:plotArea>
      <c:layout/>
      <c:pieChart>
        <c:varyColors val="1"/>
        <c:ser>
          <c:idx val="0"/>
          <c:order val="0"/>
          <c:tx>
            <c:strRef>
              <c:f>Sheet8!$H$4:$H$5</c:f>
              <c:strCache>
                <c:ptCount val="1"/>
                <c:pt idx="0">
                  <c:v>Total</c:v>
                </c:pt>
              </c:strCache>
            </c:strRef>
          </c:tx>
          <c:spPr>
            <a:effectLst>
              <a:outerShdw blurRad="50800" dist="50800" dir="5400000" sx="90000" sy="90000" algn="ctr" rotWithShape="0">
                <a:srgbClr val="000000">
                  <a:alpha val="88000"/>
                </a:srgbClr>
              </a:outerShdw>
            </a:effectLst>
          </c:spPr>
          <c:dPt>
            <c:idx val="0"/>
            <c:bubble3D val="0"/>
            <c:explosion val="2"/>
            <c:spPr>
              <a:solidFill>
                <a:schemeClr val="accent1"/>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1-AE18-4871-B92D-561A974C3265}"/>
              </c:ext>
            </c:extLst>
          </c:dPt>
          <c:dPt>
            <c:idx val="1"/>
            <c:bubble3D val="0"/>
            <c:spPr>
              <a:solidFill>
                <a:schemeClr val="accent2"/>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3-AE18-4871-B92D-561A974C3265}"/>
              </c:ext>
            </c:extLst>
          </c:dPt>
          <c:dPt>
            <c:idx val="2"/>
            <c:bubble3D val="0"/>
            <c:spPr>
              <a:solidFill>
                <a:schemeClr val="accent3"/>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5-AE18-4871-B92D-561A974C3265}"/>
              </c:ext>
            </c:extLst>
          </c:dPt>
          <c:dPt>
            <c:idx val="3"/>
            <c:bubble3D val="0"/>
            <c:spPr>
              <a:solidFill>
                <a:schemeClr val="accent4"/>
              </a:solidFill>
              <a:ln w="19050">
                <a:solidFill>
                  <a:schemeClr val="lt1"/>
                </a:solidFill>
              </a:ln>
              <a:effectLst>
                <a:outerShdw blurRad="50800" dist="50800" dir="5400000" sx="90000" sy="90000" algn="ctr" rotWithShape="0">
                  <a:srgbClr val="000000">
                    <a:alpha val="88000"/>
                  </a:srgbClr>
                </a:outerShdw>
              </a:effectLst>
            </c:spPr>
            <c:extLst>
              <c:ext xmlns:c16="http://schemas.microsoft.com/office/drawing/2014/chart" uri="{C3380CC4-5D6E-409C-BE32-E72D297353CC}">
                <c16:uniqueId val="{00000007-AE18-4871-B92D-561A974C3265}"/>
              </c:ext>
            </c:extLst>
          </c:dPt>
          <c:cat>
            <c:strRef>
              <c:f>Sheet8!$G$6:$G$10</c:f>
              <c:strCache>
                <c:ptCount val="4"/>
                <c:pt idx="0">
                  <c:v>North</c:v>
                </c:pt>
                <c:pt idx="1">
                  <c:v>West</c:v>
                </c:pt>
                <c:pt idx="2">
                  <c:v>East</c:v>
                </c:pt>
                <c:pt idx="3">
                  <c:v>South</c:v>
                </c:pt>
              </c:strCache>
            </c:strRef>
          </c:cat>
          <c:val>
            <c:numRef>
              <c:f>Sheet8!$H$6:$H$10</c:f>
              <c:numCache>
                <c:formatCode>General</c:formatCode>
                <c:ptCount val="4"/>
                <c:pt idx="0">
                  <c:v>113739</c:v>
                </c:pt>
                <c:pt idx="1">
                  <c:v>98025</c:v>
                </c:pt>
                <c:pt idx="2">
                  <c:v>88464</c:v>
                </c:pt>
                <c:pt idx="3">
                  <c:v>47208</c:v>
                </c:pt>
              </c:numCache>
            </c:numRef>
          </c:val>
          <c:extLst>
            <c:ext xmlns:c16="http://schemas.microsoft.com/office/drawing/2014/chart" uri="{C3380CC4-5D6E-409C-BE32-E72D297353CC}">
              <c16:uniqueId val="{00000008-AE18-4871-B92D-561A974C32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[shibil123.xlsx]Sheet8!PivotTable7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EACH PRODUCT</a:t>
            </a:r>
            <a:endParaRPr lang="en-IN" b="1">
              <a:solidFill>
                <a:schemeClr val="tx1"/>
              </a:solidFill>
            </a:endParaRPr>
          </a:p>
        </c:rich>
      </c:tx>
      <c:layout>
        <c:manualLayout>
          <c:xMode val="edge"/>
          <c:yMode val="edge"/>
          <c:x val="0.35686111111111113"/>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Sheet8!$E$3:$E$4</c:f>
              <c:strCache>
                <c:ptCount val="1"/>
                <c:pt idx="0">
                  <c:v>Total</c:v>
                </c:pt>
              </c:strCache>
            </c:strRef>
          </c:tx>
          <c:spPr>
            <a:solidFill>
              <a:schemeClr val="accent2"/>
            </a:solidFill>
            <a:ln>
              <a:noFill/>
            </a:ln>
            <a:effectLst/>
            <a:sp3d/>
          </c:spPr>
          <c:invertIfNegative val="0"/>
          <c:cat>
            <c:strRef>
              <c:f>Sheet8!$D$5:$D$33</c:f>
              <c:strCache>
                <c:ptCount val="28"/>
                <c:pt idx="0">
                  <c:v>Woolen Sweater</c:v>
                </c:pt>
                <c:pt idx="1">
                  <c:v>Filing Cabinet</c:v>
                </c:pt>
                <c:pt idx="2">
                  <c:v>Sunflower Oil 1L</c:v>
                </c:pt>
                <c:pt idx="3">
                  <c:v>Green Tea Pack</c:v>
                </c:pt>
                <c:pt idx="4">
                  <c:v>LED Bulb</c:v>
                </c:pt>
                <c:pt idx="5">
                  <c:v>Bed Frame</c:v>
                </c:pt>
                <c:pt idx="6">
                  <c:v>USB Cable</c:v>
                </c:pt>
                <c:pt idx="7">
                  <c:v>Kurta Set</c:v>
                </c:pt>
                <c:pt idx="8">
                  <c:v>Basmati Rice 5kg</c:v>
                </c:pt>
                <c:pt idx="9">
                  <c:v>Wheat Flour 5kg</c:v>
                </c:pt>
                <c:pt idx="10">
                  <c:v>Office Chair</c:v>
                </c:pt>
                <c:pt idx="11">
                  <c:v>Gel Pens (10)</c:v>
                </c:pt>
                <c:pt idx="12">
                  <c:v>Formal Shirt</c:v>
                </c:pt>
                <c:pt idx="13">
                  <c:v>Sofa Cushion</c:v>
                </c:pt>
                <c:pt idx="14">
                  <c:v>Sugar 1kg</c:v>
                </c:pt>
                <c:pt idx="15">
                  <c:v>Stapler</c:v>
                </c:pt>
                <c:pt idx="16">
                  <c:v>Whiteboard Marker</c:v>
                </c:pt>
                <c:pt idx="17">
                  <c:v>Study Table</c:v>
                </c:pt>
                <c:pt idx="18">
                  <c:v>Power Bank</c:v>
                </c:pt>
                <c:pt idx="19">
                  <c:v>Headphones</c:v>
                </c:pt>
                <c:pt idx="20">
                  <c:v>Webcam</c:v>
                </c:pt>
                <c:pt idx="21">
                  <c:v>File Folder</c:v>
                </c:pt>
                <c:pt idx="22">
                  <c:v>Wireless Mouse</c:v>
                </c:pt>
                <c:pt idx="23">
                  <c:v>Toor Dal 1kg</c:v>
                </c:pt>
                <c:pt idx="24">
                  <c:v>Sports Shorts</c:v>
                </c:pt>
                <c:pt idx="25">
                  <c:v>Sticky Notes</c:v>
                </c:pt>
                <c:pt idx="26">
                  <c:v>Notebook Pack</c:v>
                </c:pt>
                <c:pt idx="27">
                  <c:v>Cotton T-Shirt</c:v>
                </c:pt>
              </c:strCache>
            </c:strRef>
          </c:cat>
          <c:val>
            <c:numRef>
              <c:f>Sheet8!$E$5:$E$33</c:f>
              <c:numCache>
                <c:formatCode>General</c:formatCode>
                <c:ptCount val="28"/>
                <c:pt idx="0">
                  <c:v>54</c:v>
                </c:pt>
                <c:pt idx="1">
                  <c:v>52</c:v>
                </c:pt>
                <c:pt idx="2">
                  <c:v>40</c:v>
                </c:pt>
                <c:pt idx="3">
                  <c:v>35</c:v>
                </c:pt>
                <c:pt idx="4">
                  <c:v>29</c:v>
                </c:pt>
                <c:pt idx="5">
                  <c:v>28</c:v>
                </c:pt>
                <c:pt idx="6">
                  <c:v>25</c:v>
                </c:pt>
                <c:pt idx="7">
                  <c:v>24</c:v>
                </c:pt>
                <c:pt idx="8">
                  <c:v>16</c:v>
                </c:pt>
                <c:pt idx="9">
                  <c:v>16</c:v>
                </c:pt>
                <c:pt idx="10">
                  <c:v>16</c:v>
                </c:pt>
                <c:pt idx="11">
                  <c:v>15</c:v>
                </c:pt>
                <c:pt idx="12">
                  <c:v>14</c:v>
                </c:pt>
                <c:pt idx="13">
                  <c:v>12</c:v>
                </c:pt>
                <c:pt idx="14">
                  <c:v>12</c:v>
                </c:pt>
                <c:pt idx="15">
                  <c:v>12</c:v>
                </c:pt>
                <c:pt idx="16">
                  <c:v>9</c:v>
                </c:pt>
                <c:pt idx="17">
                  <c:v>9</c:v>
                </c:pt>
                <c:pt idx="18">
                  <c:v>9</c:v>
                </c:pt>
                <c:pt idx="19">
                  <c:v>7</c:v>
                </c:pt>
                <c:pt idx="20">
                  <c:v>6</c:v>
                </c:pt>
                <c:pt idx="21">
                  <c:v>5</c:v>
                </c:pt>
                <c:pt idx="22">
                  <c:v>5</c:v>
                </c:pt>
                <c:pt idx="23">
                  <c:v>5</c:v>
                </c:pt>
                <c:pt idx="24">
                  <c:v>3</c:v>
                </c:pt>
                <c:pt idx="25">
                  <c:v>3</c:v>
                </c:pt>
                <c:pt idx="26">
                  <c:v>2</c:v>
                </c:pt>
                <c:pt idx="27">
                  <c:v>1</c:v>
                </c:pt>
              </c:numCache>
            </c:numRef>
          </c:val>
          <c:extLst>
            <c:ext xmlns:c16="http://schemas.microsoft.com/office/drawing/2014/chart" uri="{C3380CC4-5D6E-409C-BE32-E72D297353CC}">
              <c16:uniqueId val="{00000000-D8A2-4104-8050-46F2D7A7BC52}"/>
            </c:ext>
          </c:extLst>
        </c:ser>
        <c:dLbls>
          <c:showLegendKey val="0"/>
          <c:showVal val="0"/>
          <c:showCatName val="0"/>
          <c:showSerName val="0"/>
          <c:showPercent val="0"/>
          <c:showBubbleSize val="0"/>
        </c:dLbls>
        <c:gapWidth val="150"/>
        <c:shape val="box"/>
        <c:axId val="1393548495"/>
        <c:axId val="1223994751"/>
        <c:axId val="0"/>
      </c:bar3DChart>
      <c:catAx>
        <c:axId val="1393548495"/>
        <c:scaling>
          <c:orientation val="minMax"/>
        </c:scaling>
        <c:delete val="0"/>
        <c:axPos val="l"/>
        <c:numFmt formatCode="General" sourceLinked="1"/>
        <c:majorTickMark val="none"/>
        <c:minorTickMark val="none"/>
        <c:tickLblPos val="nextTo"/>
        <c:spPr>
          <a:solidFill>
            <a:schemeClr val="accent2">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4751"/>
        <c:crosses val="autoZero"/>
        <c:auto val="1"/>
        <c:lblAlgn val="ctr"/>
        <c:lblOffset val="100"/>
        <c:noMultiLvlLbl val="0"/>
      </c:catAx>
      <c:valAx>
        <c:axId val="122399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4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latin typeface="Aptos Black" panose="020B0004020202020204" pitchFamily="34" charset="0"/>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none"/>
          </c:marker>
          <c:cat>
            <c:strLit>
              <c:ptCount val="6"/>
              <c:pt idx="0">
                <c:v>Accessories</c:v>
              </c:pt>
              <c:pt idx="1">
                <c:v>Books</c:v>
              </c:pt>
              <c:pt idx="2">
                <c:v>Electronics</c:v>
              </c:pt>
              <c:pt idx="3">
                <c:v>Fashion</c:v>
              </c:pt>
              <c:pt idx="4">
                <c:v>Furniture</c:v>
              </c:pt>
              <c:pt idx="5">
                <c:v>Home</c:v>
              </c:pt>
            </c:strLit>
          </c:cat>
          <c:val>
            <c:numLit>
              <c:formatCode>General</c:formatCode>
              <c:ptCount val="6"/>
              <c:pt idx="0">
                <c:v>2783375.3499999996</c:v>
              </c:pt>
              <c:pt idx="1">
                <c:v>2576394.4500000007</c:v>
              </c:pt>
              <c:pt idx="2">
                <c:v>7286544.9499999965</c:v>
              </c:pt>
              <c:pt idx="3">
                <c:v>2933873.4000000004</c:v>
              </c:pt>
              <c:pt idx="4">
                <c:v>3003527.35</c:v>
              </c:pt>
              <c:pt idx="5">
                <c:v>2573610.9999999995</c:v>
              </c:pt>
            </c:numLit>
          </c:val>
          <c:smooth val="0"/>
          <c:extLst>
            <c:ext xmlns:c16="http://schemas.microsoft.com/office/drawing/2014/chart" uri="{C3380CC4-5D6E-409C-BE32-E72D297353CC}">
              <c16:uniqueId val="{00000000-CC70-481B-9AC1-9B2CB720F1C1}"/>
            </c:ext>
          </c:extLst>
        </c:ser>
        <c:dLbls>
          <c:showLegendKey val="0"/>
          <c:showVal val="0"/>
          <c:showCatName val="0"/>
          <c:showSerName val="0"/>
          <c:showPercent val="0"/>
          <c:showBubbleSize val="0"/>
        </c:dLbls>
        <c:smooth val="0"/>
        <c:axId val="550771839"/>
        <c:axId val="491032671"/>
      </c:lineChart>
      <c:catAx>
        <c:axId val="5507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32671"/>
        <c:crosses val="autoZero"/>
        <c:auto val="1"/>
        <c:lblAlgn val="ctr"/>
        <c:lblOffset val="100"/>
        <c:noMultiLvlLbl val="0"/>
      </c:catAx>
      <c:valAx>
        <c:axId val="49103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7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latin typeface="Aptos Black" panose="020B0004020202020204" pitchFamily="34" charset="0"/>
              </a:rPr>
              <a:t>TOTAL</a:t>
            </a:r>
            <a:r>
              <a:rPr lang="en-US" b="1" baseline="0">
                <a:solidFill>
                  <a:schemeClr val="accent6">
                    <a:lumMod val="75000"/>
                  </a:schemeClr>
                </a:solidFill>
                <a:latin typeface="Aptos Black" panose="020B0004020202020204" pitchFamily="34" charset="0"/>
              </a:rPr>
              <a:t> SALES BY STATE</a:t>
            </a:r>
            <a:endParaRPr lang="en-US" b="1">
              <a:solidFill>
                <a:schemeClr val="accent6">
                  <a:lumMod val="75000"/>
                </a:schemeClr>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Delhi</c:v>
              </c:pt>
              <c:pt idx="1">
                <c:v>Karnataka</c:v>
              </c:pt>
              <c:pt idx="2">
                <c:v>Kerala</c:v>
              </c:pt>
              <c:pt idx="3">
                <c:v>Maharashtra</c:v>
              </c:pt>
              <c:pt idx="4">
                <c:v>Tamil Nadu</c:v>
              </c:pt>
              <c:pt idx="5">
                <c:v>Telangana</c:v>
              </c:pt>
            </c:strLit>
          </c:cat>
          <c:val>
            <c:numLit>
              <c:formatCode>General</c:formatCode>
              <c:ptCount val="6"/>
              <c:pt idx="0">
                <c:v>3463433.1499999994</c:v>
              </c:pt>
              <c:pt idx="1">
                <c:v>3601923.9999999986</c:v>
              </c:pt>
              <c:pt idx="2">
                <c:v>3245473.8000000003</c:v>
              </c:pt>
              <c:pt idx="3">
                <c:v>3337569.450000002</c:v>
              </c:pt>
              <c:pt idx="4">
                <c:v>3956970.4999999986</c:v>
              </c:pt>
              <c:pt idx="5">
                <c:v>3551955.5999999996</c:v>
              </c:pt>
            </c:numLit>
          </c:val>
          <c:extLst>
            <c:ext xmlns:c16="http://schemas.microsoft.com/office/drawing/2014/chart" uri="{C3380CC4-5D6E-409C-BE32-E72D297353CC}">
              <c16:uniqueId val="{00000000-79AB-4EE1-B252-D7C65115DF43}"/>
            </c:ext>
          </c:extLst>
        </c:ser>
        <c:dLbls>
          <c:dLblPos val="ctr"/>
          <c:showLegendKey val="0"/>
          <c:showVal val="1"/>
          <c:showCatName val="0"/>
          <c:showSerName val="0"/>
          <c:showPercent val="0"/>
          <c:showBubbleSize val="0"/>
        </c:dLbls>
        <c:gapWidth val="150"/>
        <c:overlap val="100"/>
        <c:axId val="599738879"/>
        <c:axId val="491048511"/>
      </c:barChart>
      <c:catAx>
        <c:axId val="5997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48511"/>
        <c:crosses val="autoZero"/>
        <c:auto val="1"/>
        <c:lblAlgn val="ctr"/>
        <c:lblOffset val="100"/>
        <c:noMultiLvlLbl val="0"/>
      </c:catAx>
      <c:valAx>
        <c:axId val="491048511"/>
        <c:scaling>
          <c:orientation val="minMax"/>
        </c:scaling>
        <c:delete val="1"/>
        <c:axPos val="b"/>
        <c:numFmt formatCode="General" sourceLinked="1"/>
        <c:majorTickMark val="none"/>
        <c:minorTickMark val="none"/>
        <c:tickLblPos val="nextTo"/>
        <c:crossAx val="5997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latin typeface="Aptos Black" panose="020B0004020202020204" pitchFamily="34" charset="0"/>
              </a:rPr>
              <a:t>SALES</a:t>
            </a:r>
            <a:r>
              <a:rPr lang="en-US" b="1" baseline="0">
                <a:solidFill>
                  <a:schemeClr val="accent6">
                    <a:lumMod val="75000"/>
                  </a:schemeClr>
                </a:solidFill>
                <a:latin typeface="Aptos Black" panose="020B0004020202020204" pitchFamily="34" charset="0"/>
              </a:rPr>
              <a:t> BY PAYMENT METHOD</a:t>
            </a:r>
            <a:endParaRPr lang="en-US" b="1">
              <a:solidFill>
                <a:schemeClr val="accent6">
                  <a:lumMod val="75000"/>
                </a:schemeClr>
              </a:solidFill>
              <a:latin typeface="Aptos Black" panose="020B0004020202020204" pitchFamily="34" charset="0"/>
            </a:endParaRPr>
          </a:p>
        </c:rich>
      </c:tx>
      <c:layout>
        <c:manualLayout>
          <c:xMode val="edge"/>
          <c:yMode val="edge"/>
          <c:x val="0.2480555447810403"/>
          <c:y val="3.240750148166963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6"/>
            </a:solidFill>
            <a:ln>
              <a:noFill/>
            </a:ln>
            <a:effectLst/>
          </c:spPr>
          <c:invertIfNegative val="0"/>
          <c:cat>
            <c:strLit>
              <c:ptCount val="5"/>
              <c:pt idx="0">
                <c:v>Card</c:v>
              </c:pt>
              <c:pt idx="1">
                <c:v>COD</c:v>
              </c:pt>
              <c:pt idx="2">
                <c:v>Net Banking</c:v>
              </c:pt>
              <c:pt idx="3">
                <c:v>UPI</c:v>
              </c:pt>
              <c:pt idx="4">
                <c:v>Wallet</c:v>
              </c:pt>
            </c:strLit>
          </c:cat>
          <c:val>
            <c:numLit>
              <c:formatCode>General</c:formatCode>
              <c:ptCount val="5"/>
              <c:pt idx="0">
                <c:v>3705331.4499999997</c:v>
              </c:pt>
              <c:pt idx="1">
                <c:v>4201052.2999999989</c:v>
              </c:pt>
              <c:pt idx="2">
                <c:v>4576598.6500000013</c:v>
              </c:pt>
              <c:pt idx="3">
                <c:v>4347963.8500000006</c:v>
              </c:pt>
              <c:pt idx="4">
                <c:v>4326380.25</c:v>
              </c:pt>
            </c:numLit>
          </c:val>
          <c:extLst>
            <c:ext xmlns:c16="http://schemas.microsoft.com/office/drawing/2014/chart" uri="{C3380CC4-5D6E-409C-BE32-E72D297353CC}">
              <c16:uniqueId val="{00000000-3C99-4EE2-8CB7-46768069F18A}"/>
            </c:ext>
          </c:extLst>
        </c:ser>
        <c:dLbls>
          <c:showLegendKey val="0"/>
          <c:showVal val="0"/>
          <c:showCatName val="0"/>
          <c:showSerName val="0"/>
          <c:showPercent val="0"/>
          <c:showBubbleSize val="0"/>
        </c:dLbls>
        <c:gapWidth val="150"/>
        <c:overlap val="100"/>
        <c:axId val="747978911"/>
        <c:axId val="491040351"/>
      </c:barChart>
      <c:catAx>
        <c:axId val="74797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40351"/>
        <c:crosses val="autoZero"/>
        <c:auto val="1"/>
        <c:lblAlgn val="ctr"/>
        <c:lblOffset val="100"/>
        <c:noMultiLvlLbl val="0"/>
      </c:catAx>
      <c:valAx>
        <c:axId val="49104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8911"/>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410-44B1-A65E-7C9A510BE50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410-44B1-A65E-7C9A510BE50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410-44B1-A65E-7C9A510BE50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410-44B1-A65E-7C9A510BE50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410-44B1-A65E-7C9A510BE50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410-44B1-A65E-7C9A510BE501}"/>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410-44B1-A65E-7C9A510BE501}"/>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410-44B1-A65E-7C9A510BE501}"/>
              </c:ext>
            </c:extLst>
          </c:dPt>
          <c:dLbls>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8"/>
              <c:pt idx="0">
                <c:v>Dell</c:v>
              </c:pt>
              <c:pt idx="1">
                <c:v>Fossil</c:v>
              </c:pt>
              <c:pt idx="2">
                <c:v>Ikea</c:v>
              </c:pt>
              <c:pt idx="3">
                <c:v>Nike</c:v>
              </c:pt>
              <c:pt idx="4">
                <c:v>Penguin</c:v>
              </c:pt>
              <c:pt idx="5">
                <c:v>Philips</c:v>
              </c:pt>
              <c:pt idx="6">
                <c:v>Samsung</c:v>
              </c:pt>
              <c:pt idx="7">
                <c:v>Sony</c:v>
              </c:pt>
            </c:strLit>
          </c:cat>
          <c:val>
            <c:numLit>
              <c:formatCode>General</c:formatCode>
              <c:ptCount val="8"/>
              <c:pt idx="0">
                <c:v>487992.5400000001</c:v>
              </c:pt>
              <c:pt idx="1">
                <c:v>513881.01999999984</c:v>
              </c:pt>
              <c:pt idx="2">
                <c:v>553883.28</c:v>
              </c:pt>
              <c:pt idx="3">
                <c:v>556411.41</c:v>
              </c:pt>
              <c:pt idx="4">
                <c:v>508251.5299999998</c:v>
              </c:pt>
              <c:pt idx="5">
                <c:v>490365.60000000021</c:v>
              </c:pt>
              <c:pt idx="6">
                <c:v>435602.78</c:v>
              </c:pt>
              <c:pt idx="7">
                <c:v>401313.62999999989</c:v>
              </c:pt>
            </c:numLit>
          </c:val>
          <c:extLst>
            <c:ext xmlns:c16="http://schemas.microsoft.com/office/drawing/2014/chart" uri="{C3380CC4-5D6E-409C-BE32-E72D297353CC}">
              <c16:uniqueId val="{00000010-8410-44B1-A65E-7C9A510BE50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3183835891481306"/>
          <c:y val="0.21527559055118109"/>
          <c:w val="0.14972846136168463"/>
          <c:h val="0.6250043744531934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681977252843393E-3"/>
              <c:y val="7.1498250218722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74978127734036E-3"/>
              <c:y val="3.1086687080781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25284339457567E-2"/>
              <c:y val="-5.56722076407115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390638670166231E-2"/>
              <c:y val="-2.7716170895304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20559930008753E-3"/>
              <c:y val="5.1156313794109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911636045494308E-2"/>
              <c:y val="-5.6106372120151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555774278215226E-2"/>
              <c:y val="-4.0128317293671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425196850393703E-3"/>
              <c:y val="-8.2298046077573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25284339457567E-2"/>
              <c:y val="-5.56722076407115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74978127734036E-3"/>
              <c:y val="3.1086687080781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425196850393703E-3"/>
              <c:y val="-8.2298046077573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555774278215226E-2"/>
              <c:y val="-4.0128317293671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911636045494308E-2"/>
              <c:y val="-5.6106372120151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20559930008753E-3"/>
              <c:y val="5.1156313794109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681977252843393E-3"/>
              <c:y val="7.1498250218722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390638670166231E-2"/>
              <c:y val="-2.7716170895304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725284339457567E-2"/>
              <c:y val="-5.56722076407115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674978127734036E-3"/>
              <c:y val="3.1086687080781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425196850393703E-3"/>
              <c:y val="-8.22980460775736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555774278215226E-2"/>
              <c:y val="-4.0128317293671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911636045494308E-2"/>
              <c:y val="-5.6106372120151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20559930008753E-3"/>
              <c:y val="5.1156313794109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681977252843393E-3"/>
              <c:y val="7.1498250218722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390638670166231E-2"/>
              <c:y val="-2.7716170895304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69-4CAE-9902-23A7D5F525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69-4CAE-9902-23A7D5F525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69-4CAE-9902-23A7D5F525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69-4CAE-9902-23A7D5F525D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69-4CAE-9902-23A7D5F525D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69-4CAE-9902-23A7D5F525D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F69-4CAE-9902-23A7D5F525D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F69-4CAE-9902-23A7D5F525DC}"/>
              </c:ext>
            </c:extLst>
          </c:dPt>
          <c:dLbls>
            <c:dLbl>
              <c:idx val="0"/>
              <c:layout>
                <c:manualLayout>
                  <c:x val="3.2725284339457567E-2"/>
                  <c:y val="-5.567220764071157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9-4CAE-9902-23A7D5F525DC}"/>
                </c:ext>
              </c:extLst>
            </c:dLbl>
            <c:dLbl>
              <c:idx val="1"/>
              <c:layout>
                <c:manualLayout>
                  <c:x val="5.2674978127734036E-3"/>
                  <c:y val="3.1086687080781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9-4CAE-9902-23A7D5F525DC}"/>
                </c:ext>
              </c:extLst>
            </c:dLbl>
            <c:dLbl>
              <c:idx val="2"/>
              <c:layout>
                <c:manualLayout>
                  <c:x val="3.8425196850393703E-3"/>
                  <c:y val="-8.229804607757363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9-4CAE-9902-23A7D5F525DC}"/>
                </c:ext>
              </c:extLst>
            </c:dLbl>
            <c:dLbl>
              <c:idx val="3"/>
              <c:layout>
                <c:manualLayout>
                  <c:x val="4.9555774278215226E-2"/>
                  <c:y val="-4.01283172936716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69-4CAE-9902-23A7D5F525DC}"/>
                </c:ext>
              </c:extLst>
            </c:dLbl>
            <c:dLbl>
              <c:idx val="4"/>
              <c:layout>
                <c:manualLayout>
                  <c:x val="-7.6911636045494308E-2"/>
                  <c:y val="-5.61063721201516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69-4CAE-9902-23A7D5F525DC}"/>
                </c:ext>
              </c:extLst>
            </c:dLbl>
            <c:dLbl>
              <c:idx val="5"/>
              <c:layout>
                <c:manualLayout>
                  <c:x val="5.5520559930008753E-3"/>
                  <c:y val="5.11563137941091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F69-4CAE-9902-23A7D5F525DC}"/>
                </c:ext>
              </c:extLst>
            </c:dLbl>
            <c:dLbl>
              <c:idx val="6"/>
              <c:layout>
                <c:manualLayout>
                  <c:x val="-4.6681977252843393E-3"/>
                  <c:y val="7.1498250218722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69-4CAE-9902-23A7D5F525DC}"/>
                </c:ext>
              </c:extLst>
            </c:dLbl>
            <c:dLbl>
              <c:idx val="7"/>
              <c:layout>
                <c:manualLayout>
                  <c:x val="1.6390638670166231E-2"/>
                  <c:y val="-2.77161708953047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F69-4CAE-9902-23A7D5F525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Book</c:v>
              </c:pt>
              <c:pt idx="1">
                <c:v>Chair</c:v>
              </c:pt>
              <c:pt idx="2">
                <c:v>Headphones</c:v>
              </c:pt>
              <c:pt idx="3">
                <c:v>Laptop</c:v>
              </c:pt>
              <c:pt idx="4">
                <c:v>Mixer</c:v>
              </c:pt>
              <c:pt idx="5">
                <c:v>Phone</c:v>
              </c:pt>
              <c:pt idx="6">
                <c:v>Shoes</c:v>
              </c:pt>
              <c:pt idx="7">
                <c:v>Watch</c:v>
              </c:pt>
            </c:strLit>
          </c:cat>
          <c:val>
            <c:numLit>
              <c:formatCode>General</c:formatCode>
              <c:ptCount val="8"/>
              <c:pt idx="0">
                <c:v>2576394.4500000007</c:v>
              </c:pt>
              <c:pt idx="1">
                <c:v>3003527.35</c:v>
              </c:pt>
              <c:pt idx="2">
                <c:v>2093332.199999999</c:v>
              </c:pt>
              <c:pt idx="3">
                <c:v>2820243.65</c:v>
              </c:pt>
              <c:pt idx="4">
                <c:v>2573610.9999999995</c:v>
              </c:pt>
              <c:pt idx="5">
                <c:v>2372969.1000000006</c:v>
              </c:pt>
              <c:pt idx="6">
                <c:v>2933873.4000000004</c:v>
              </c:pt>
              <c:pt idx="7">
                <c:v>2783375.3499999996</c:v>
              </c:pt>
            </c:numLit>
          </c:val>
          <c:extLst>
            <c:ext xmlns:c16="http://schemas.microsoft.com/office/drawing/2014/chart" uri="{C3380CC4-5D6E-409C-BE32-E72D297353CC}">
              <c16:uniqueId val="{00000010-EF69-4CAE-9902-23A7D5F525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EB7907"/>
                </a:solidFill>
                <a:latin typeface="Aptos Black" panose="020B0004020202020204" pitchFamily="34" charset="0"/>
              </a:rPr>
              <a:t>MATCHES</a:t>
            </a:r>
            <a:r>
              <a:rPr lang="en-US" sz="1200" b="1" baseline="0">
                <a:solidFill>
                  <a:srgbClr val="EB7907"/>
                </a:solidFill>
                <a:latin typeface="Aptos Black" panose="020B0004020202020204" pitchFamily="34" charset="0"/>
              </a:rPr>
              <a:t> BY LEAGUE</a:t>
            </a:r>
            <a:endParaRPr lang="en-US" sz="1200" b="1">
              <a:solidFill>
                <a:srgbClr val="EB7907"/>
              </a:solidFill>
              <a:latin typeface="Aptos Black" panose="020B0004020202020204" pitchFamily="34" charset="0"/>
            </a:endParaRPr>
          </a:p>
        </c:rich>
      </c:tx>
      <c:layout>
        <c:manualLayout>
          <c:xMode val="edge"/>
          <c:yMode val="edge"/>
          <c:x val="0.316083333333333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solidFill>
              <a:schemeClr val="accent2"/>
            </a:solidFill>
            <a:ln>
              <a:noFill/>
            </a:ln>
            <a:effectLst/>
          </c:spPr>
          <c:invertIfNegative val="0"/>
          <c:cat>
            <c:strRef>
              <c:f>Sheet14!$A$4:$A$10</c:f>
              <c:strCache>
                <c:ptCount val="6"/>
                <c:pt idx="0">
                  <c:v>Bundesliga</c:v>
                </c:pt>
                <c:pt idx="1">
                  <c:v>La Liga</c:v>
                </c:pt>
                <c:pt idx="2">
                  <c:v>Ligue 1</c:v>
                </c:pt>
                <c:pt idx="3">
                  <c:v>Premier League</c:v>
                </c:pt>
                <c:pt idx="4">
                  <c:v>Serie A</c:v>
                </c:pt>
                <c:pt idx="5">
                  <c:v>Unknown</c:v>
                </c:pt>
              </c:strCache>
            </c:strRef>
          </c:cat>
          <c:val>
            <c:numRef>
              <c:f>Sheet14!$B$4:$B$10</c:f>
              <c:numCache>
                <c:formatCode>General</c:formatCode>
                <c:ptCount val="6"/>
                <c:pt idx="0">
                  <c:v>55</c:v>
                </c:pt>
                <c:pt idx="1">
                  <c:v>114</c:v>
                </c:pt>
                <c:pt idx="2">
                  <c:v>125</c:v>
                </c:pt>
                <c:pt idx="3">
                  <c:v>177</c:v>
                </c:pt>
                <c:pt idx="4">
                  <c:v>117</c:v>
                </c:pt>
                <c:pt idx="5">
                  <c:v>12</c:v>
                </c:pt>
              </c:numCache>
            </c:numRef>
          </c:val>
          <c:extLst>
            <c:ext xmlns:c16="http://schemas.microsoft.com/office/drawing/2014/chart" uri="{C3380CC4-5D6E-409C-BE32-E72D297353CC}">
              <c16:uniqueId val="{00000000-E9A0-41BA-A9FA-A6923017AE0E}"/>
            </c:ext>
          </c:extLst>
        </c:ser>
        <c:dLbls>
          <c:showLegendKey val="0"/>
          <c:showVal val="0"/>
          <c:showCatName val="0"/>
          <c:showSerName val="0"/>
          <c:showPercent val="0"/>
          <c:showBubbleSize val="0"/>
        </c:dLbls>
        <c:gapWidth val="219"/>
        <c:overlap val="-27"/>
        <c:axId val="2151487"/>
        <c:axId val="1581881407"/>
      </c:barChart>
      <c:catAx>
        <c:axId val="215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81407"/>
        <c:crosses val="autoZero"/>
        <c:auto val="1"/>
        <c:lblAlgn val="ctr"/>
        <c:lblOffset val="100"/>
        <c:noMultiLvlLbl val="0"/>
      </c:catAx>
      <c:valAx>
        <c:axId val="1581881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EB7907"/>
                </a:solidFill>
                <a:latin typeface="Aptos Black" panose="020B0004020202020204" pitchFamily="34" charset="0"/>
              </a:rPr>
              <a:t>TOTAL</a:t>
            </a:r>
            <a:r>
              <a:rPr lang="en-US" sz="1200" b="1" baseline="0">
                <a:solidFill>
                  <a:srgbClr val="EB7907"/>
                </a:solidFill>
                <a:latin typeface="Aptos Black" panose="020B0004020202020204" pitchFamily="34" charset="0"/>
              </a:rPr>
              <a:t> GOALS BY TEAM</a:t>
            </a:r>
            <a:endParaRPr lang="en-US" sz="1200" b="1">
              <a:solidFill>
                <a:srgbClr val="EB7907"/>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9846894138232"/>
          <c:y val="0.15578703703703703"/>
          <c:w val="0.72933486439195105"/>
          <c:h val="0.73218394575678036"/>
        </c:manualLayout>
      </c:layout>
      <c:barChart>
        <c:barDir val="bar"/>
        <c:grouping val="clustered"/>
        <c:varyColors val="0"/>
        <c:ser>
          <c:idx val="0"/>
          <c:order val="0"/>
          <c:tx>
            <c:strRef>
              <c:f>Sheet14!$E$3</c:f>
              <c:strCache>
                <c:ptCount val="1"/>
                <c:pt idx="0">
                  <c:v>Total</c:v>
                </c:pt>
              </c:strCache>
            </c:strRef>
          </c:tx>
          <c:spPr>
            <a:solidFill>
              <a:schemeClr val="accent2"/>
            </a:solidFill>
            <a:ln>
              <a:noFill/>
            </a:ln>
            <a:effectLst/>
          </c:spPr>
          <c:invertIfNegative val="0"/>
          <c:cat>
            <c:strRef>
              <c:f>Sheet14!$D$4:$D$23</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Sheet14!$E$4:$E$23</c:f>
              <c:numCache>
                <c:formatCode>General</c:formatCode>
                <c:ptCount val="19"/>
                <c:pt idx="0">
                  <c:v>28</c:v>
                </c:pt>
                <c:pt idx="1">
                  <c:v>26</c:v>
                </c:pt>
                <c:pt idx="2">
                  <c:v>64</c:v>
                </c:pt>
                <c:pt idx="3">
                  <c:v>56</c:v>
                </c:pt>
                <c:pt idx="4">
                  <c:v>71</c:v>
                </c:pt>
                <c:pt idx="5">
                  <c:v>59</c:v>
                </c:pt>
                <c:pt idx="6">
                  <c:v>37</c:v>
                </c:pt>
                <c:pt idx="7">
                  <c:v>50</c:v>
                </c:pt>
                <c:pt idx="8">
                  <c:v>73</c:v>
                </c:pt>
                <c:pt idx="9">
                  <c:v>29</c:v>
                </c:pt>
                <c:pt idx="10">
                  <c:v>35</c:v>
                </c:pt>
                <c:pt idx="11">
                  <c:v>94</c:v>
                </c:pt>
                <c:pt idx="12">
                  <c:v>50</c:v>
                </c:pt>
                <c:pt idx="13">
                  <c:v>111</c:v>
                </c:pt>
                <c:pt idx="14">
                  <c:v>102</c:v>
                </c:pt>
                <c:pt idx="15">
                  <c:v>48</c:v>
                </c:pt>
                <c:pt idx="16">
                  <c:v>86</c:v>
                </c:pt>
                <c:pt idx="17">
                  <c:v>88</c:v>
                </c:pt>
                <c:pt idx="18">
                  <c:v>12</c:v>
                </c:pt>
              </c:numCache>
            </c:numRef>
          </c:val>
          <c:extLst>
            <c:ext xmlns:c16="http://schemas.microsoft.com/office/drawing/2014/chart" uri="{C3380CC4-5D6E-409C-BE32-E72D297353CC}">
              <c16:uniqueId val="{00000000-A9F2-452F-8116-390C6FECA543}"/>
            </c:ext>
          </c:extLst>
        </c:ser>
        <c:dLbls>
          <c:showLegendKey val="0"/>
          <c:showVal val="0"/>
          <c:showCatName val="0"/>
          <c:showSerName val="0"/>
          <c:showPercent val="0"/>
          <c:showBubbleSize val="0"/>
        </c:dLbls>
        <c:gapWidth val="182"/>
        <c:axId val="2192319"/>
        <c:axId val="1311792735"/>
      </c:barChart>
      <c:catAx>
        <c:axId val="219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92735"/>
        <c:crosses val="autoZero"/>
        <c:auto val="1"/>
        <c:lblAlgn val="ctr"/>
        <c:lblOffset val="100"/>
        <c:noMultiLvlLbl val="0"/>
      </c:catAx>
      <c:valAx>
        <c:axId val="131179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EB7907"/>
                </a:solidFill>
                <a:latin typeface="Aptos Black" panose="020B0004020202020204" pitchFamily="34" charset="0"/>
              </a:rPr>
              <a:t>MATCH</a:t>
            </a:r>
            <a:r>
              <a:rPr lang="en-US" sz="1200" b="1" baseline="0">
                <a:solidFill>
                  <a:srgbClr val="EB7907"/>
                </a:solidFill>
                <a:latin typeface="Aptos Black" panose="020B0004020202020204" pitchFamily="34" charset="0"/>
              </a:rPr>
              <a:t> RESULT DISTRIBUTION</a:t>
            </a:r>
            <a:endParaRPr lang="en-US" sz="1200" b="1">
              <a:solidFill>
                <a:srgbClr val="EB7907"/>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Sheet14!$H$3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43-497A-BD7D-1BD30FFABA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43-497A-BD7D-1BD30FFABA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43-497A-BD7D-1BD30FFABA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43-497A-BD7D-1BD30FFAB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Sheet14!$G$4:$G$8</c:f>
              <c:strCache>
                <c:ptCount val="4"/>
                <c:pt idx="0">
                  <c:v>A</c:v>
                </c:pt>
                <c:pt idx="1">
                  <c:v>D</c:v>
                </c:pt>
                <c:pt idx="2">
                  <c:v>H</c:v>
                </c:pt>
                <c:pt idx="3">
                  <c:v>Unknown</c:v>
                </c:pt>
              </c:strCache>
            </c:strRef>
          </c:cat>
          <c:val>
            <c:numRef>
              <c:f>Sheet14!$H$4:$H$8</c:f>
              <c:numCache>
                <c:formatCode>General</c:formatCode>
                <c:ptCount val="4"/>
                <c:pt idx="0">
                  <c:v>200</c:v>
                </c:pt>
                <c:pt idx="1">
                  <c:v>134</c:v>
                </c:pt>
                <c:pt idx="2">
                  <c:v>254</c:v>
                </c:pt>
                <c:pt idx="3">
                  <c:v>12</c:v>
                </c:pt>
              </c:numCache>
            </c:numRef>
          </c:val>
          <c:extLst>
            <c:ext xmlns:c16="http://schemas.microsoft.com/office/drawing/2014/chart" uri="{C3380CC4-5D6E-409C-BE32-E72D297353CC}">
              <c16:uniqueId val="{00000000-A659-4E0F-84CD-CEF091C58F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EB7907"/>
                </a:solidFill>
                <a:latin typeface="Aptos Black" panose="020B0004020202020204" pitchFamily="34" charset="0"/>
              </a:rPr>
              <a:t>AVG</a:t>
            </a:r>
            <a:r>
              <a:rPr lang="en-US" sz="1200" b="1" baseline="0">
                <a:solidFill>
                  <a:srgbClr val="EB7907"/>
                </a:solidFill>
                <a:latin typeface="Aptos Black" panose="020B0004020202020204" pitchFamily="34" charset="0"/>
              </a:rPr>
              <a:t> ATTENDENCE BY LEAGUE</a:t>
            </a:r>
            <a:endParaRPr lang="en-US" sz="1200" b="1">
              <a:solidFill>
                <a:srgbClr val="EB7907"/>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73902086660479E-2"/>
          <c:y val="0.18356481481481482"/>
          <c:w val="0.85942489931503663"/>
          <c:h val="0.73218394575678036"/>
        </c:manualLayout>
      </c:layout>
      <c:areaChart>
        <c:grouping val="standard"/>
        <c:varyColors val="0"/>
        <c:ser>
          <c:idx val="0"/>
          <c:order val="0"/>
          <c:tx>
            <c:strRef>
              <c:f>Sheet14!$H$10</c:f>
              <c:strCache>
                <c:ptCount val="1"/>
                <c:pt idx="0">
                  <c:v>Total</c:v>
                </c:pt>
              </c:strCache>
            </c:strRef>
          </c:tx>
          <c:spPr>
            <a:solidFill>
              <a:schemeClr val="accent2"/>
            </a:solidFill>
            <a:ln>
              <a:noFill/>
            </a:ln>
            <a:effectLst/>
          </c:spPr>
          <c:cat>
            <c:strRef>
              <c:f>Sheet14!$G$11:$G$17</c:f>
              <c:strCache>
                <c:ptCount val="6"/>
                <c:pt idx="0">
                  <c:v>Bundesliga</c:v>
                </c:pt>
                <c:pt idx="1">
                  <c:v>La Liga</c:v>
                </c:pt>
                <c:pt idx="2">
                  <c:v>Ligue 1</c:v>
                </c:pt>
                <c:pt idx="3">
                  <c:v>Premier League</c:v>
                </c:pt>
                <c:pt idx="4">
                  <c:v>Serie A</c:v>
                </c:pt>
                <c:pt idx="5">
                  <c:v>Unknown</c:v>
                </c:pt>
              </c:strCache>
            </c:strRef>
          </c:cat>
          <c:val>
            <c:numRef>
              <c:f>Sheet14!$H$11:$H$17</c:f>
              <c:numCache>
                <c:formatCode>General</c:formatCode>
                <c:ptCount val="6"/>
                <c:pt idx="0">
                  <c:v>43595.63636363636</c:v>
                </c:pt>
                <c:pt idx="1">
                  <c:v>43255.175438596489</c:v>
                </c:pt>
                <c:pt idx="2">
                  <c:v>41289.879999999997</c:v>
                </c:pt>
                <c:pt idx="3">
                  <c:v>45113.378531073446</c:v>
                </c:pt>
                <c:pt idx="4">
                  <c:v>48088.794871794875</c:v>
                </c:pt>
                <c:pt idx="5">
                  <c:v>52824.416666666664</c:v>
                </c:pt>
              </c:numCache>
            </c:numRef>
          </c:val>
          <c:extLst>
            <c:ext xmlns:c16="http://schemas.microsoft.com/office/drawing/2014/chart" uri="{C3380CC4-5D6E-409C-BE32-E72D297353CC}">
              <c16:uniqueId val="{00000000-82D4-4CEB-B591-CDF07F20061C}"/>
            </c:ext>
          </c:extLst>
        </c:ser>
        <c:dLbls>
          <c:showLegendKey val="0"/>
          <c:showVal val="0"/>
          <c:showCatName val="0"/>
          <c:showSerName val="0"/>
          <c:showPercent val="0"/>
          <c:showBubbleSize val="0"/>
        </c:dLbls>
        <c:axId val="1781548191"/>
        <c:axId val="1311803295"/>
      </c:areaChart>
      <c:catAx>
        <c:axId val="178154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03295"/>
        <c:crosses val="autoZero"/>
        <c:auto val="1"/>
        <c:lblAlgn val="ctr"/>
        <c:lblOffset val="100"/>
        <c:noMultiLvlLbl val="0"/>
      </c:catAx>
      <c:valAx>
        <c:axId val="131180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548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[shibil123.xlsx]Sheet14!PivotTable5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solidFill>
                  <a:schemeClr val="accent4"/>
                </a:solidFill>
                <a:latin typeface="Aptos Black" panose="020B0004020202020204" pitchFamily="34" charset="0"/>
              </a:rPr>
              <a:t>GOALS</a:t>
            </a:r>
            <a:r>
              <a:rPr lang="en-US" sz="1400" b="1" baseline="0">
                <a:solidFill>
                  <a:schemeClr val="accent4"/>
                </a:solidFill>
                <a:latin typeface="Aptos Black" panose="020B0004020202020204" pitchFamily="34" charset="0"/>
              </a:rPr>
              <a:t> BY SEASON</a:t>
            </a:r>
            <a:endParaRPr lang="en-US" sz="1400" b="1">
              <a:solidFill>
                <a:schemeClr val="accent4"/>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Sheet14!$H$19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Sheet14!$G$20:$G$25</c:f>
              <c:strCache>
                <c:ptCount val="5"/>
                <c:pt idx="0">
                  <c:v>2022/23</c:v>
                </c:pt>
                <c:pt idx="1">
                  <c:v>2023/24</c:v>
                </c:pt>
                <c:pt idx="2">
                  <c:v>2024/25</c:v>
                </c:pt>
                <c:pt idx="3">
                  <c:v>2025/26</c:v>
                </c:pt>
                <c:pt idx="4">
                  <c:v>Unknown</c:v>
                </c:pt>
              </c:strCache>
            </c:strRef>
          </c:cat>
          <c:val>
            <c:numRef>
              <c:f>Sheet14!$H$20:$H$25</c:f>
              <c:numCache>
                <c:formatCode>General</c:formatCode>
                <c:ptCount val="5"/>
                <c:pt idx="0">
                  <c:v>184</c:v>
                </c:pt>
                <c:pt idx="1">
                  <c:v>190</c:v>
                </c:pt>
                <c:pt idx="2">
                  <c:v>173</c:v>
                </c:pt>
                <c:pt idx="3">
                  <c:v>339</c:v>
                </c:pt>
                <c:pt idx="4">
                  <c:v>233</c:v>
                </c:pt>
              </c:numCache>
            </c:numRef>
          </c:val>
          <c:smooth val="0"/>
          <c:extLst>
            <c:ext xmlns:c16="http://schemas.microsoft.com/office/drawing/2014/chart" uri="{C3380CC4-5D6E-409C-BE32-E72D297353CC}">
              <c16:uniqueId val="{00000000-4D68-4CC6-93A2-27519A5ECAC0}"/>
            </c:ext>
          </c:extLst>
        </c:ser>
        <c:dLbls>
          <c:showLegendKey val="0"/>
          <c:showVal val="0"/>
          <c:showCatName val="0"/>
          <c:showSerName val="0"/>
          <c:showPercent val="0"/>
          <c:showBubbleSize val="0"/>
        </c:dLbls>
        <c:marker val="1"/>
        <c:smooth val="0"/>
        <c:axId val="2148239"/>
        <c:axId val="1352997727"/>
      </c:lineChart>
      <c:catAx>
        <c:axId val="2148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997727"/>
        <c:crosses val="autoZero"/>
        <c:auto val="1"/>
        <c:lblAlgn val="ctr"/>
        <c:lblOffset val="100"/>
        <c:noMultiLvlLbl val="0"/>
      </c:catAx>
      <c:valAx>
        <c:axId val="135299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solidFill>
                  <a:schemeClr val="accent4"/>
                </a:solidFill>
                <a:latin typeface="Aptos Black" panose="020B0004020202020204" pitchFamily="34" charset="0"/>
              </a:rPr>
              <a:t>HOME</a:t>
            </a:r>
            <a:r>
              <a:rPr lang="en-IN" sz="1400" baseline="0">
                <a:solidFill>
                  <a:schemeClr val="accent4"/>
                </a:solidFill>
                <a:latin typeface="Aptos Black" panose="020B0004020202020204" pitchFamily="34" charset="0"/>
              </a:rPr>
              <a:t> TEAM  PERFOMANCE</a:t>
            </a:r>
            <a:endParaRPr lang="en-IN" sz="1400">
              <a:solidFill>
                <a:schemeClr val="accent4"/>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Sheet14!$K$3:$K$4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Sheet14!$K$5:$K$24</c:f>
              <c:numCache>
                <c:formatCode>General</c:formatCode>
                <c:ptCount val="19"/>
                <c:pt idx="0">
                  <c:v>7</c:v>
                </c:pt>
                <c:pt idx="1">
                  <c:v>3</c:v>
                </c:pt>
                <c:pt idx="2">
                  <c:v>5</c:v>
                </c:pt>
                <c:pt idx="3">
                  <c:v>4</c:v>
                </c:pt>
                <c:pt idx="4">
                  <c:v>14</c:v>
                </c:pt>
                <c:pt idx="5">
                  <c:v>8</c:v>
                </c:pt>
                <c:pt idx="6">
                  <c:v>9</c:v>
                </c:pt>
                <c:pt idx="7">
                  <c:v>9</c:v>
                </c:pt>
                <c:pt idx="8">
                  <c:v>15</c:v>
                </c:pt>
                <c:pt idx="9">
                  <c:v>5</c:v>
                </c:pt>
                <c:pt idx="10">
                  <c:v>7</c:v>
                </c:pt>
                <c:pt idx="11">
                  <c:v>19</c:v>
                </c:pt>
                <c:pt idx="12">
                  <c:v>14</c:v>
                </c:pt>
                <c:pt idx="13">
                  <c:v>24</c:v>
                </c:pt>
                <c:pt idx="14">
                  <c:v>14</c:v>
                </c:pt>
                <c:pt idx="15">
                  <c:v>11</c:v>
                </c:pt>
                <c:pt idx="16">
                  <c:v>11</c:v>
                </c:pt>
                <c:pt idx="17">
                  <c:v>17</c:v>
                </c:pt>
                <c:pt idx="18">
                  <c:v>4</c:v>
                </c:pt>
              </c:numCache>
            </c:numRef>
          </c:val>
          <c:extLst>
            <c:ext xmlns:c16="http://schemas.microsoft.com/office/drawing/2014/chart" uri="{C3380CC4-5D6E-409C-BE32-E72D297353CC}">
              <c16:uniqueId val="{00000000-58E7-46CD-97BF-AC81579AF82B}"/>
            </c:ext>
          </c:extLst>
        </c:ser>
        <c:ser>
          <c:idx val="1"/>
          <c:order val="1"/>
          <c:tx>
            <c:strRef>
              <c:f>Sheet14!$L$3:$L$4</c:f>
              <c:strCache>
                <c:ptCount val="1"/>
                <c:pt idx="0">
                  <c:v>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Sheet14!$L$5:$L$24</c:f>
              <c:numCache>
                <c:formatCode>General</c:formatCode>
                <c:ptCount val="19"/>
                <c:pt idx="0">
                  <c:v>5</c:v>
                </c:pt>
                <c:pt idx="1">
                  <c:v>4</c:v>
                </c:pt>
                <c:pt idx="2">
                  <c:v>8</c:v>
                </c:pt>
                <c:pt idx="3">
                  <c:v>12</c:v>
                </c:pt>
                <c:pt idx="4">
                  <c:v>9</c:v>
                </c:pt>
                <c:pt idx="5">
                  <c:v>9</c:v>
                </c:pt>
                <c:pt idx="6">
                  <c:v>3</c:v>
                </c:pt>
                <c:pt idx="7">
                  <c:v>9</c:v>
                </c:pt>
                <c:pt idx="8">
                  <c:v>7</c:v>
                </c:pt>
                <c:pt idx="9">
                  <c:v>3</c:v>
                </c:pt>
                <c:pt idx="10">
                  <c:v>3</c:v>
                </c:pt>
                <c:pt idx="11">
                  <c:v>9</c:v>
                </c:pt>
                <c:pt idx="12">
                  <c:v>6</c:v>
                </c:pt>
                <c:pt idx="13">
                  <c:v>11</c:v>
                </c:pt>
                <c:pt idx="14">
                  <c:v>12</c:v>
                </c:pt>
                <c:pt idx="15">
                  <c:v>6</c:v>
                </c:pt>
                <c:pt idx="16">
                  <c:v>10</c:v>
                </c:pt>
                <c:pt idx="17">
                  <c:v>7</c:v>
                </c:pt>
                <c:pt idx="18">
                  <c:v>1</c:v>
                </c:pt>
              </c:numCache>
            </c:numRef>
          </c:val>
          <c:extLst>
            <c:ext xmlns:c16="http://schemas.microsoft.com/office/drawing/2014/chart" uri="{C3380CC4-5D6E-409C-BE32-E72D297353CC}">
              <c16:uniqueId val="{00000001-33A1-428C-AFAF-95E72A8C497D}"/>
            </c:ext>
          </c:extLst>
        </c:ser>
        <c:ser>
          <c:idx val="2"/>
          <c:order val="2"/>
          <c:tx>
            <c:strRef>
              <c:f>Sheet14!$M$3:$M$4</c:f>
              <c:strCache>
                <c:ptCount val="1"/>
                <c:pt idx="0">
                  <c:v>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Sheet14!$M$5:$M$24</c:f>
              <c:numCache>
                <c:formatCode>General</c:formatCode>
                <c:ptCount val="19"/>
                <c:pt idx="0">
                  <c:v>7</c:v>
                </c:pt>
                <c:pt idx="1">
                  <c:v>4</c:v>
                </c:pt>
                <c:pt idx="2">
                  <c:v>17</c:v>
                </c:pt>
                <c:pt idx="3">
                  <c:v>10</c:v>
                </c:pt>
                <c:pt idx="4">
                  <c:v>13</c:v>
                </c:pt>
                <c:pt idx="5">
                  <c:v>17</c:v>
                </c:pt>
                <c:pt idx="6">
                  <c:v>7</c:v>
                </c:pt>
                <c:pt idx="7">
                  <c:v>10</c:v>
                </c:pt>
                <c:pt idx="8">
                  <c:v>19</c:v>
                </c:pt>
                <c:pt idx="9">
                  <c:v>6</c:v>
                </c:pt>
                <c:pt idx="10">
                  <c:v>8</c:v>
                </c:pt>
                <c:pt idx="11">
                  <c:v>21</c:v>
                </c:pt>
                <c:pt idx="12">
                  <c:v>12</c:v>
                </c:pt>
                <c:pt idx="13">
                  <c:v>27</c:v>
                </c:pt>
                <c:pt idx="14">
                  <c:v>25</c:v>
                </c:pt>
                <c:pt idx="15">
                  <c:v>10</c:v>
                </c:pt>
                <c:pt idx="16">
                  <c:v>20</c:v>
                </c:pt>
                <c:pt idx="17">
                  <c:v>19</c:v>
                </c:pt>
                <c:pt idx="18">
                  <c:v>2</c:v>
                </c:pt>
              </c:numCache>
            </c:numRef>
          </c:val>
          <c:extLst>
            <c:ext xmlns:c16="http://schemas.microsoft.com/office/drawing/2014/chart" uri="{C3380CC4-5D6E-409C-BE32-E72D297353CC}">
              <c16:uniqueId val="{00000002-33A1-428C-AFAF-95E72A8C497D}"/>
            </c:ext>
          </c:extLst>
        </c:ser>
        <c:ser>
          <c:idx val="3"/>
          <c:order val="3"/>
          <c:tx>
            <c:strRef>
              <c:f>Sheet14!$N$3:$N$4</c:f>
              <c:strCache>
                <c:ptCount val="1"/>
                <c:pt idx="0">
                  <c:v>Unknown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Sheet14!$N$5:$N$24</c:f>
              <c:numCache>
                <c:formatCode>General</c:formatCode>
                <c:ptCount val="19"/>
                <c:pt idx="1">
                  <c:v>1</c:v>
                </c:pt>
                <c:pt idx="2">
                  <c:v>3</c:v>
                </c:pt>
                <c:pt idx="3">
                  <c:v>1</c:v>
                </c:pt>
                <c:pt idx="6">
                  <c:v>4</c:v>
                </c:pt>
                <c:pt idx="12">
                  <c:v>3</c:v>
                </c:pt>
              </c:numCache>
            </c:numRef>
          </c:val>
          <c:extLst>
            <c:ext xmlns:c16="http://schemas.microsoft.com/office/drawing/2014/chart" uri="{C3380CC4-5D6E-409C-BE32-E72D297353CC}">
              <c16:uniqueId val="{00000003-33A1-428C-AFAF-95E72A8C497D}"/>
            </c:ext>
          </c:extLst>
        </c:ser>
        <c:dLbls>
          <c:showLegendKey val="0"/>
          <c:showVal val="0"/>
          <c:showCatName val="0"/>
          <c:showSerName val="0"/>
          <c:showPercent val="0"/>
          <c:showBubbleSize val="0"/>
        </c:dLbls>
        <c:gapWidth val="115"/>
        <c:overlap val="-20"/>
        <c:axId val="106786688"/>
        <c:axId val="1581914527"/>
      </c:barChart>
      <c:catAx>
        <c:axId val="106786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14527"/>
        <c:crosses val="autoZero"/>
        <c:auto val="1"/>
        <c:lblAlgn val="ctr"/>
        <c:lblOffset val="100"/>
        <c:noMultiLvlLbl val="0"/>
      </c:catAx>
      <c:valAx>
        <c:axId val="158191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8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[shibil123.xlsx]Sheet14!PivotTable1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solidFill>
                  <a:schemeClr val="accent4"/>
                </a:solidFill>
                <a:latin typeface="Aptos Black" panose="020B0004020202020204" pitchFamily="34" charset="0"/>
              </a:rPr>
              <a:t>MATCHES BY LEAGUE</a:t>
            </a:r>
          </a:p>
        </c:rich>
      </c:tx>
      <c:layout>
        <c:manualLayout>
          <c:xMode val="edge"/>
          <c:yMode val="edge"/>
          <c:x val="0.31608333333333338"/>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79981716675912E-2"/>
          <c:y val="0.22081576499551625"/>
          <c:w val="0.8940237250738744"/>
          <c:h val="0.62691974478799906"/>
        </c:manualLayout>
      </c:layout>
      <c:barChart>
        <c:barDir val="col"/>
        <c:grouping val="clustered"/>
        <c:varyColors val="0"/>
        <c:ser>
          <c:idx val="0"/>
          <c:order val="0"/>
          <c:tx>
            <c:strRef>
              <c:f>Sheet14!$B$3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Sheet14!$A$4:$A$10</c:f>
              <c:strCache>
                <c:ptCount val="6"/>
                <c:pt idx="0">
                  <c:v>Bundesliga</c:v>
                </c:pt>
                <c:pt idx="1">
                  <c:v>La Liga</c:v>
                </c:pt>
                <c:pt idx="2">
                  <c:v>Ligue 1</c:v>
                </c:pt>
                <c:pt idx="3">
                  <c:v>Premier League</c:v>
                </c:pt>
                <c:pt idx="4">
                  <c:v>Serie A</c:v>
                </c:pt>
                <c:pt idx="5">
                  <c:v>Unknown</c:v>
                </c:pt>
              </c:strCache>
            </c:strRef>
          </c:cat>
          <c:val>
            <c:numRef>
              <c:f>Sheet14!$B$4:$B$10</c:f>
              <c:numCache>
                <c:formatCode>General</c:formatCode>
                <c:ptCount val="6"/>
                <c:pt idx="0">
                  <c:v>55</c:v>
                </c:pt>
                <c:pt idx="1">
                  <c:v>114</c:v>
                </c:pt>
                <c:pt idx="2">
                  <c:v>125</c:v>
                </c:pt>
                <c:pt idx="3">
                  <c:v>177</c:v>
                </c:pt>
                <c:pt idx="4">
                  <c:v>117</c:v>
                </c:pt>
                <c:pt idx="5">
                  <c:v>12</c:v>
                </c:pt>
              </c:numCache>
            </c:numRef>
          </c:val>
          <c:extLst>
            <c:ext xmlns:c16="http://schemas.microsoft.com/office/drawing/2014/chart" uri="{C3380CC4-5D6E-409C-BE32-E72D297353CC}">
              <c16:uniqueId val="{00000000-4893-4361-A1C8-75752235BFEE}"/>
            </c:ext>
          </c:extLst>
        </c:ser>
        <c:dLbls>
          <c:dLblPos val="outEnd"/>
          <c:showLegendKey val="0"/>
          <c:showVal val="1"/>
          <c:showCatName val="0"/>
          <c:showSerName val="0"/>
          <c:showPercent val="0"/>
          <c:showBubbleSize val="0"/>
        </c:dLbls>
        <c:gapWidth val="315"/>
        <c:overlap val="-40"/>
        <c:axId val="2151487"/>
        <c:axId val="1581881407"/>
      </c:barChart>
      <c:catAx>
        <c:axId val="215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881407"/>
        <c:crosses val="autoZero"/>
        <c:auto val="1"/>
        <c:lblAlgn val="ctr"/>
        <c:lblOffset val="100"/>
        <c:noMultiLvlLbl val="0"/>
      </c:catAx>
      <c:valAx>
        <c:axId val="1581881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5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[shibil123.xlsx]Sheet14!PivotTable2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ptos Black" panose="020B0004020202020204" pitchFamily="34" charset="0"/>
              </a:rPr>
              <a:t>TOTAL GOALS BY TEAM</a:t>
            </a:r>
          </a:p>
        </c:rich>
      </c:tx>
      <c:layout>
        <c:manualLayout>
          <c:xMode val="edge"/>
          <c:yMode val="edge"/>
          <c:x val="0.31772234309947911"/>
          <c:y val="4.24049977795808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Sheet14!$E$3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Sheet14!$D$4:$D$23</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Sheet14!$E$4:$E$23</c:f>
              <c:numCache>
                <c:formatCode>General</c:formatCode>
                <c:ptCount val="19"/>
                <c:pt idx="0">
                  <c:v>28</c:v>
                </c:pt>
                <c:pt idx="1">
                  <c:v>26</c:v>
                </c:pt>
                <c:pt idx="2">
                  <c:v>64</c:v>
                </c:pt>
                <c:pt idx="3">
                  <c:v>56</c:v>
                </c:pt>
                <c:pt idx="4">
                  <c:v>71</c:v>
                </c:pt>
                <c:pt idx="5">
                  <c:v>59</c:v>
                </c:pt>
                <c:pt idx="6">
                  <c:v>37</c:v>
                </c:pt>
                <c:pt idx="7">
                  <c:v>50</c:v>
                </c:pt>
                <c:pt idx="8">
                  <c:v>73</c:v>
                </c:pt>
                <c:pt idx="9">
                  <c:v>29</c:v>
                </c:pt>
                <c:pt idx="10">
                  <c:v>35</c:v>
                </c:pt>
                <c:pt idx="11">
                  <c:v>94</c:v>
                </c:pt>
                <c:pt idx="12">
                  <c:v>50</c:v>
                </c:pt>
                <c:pt idx="13">
                  <c:v>111</c:v>
                </c:pt>
                <c:pt idx="14">
                  <c:v>102</c:v>
                </c:pt>
                <c:pt idx="15">
                  <c:v>48</c:v>
                </c:pt>
                <c:pt idx="16">
                  <c:v>86</c:v>
                </c:pt>
                <c:pt idx="17">
                  <c:v>88</c:v>
                </c:pt>
                <c:pt idx="18">
                  <c:v>12</c:v>
                </c:pt>
              </c:numCache>
            </c:numRef>
          </c:val>
          <c:extLst>
            <c:ext xmlns:c16="http://schemas.microsoft.com/office/drawing/2014/chart" uri="{C3380CC4-5D6E-409C-BE32-E72D297353CC}">
              <c16:uniqueId val="{00000000-C4F1-496A-9AA0-B01582FFE6C0}"/>
            </c:ext>
          </c:extLst>
        </c:ser>
        <c:dLbls>
          <c:dLblPos val="outEnd"/>
          <c:showLegendKey val="0"/>
          <c:showVal val="1"/>
          <c:showCatName val="0"/>
          <c:showSerName val="0"/>
          <c:showPercent val="0"/>
          <c:showBubbleSize val="0"/>
        </c:dLbls>
        <c:gapWidth val="115"/>
        <c:axId val="2192319"/>
        <c:axId val="1311792735"/>
      </c:barChart>
      <c:catAx>
        <c:axId val="2192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792735"/>
        <c:crosses val="autoZero"/>
        <c:auto val="1"/>
        <c:lblAlgn val="ctr"/>
        <c:lblOffset val="100"/>
        <c:noMultiLvlLbl val="0"/>
      </c:catAx>
      <c:valAx>
        <c:axId val="1311792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ptos Black" panose="020B0004020202020204" pitchFamily="34" charset="0"/>
              </a:rPr>
              <a:t>MATCH RESULT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366952744766798E-2"/>
              <c:y val="-0.13909165595085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277475097636539E-3"/>
              <c:y val="1.7203529075582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19352733701438"/>
          <c:y val="0.22446185660863652"/>
          <c:w val="0.41964986779517593"/>
          <c:h val="0.6665477434903978"/>
        </c:manualLayout>
      </c:layout>
      <c:pieChart>
        <c:varyColors val="1"/>
        <c:ser>
          <c:idx val="0"/>
          <c:order val="0"/>
          <c:tx>
            <c:strRef>
              <c:f>Sheet14!$H$3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26-4380-AEDF-8F60FE3E1F2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26-4380-AEDF-8F60FE3E1F2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26-4380-AEDF-8F60FE3E1F2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26-4380-AEDF-8F60FE3E1F22}"/>
              </c:ext>
            </c:extLst>
          </c:dPt>
          <c:dLbls>
            <c:dLbl>
              <c:idx val="1"/>
              <c:layout>
                <c:manualLayout>
                  <c:x val="-4.4366952744766798E-2"/>
                  <c:y val="-0.1390916559508501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26-4380-AEDF-8F60FE3E1F22}"/>
                </c:ext>
              </c:extLst>
            </c:dLbl>
            <c:dLbl>
              <c:idx val="3"/>
              <c:layout>
                <c:manualLayout>
                  <c:x val="3.5277475097636539E-3"/>
                  <c:y val="1.72035290755822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26-4380-AEDF-8F60FE3E1F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Sheet14!$G$4:$G$8</c:f>
              <c:strCache>
                <c:ptCount val="4"/>
                <c:pt idx="0">
                  <c:v>A</c:v>
                </c:pt>
                <c:pt idx="1">
                  <c:v>D</c:v>
                </c:pt>
                <c:pt idx="2">
                  <c:v>H</c:v>
                </c:pt>
                <c:pt idx="3">
                  <c:v>Unknown</c:v>
                </c:pt>
              </c:strCache>
            </c:strRef>
          </c:cat>
          <c:val>
            <c:numRef>
              <c:f>Sheet14!$H$4:$H$8</c:f>
              <c:numCache>
                <c:formatCode>General</c:formatCode>
                <c:ptCount val="4"/>
                <c:pt idx="0">
                  <c:v>200</c:v>
                </c:pt>
                <c:pt idx="1">
                  <c:v>134</c:v>
                </c:pt>
                <c:pt idx="2">
                  <c:v>254</c:v>
                </c:pt>
                <c:pt idx="3">
                  <c:v>12</c:v>
                </c:pt>
              </c:numCache>
            </c:numRef>
          </c:val>
          <c:extLst>
            <c:ext xmlns:c16="http://schemas.microsoft.com/office/drawing/2014/chart" uri="{C3380CC4-5D6E-409C-BE32-E72D297353CC}">
              <c16:uniqueId val="{00000008-0026-4380-AEDF-8F60FE3E1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[shibil123.xlsx]Sheet14!PivotTable4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ptos Black" panose="020B0004020202020204" pitchFamily="34" charset="0"/>
              </a:rPr>
              <a:t>AVG ATTENDENCE BY LEAGUE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3099974152237"/>
          <c:y val="0.16069568151467423"/>
          <c:w val="0.82328885600233992"/>
          <c:h val="0.68077301029747994"/>
        </c:manualLayout>
      </c:layout>
      <c:areaChart>
        <c:grouping val="standard"/>
        <c:varyColors val="0"/>
        <c:ser>
          <c:idx val="0"/>
          <c:order val="0"/>
          <c:tx>
            <c:strRef>
              <c:f>Sheet14!$H$10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Sheet14!$G$11:$G$17</c:f>
              <c:strCache>
                <c:ptCount val="6"/>
                <c:pt idx="0">
                  <c:v>Bundesliga</c:v>
                </c:pt>
                <c:pt idx="1">
                  <c:v>La Liga</c:v>
                </c:pt>
                <c:pt idx="2">
                  <c:v>Ligue 1</c:v>
                </c:pt>
                <c:pt idx="3">
                  <c:v>Premier League</c:v>
                </c:pt>
                <c:pt idx="4">
                  <c:v>Serie A</c:v>
                </c:pt>
                <c:pt idx="5">
                  <c:v>Unknown</c:v>
                </c:pt>
              </c:strCache>
            </c:strRef>
          </c:cat>
          <c:val>
            <c:numRef>
              <c:f>Sheet14!$H$11:$H$17</c:f>
              <c:numCache>
                <c:formatCode>General</c:formatCode>
                <c:ptCount val="6"/>
                <c:pt idx="0">
                  <c:v>43595.63636363636</c:v>
                </c:pt>
                <c:pt idx="1">
                  <c:v>43255.175438596489</c:v>
                </c:pt>
                <c:pt idx="2">
                  <c:v>41289.879999999997</c:v>
                </c:pt>
                <c:pt idx="3">
                  <c:v>45113.378531073446</c:v>
                </c:pt>
                <c:pt idx="4">
                  <c:v>48088.794871794875</c:v>
                </c:pt>
                <c:pt idx="5">
                  <c:v>52824.416666666664</c:v>
                </c:pt>
              </c:numCache>
            </c:numRef>
          </c:val>
          <c:extLst>
            <c:ext xmlns:c16="http://schemas.microsoft.com/office/drawing/2014/chart" uri="{C3380CC4-5D6E-409C-BE32-E72D297353CC}">
              <c16:uniqueId val="{00000000-4D45-4D61-BCED-06E441370FA9}"/>
            </c:ext>
          </c:extLst>
        </c:ser>
        <c:dLbls>
          <c:showLegendKey val="0"/>
          <c:showVal val="0"/>
          <c:showCatName val="0"/>
          <c:showSerName val="0"/>
          <c:showPercent val="0"/>
          <c:showBubbleSize val="0"/>
        </c:dLbls>
        <c:axId val="1781548191"/>
        <c:axId val="1311803295"/>
      </c:areaChart>
      <c:catAx>
        <c:axId val="178154819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803295"/>
        <c:crosses val="autoZero"/>
        <c:auto val="1"/>
        <c:lblAlgn val="ctr"/>
        <c:lblOffset val="100"/>
        <c:noMultiLvlLbl val="0"/>
      </c:catAx>
      <c:valAx>
        <c:axId val="131180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548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[shibil123.xlsx]Sheet14!PivotTable5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solidFill>
                  <a:schemeClr val="accent4"/>
                </a:solidFill>
                <a:latin typeface="Aptos Black" panose="020B0004020202020204" pitchFamily="34" charset="0"/>
              </a:rPr>
              <a:t>GOALS</a:t>
            </a:r>
            <a:r>
              <a:rPr lang="en-US" sz="1400" b="1" baseline="0">
                <a:solidFill>
                  <a:schemeClr val="accent4"/>
                </a:solidFill>
                <a:latin typeface="Aptos Black" panose="020B0004020202020204" pitchFamily="34" charset="0"/>
              </a:rPr>
              <a:t> BY SEASON</a:t>
            </a:r>
            <a:endParaRPr lang="en-US" sz="1400" b="1">
              <a:solidFill>
                <a:schemeClr val="accent4"/>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Sheet14!$H$19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Sheet14!$G$20:$G$25</c:f>
              <c:strCache>
                <c:ptCount val="5"/>
                <c:pt idx="0">
                  <c:v>2022/23</c:v>
                </c:pt>
                <c:pt idx="1">
                  <c:v>2023/24</c:v>
                </c:pt>
                <c:pt idx="2">
                  <c:v>2024/25</c:v>
                </c:pt>
                <c:pt idx="3">
                  <c:v>2025/26</c:v>
                </c:pt>
                <c:pt idx="4">
                  <c:v>Unknown</c:v>
                </c:pt>
              </c:strCache>
            </c:strRef>
          </c:cat>
          <c:val>
            <c:numRef>
              <c:f>Sheet14!$H$20:$H$25</c:f>
              <c:numCache>
                <c:formatCode>General</c:formatCode>
                <c:ptCount val="5"/>
                <c:pt idx="0">
                  <c:v>184</c:v>
                </c:pt>
                <c:pt idx="1">
                  <c:v>190</c:v>
                </c:pt>
                <c:pt idx="2">
                  <c:v>173</c:v>
                </c:pt>
                <c:pt idx="3">
                  <c:v>339</c:v>
                </c:pt>
                <c:pt idx="4">
                  <c:v>233</c:v>
                </c:pt>
              </c:numCache>
            </c:numRef>
          </c:val>
          <c:smooth val="0"/>
          <c:extLst>
            <c:ext xmlns:c16="http://schemas.microsoft.com/office/drawing/2014/chart" uri="{C3380CC4-5D6E-409C-BE32-E72D297353CC}">
              <c16:uniqueId val="{00000000-5A56-418B-80F3-AA0FF502E698}"/>
            </c:ext>
          </c:extLst>
        </c:ser>
        <c:dLbls>
          <c:dLblPos val="t"/>
          <c:showLegendKey val="0"/>
          <c:showVal val="1"/>
          <c:showCatName val="0"/>
          <c:showSerName val="0"/>
          <c:showPercent val="0"/>
          <c:showBubbleSize val="0"/>
        </c:dLbls>
        <c:marker val="1"/>
        <c:smooth val="0"/>
        <c:axId val="2148239"/>
        <c:axId val="1352997727"/>
      </c:lineChart>
      <c:catAx>
        <c:axId val="2148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997727"/>
        <c:crosses val="autoZero"/>
        <c:auto val="1"/>
        <c:lblAlgn val="ctr"/>
        <c:lblOffset val="100"/>
        <c:noMultiLvlLbl val="0"/>
      </c:catAx>
      <c:valAx>
        <c:axId val="135299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[shibil123.xlsx]Sheet14!PivotTable6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solidFill>
                  <a:schemeClr val="accent4"/>
                </a:solidFill>
                <a:latin typeface="Aptos Black" panose="020B0004020202020204" pitchFamily="34" charset="0"/>
              </a:rPr>
              <a:t>HOME</a:t>
            </a:r>
            <a:r>
              <a:rPr lang="en-IN" sz="1400" baseline="0">
                <a:solidFill>
                  <a:schemeClr val="accent4"/>
                </a:solidFill>
                <a:latin typeface="Aptos Black" panose="020B0004020202020204" pitchFamily="34" charset="0"/>
              </a:rPr>
              <a:t> TEAM  PERFOMANCE</a:t>
            </a:r>
            <a:endParaRPr lang="en-IN" sz="1400">
              <a:solidFill>
                <a:schemeClr val="accent4"/>
              </a:solidFill>
              <a:latin typeface="Aptos Black"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7049143242091"/>
          <c:y val="0.1680154831216924"/>
          <c:w val="0.66000358534616022"/>
          <c:h val="0.72689775068849738"/>
        </c:manualLayout>
      </c:layout>
      <c:barChart>
        <c:barDir val="bar"/>
        <c:grouping val="clustered"/>
        <c:varyColors val="0"/>
        <c:ser>
          <c:idx val="0"/>
          <c:order val="0"/>
          <c:tx>
            <c:strRef>
              <c:f>Sheet14!$K$3:$K$4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Sheet14!$K$5:$K$24</c:f>
              <c:numCache>
                <c:formatCode>General</c:formatCode>
                <c:ptCount val="19"/>
                <c:pt idx="0">
                  <c:v>7</c:v>
                </c:pt>
                <c:pt idx="1">
                  <c:v>3</c:v>
                </c:pt>
                <c:pt idx="2">
                  <c:v>5</c:v>
                </c:pt>
                <c:pt idx="3">
                  <c:v>4</c:v>
                </c:pt>
                <c:pt idx="4">
                  <c:v>14</c:v>
                </c:pt>
                <c:pt idx="5">
                  <c:v>8</c:v>
                </c:pt>
                <c:pt idx="6">
                  <c:v>9</c:v>
                </c:pt>
                <c:pt idx="7">
                  <c:v>9</c:v>
                </c:pt>
                <c:pt idx="8">
                  <c:v>15</c:v>
                </c:pt>
                <c:pt idx="9">
                  <c:v>5</c:v>
                </c:pt>
                <c:pt idx="10">
                  <c:v>7</c:v>
                </c:pt>
                <c:pt idx="11">
                  <c:v>19</c:v>
                </c:pt>
                <c:pt idx="12">
                  <c:v>14</c:v>
                </c:pt>
                <c:pt idx="13">
                  <c:v>24</c:v>
                </c:pt>
                <c:pt idx="14">
                  <c:v>14</c:v>
                </c:pt>
                <c:pt idx="15">
                  <c:v>11</c:v>
                </c:pt>
                <c:pt idx="16">
                  <c:v>11</c:v>
                </c:pt>
                <c:pt idx="17">
                  <c:v>17</c:v>
                </c:pt>
                <c:pt idx="18">
                  <c:v>4</c:v>
                </c:pt>
              </c:numCache>
            </c:numRef>
          </c:val>
          <c:extLst>
            <c:ext xmlns:c16="http://schemas.microsoft.com/office/drawing/2014/chart" uri="{C3380CC4-5D6E-409C-BE32-E72D297353CC}">
              <c16:uniqueId val="{00000000-6259-4A46-8D37-0D2F85C2CB65}"/>
            </c:ext>
          </c:extLst>
        </c:ser>
        <c:ser>
          <c:idx val="1"/>
          <c:order val="1"/>
          <c:tx>
            <c:strRef>
              <c:f>Sheet14!$L$3:$L$4</c:f>
              <c:strCache>
                <c:ptCount val="1"/>
                <c:pt idx="0">
                  <c:v>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Sheet14!$L$5:$L$24</c:f>
              <c:numCache>
                <c:formatCode>General</c:formatCode>
                <c:ptCount val="19"/>
                <c:pt idx="0">
                  <c:v>5</c:v>
                </c:pt>
                <c:pt idx="1">
                  <c:v>4</c:v>
                </c:pt>
                <c:pt idx="2">
                  <c:v>8</c:v>
                </c:pt>
                <c:pt idx="3">
                  <c:v>12</c:v>
                </c:pt>
                <c:pt idx="4">
                  <c:v>9</c:v>
                </c:pt>
                <c:pt idx="5">
                  <c:v>9</c:v>
                </c:pt>
                <c:pt idx="6">
                  <c:v>3</c:v>
                </c:pt>
                <c:pt idx="7">
                  <c:v>9</c:v>
                </c:pt>
                <c:pt idx="8">
                  <c:v>7</c:v>
                </c:pt>
                <c:pt idx="9">
                  <c:v>3</c:v>
                </c:pt>
                <c:pt idx="10">
                  <c:v>3</c:v>
                </c:pt>
                <c:pt idx="11">
                  <c:v>9</c:v>
                </c:pt>
                <c:pt idx="12">
                  <c:v>6</c:v>
                </c:pt>
                <c:pt idx="13">
                  <c:v>11</c:v>
                </c:pt>
                <c:pt idx="14">
                  <c:v>12</c:v>
                </c:pt>
                <c:pt idx="15">
                  <c:v>6</c:v>
                </c:pt>
                <c:pt idx="16">
                  <c:v>10</c:v>
                </c:pt>
                <c:pt idx="17">
                  <c:v>7</c:v>
                </c:pt>
                <c:pt idx="18">
                  <c:v>1</c:v>
                </c:pt>
              </c:numCache>
            </c:numRef>
          </c:val>
          <c:extLst>
            <c:ext xmlns:c16="http://schemas.microsoft.com/office/drawing/2014/chart" uri="{C3380CC4-5D6E-409C-BE32-E72D297353CC}">
              <c16:uniqueId val="{00000002-0002-482F-B636-057E79151617}"/>
            </c:ext>
          </c:extLst>
        </c:ser>
        <c:ser>
          <c:idx val="2"/>
          <c:order val="2"/>
          <c:tx>
            <c:strRef>
              <c:f>Sheet14!$M$3:$M$4</c:f>
              <c:strCache>
                <c:ptCount val="1"/>
                <c:pt idx="0">
                  <c:v>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Sheet14!$M$5:$M$24</c:f>
              <c:numCache>
                <c:formatCode>General</c:formatCode>
                <c:ptCount val="19"/>
                <c:pt idx="0">
                  <c:v>7</c:v>
                </c:pt>
                <c:pt idx="1">
                  <c:v>4</c:v>
                </c:pt>
                <c:pt idx="2">
                  <c:v>17</c:v>
                </c:pt>
                <c:pt idx="3">
                  <c:v>10</c:v>
                </c:pt>
                <c:pt idx="4">
                  <c:v>13</c:v>
                </c:pt>
                <c:pt idx="5">
                  <c:v>17</c:v>
                </c:pt>
                <c:pt idx="6">
                  <c:v>7</c:v>
                </c:pt>
                <c:pt idx="7">
                  <c:v>10</c:v>
                </c:pt>
                <c:pt idx="8">
                  <c:v>19</c:v>
                </c:pt>
                <c:pt idx="9">
                  <c:v>6</c:v>
                </c:pt>
                <c:pt idx="10">
                  <c:v>8</c:v>
                </c:pt>
                <c:pt idx="11">
                  <c:v>21</c:v>
                </c:pt>
                <c:pt idx="12">
                  <c:v>12</c:v>
                </c:pt>
                <c:pt idx="13">
                  <c:v>27</c:v>
                </c:pt>
                <c:pt idx="14">
                  <c:v>25</c:v>
                </c:pt>
                <c:pt idx="15">
                  <c:v>10</c:v>
                </c:pt>
                <c:pt idx="16">
                  <c:v>20</c:v>
                </c:pt>
                <c:pt idx="17">
                  <c:v>19</c:v>
                </c:pt>
                <c:pt idx="18">
                  <c:v>2</c:v>
                </c:pt>
              </c:numCache>
            </c:numRef>
          </c:val>
          <c:extLst>
            <c:ext xmlns:c16="http://schemas.microsoft.com/office/drawing/2014/chart" uri="{C3380CC4-5D6E-409C-BE32-E72D297353CC}">
              <c16:uniqueId val="{00000003-0002-482F-B636-057E79151617}"/>
            </c:ext>
          </c:extLst>
        </c:ser>
        <c:ser>
          <c:idx val="3"/>
          <c:order val="3"/>
          <c:tx>
            <c:strRef>
              <c:f>Sheet14!$N$3:$N$4</c:f>
              <c:strCache>
                <c:ptCount val="1"/>
                <c:pt idx="0">
                  <c:v>Unknown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Sheet14!$J$5:$J$24</c:f>
              <c:strCache>
                <c:ptCount val="19"/>
                <c:pt idx="0">
                  <c:v>Ac Milan</c:v>
                </c:pt>
                <c:pt idx="1">
                  <c:v>Ajax</c:v>
                </c:pt>
                <c:pt idx="2">
                  <c:v>Arsenal</c:v>
                </c:pt>
                <c:pt idx="3">
                  <c:v>Atletico Madrid</c:v>
                </c:pt>
                <c:pt idx="4">
                  <c:v>Barcelona</c:v>
                </c:pt>
                <c:pt idx="5">
                  <c:v>Bayern Munich</c:v>
                </c:pt>
                <c:pt idx="6">
                  <c:v>Benfica</c:v>
                </c:pt>
                <c:pt idx="7">
                  <c:v>Borussia Dortmund</c:v>
                </c:pt>
                <c:pt idx="8">
                  <c:v>Chelsea</c:v>
                </c:pt>
                <c:pt idx="9">
                  <c:v>Inter Milan</c:v>
                </c:pt>
                <c:pt idx="10">
                  <c:v>Juventus</c:v>
                </c:pt>
                <c:pt idx="11">
                  <c:v>Liverpool</c:v>
                </c:pt>
                <c:pt idx="12">
                  <c:v>Manchester City</c:v>
                </c:pt>
                <c:pt idx="13">
                  <c:v>Manchester United</c:v>
                </c:pt>
                <c:pt idx="14">
                  <c:v>Newcastle United</c:v>
                </c:pt>
                <c:pt idx="15">
                  <c:v>Paris Saint-Germain</c:v>
                </c:pt>
                <c:pt idx="16">
                  <c:v>Real Madrid</c:v>
                </c:pt>
                <c:pt idx="17">
                  <c:v>Tottenham Hotspur</c:v>
                </c:pt>
                <c:pt idx="18">
                  <c:v>Unknown</c:v>
                </c:pt>
              </c:strCache>
            </c:strRef>
          </c:cat>
          <c:val>
            <c:numRef>
              <c:f>Sheet14!$N$5:$N$24</c:f>
              <c:numCache>
                <c:formatCode>General</c:formatCode>
                <c:ptCount val="19"/>
                <c:pt idx="1">
                  <c:v>1</c:v>
                </c:pt>
                <c:pt idx="2">
                  <c:v>3</c:v>
                </c:pt>
                <c:pt idx="3">
                  <c:v>1</c:v>
                </c:pt>
                <c:pt idx="6">
                  <c:v>4</c:v>
                </c:pt>
                <c:pt idx="12">
                  <c:v>3</c:v>
                </c:pt>
              </c:numCache>
            </c:numRef>
          </c:val>
          <c:extLst>
            <c:ext xmlns:c16="http://schemas.microsoft.com/office/drawing/2014/chart" uri="{C3380CC4-5D6E-409C-BE32-E72D297353CC}">
              <c16:uniqueId val="{00000004-0002-482F-B636-057E79151617}"/>
            </c:ext>
          </c:extLst>
        </c:ser>
        <c:dLbls>
          <c:showLegendKey val="0"/>
          <c:showVal val="0"/>
          <c:showCatName val="0"/>
          <c:showSerName val="0"/>
          <c:showPercent val="0"/>
          <c:showBubbleSize val="0"/>
        </c:dLbls>
        <c:gapWidth val="115"/>
        <c:overlap val="-20"/>
        <c:axId val="106786688"/>
        <c:axId val="1581914527"/>
      </c:barChart>
      <c:catAx>
        <c:axId val="106786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14527"/>
        <c:crosses val="autoZero"/>
        <c:auto val="1"/>
        <c:lblAlgn val="ctr"/>
        <c:lblOffset val="100"/>
        <c:noMultiLvlLbl val="0"/>
      </c:catAx>
      <c:valAx>
        <c:axId val="158191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86688"/>
        <c:crosses val="autoZero"/>
        <c:crossBetween val="between"/>
      </c:valAx>
      <c:spPr>
        <a:noFill/>
        <a:ln>
          <a:noFill/>
        </a:ln>
        <a:effectLst/>
      </c:spPr>
    </c:plotArea>
    <c:legend>
      <c:legendPos val="r"/>
      <c:layout>
        <c:manualLayout>
          <c:xMode val="edge"/>
          <c:yMode val="edge"/>
          <c:x val="0.86450709733672226"/>
          <c:y val="0.39714663701874292"/>
          <c:w val="0.13549290266327776"/>
          <c:h val="0.30577310563784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5.png"/><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image" Target="../media/image6.svg"/><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24.xml"/><Relationship Id="rId7" Type="http://schemas.openxmlformats.org/officeDocument/2006/relationships/image" Target="../media/image7.png"/><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104775</xdr:colOff>
      <xdr:row>46</xdr:row>
      <xdr:rowOff>176212</xdr:rowOff>
    </xdr:from>
    <xdr:to>
      <xdr:col>4</xdr:col>
      <xdr:colOff>0</xdr:colOff>
      <xdr:row>61</xdr:row>
      <xdr:rowOff>61912</xdr:rowOff>
    </xdr:to>
    <xdr:graphicFrame macro="">
      <xdr:nvGraphicFramePr>
        <xdr:cNvPr id="2" name="Chart 1">
          <a:extLst>
            <a:ext uri="{FF2B5EF4-FFF2-40B4-BE49-F238E27FC236}">
              <a16:creationId xmlns:a16="http://schemas.microsoft.com/office/drawing/2014/main" id="{AF5CA012-0D66-17F1-F6A2-4D96A4758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32</xdr:row>
      <xdr:rowOff>33337</xdr:rowOff>
    </xdr:from>
    <xdr:to>
      <xdr:col>3</xdr:col>
      <xdr:colOff>1066799</xdr:colOff>
      <xdr:row>46</xdr:row>
      <xdr:rowOff>109537</xdr:rowOff>
    </xdr:to>
    <xdr:graphicFrame macro="">
      <xdr:nvGraphicFramePr>
        <xdr:cNvPr id="3" name="Chart 2">
          <a:extLst>
            <a:ext uri="{FF2B5EF4-FFF2-40B4-BE49-F238E27FC236}">
              <a16:creationId xmlns:a16="http://schemas.microsoft.com/office/drawing/2014/main" id="{1AB603E2-083B-3A04-5E39-F79D96136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695325</xdr:colOff>
      <xdr:row>45</xdr:row>
      <xdr:rowOff>157162</xdr:rowOff>
    </xdr:from>
    <xdr:to>
      <xdr:col>14</xdr:col>
      <xdr:colOff>1152525</xdr:colOff>
      <xdr:row>60</xdr:row>
      <xdr:rowOff>42862</xdr:rowOff>
    </xdr:to>
    <xdr:graphicFrame macro="">
      <xdr:nvGraphicFramePr>
        <xdr:cNvPr id="6" name="Chart 5">
          <a:extLst>
            <a:ext uri="{FF2B5EF4-FFF2-40B4-BE49-F238E27FC236}">
              <a16:creationId xmlns:a16="http://schemas.microsoft.com/office/drawing/2014/main" id="{CD7363F4-46A5-F880-DAE3-943CA05BB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46</xdr:row>
      <xdr:rowOff>166687</xdr:rowOff>
    </xdr:from>
    <xdr:to>
      <xdr:col>9</xdr:col>
      <xdr:colOff>552450</xdr:colOff>
      <xdr:row>61</xdr:row>
      <xdr:rowOff>52387</xdr:rowOff>
    </xdr:to>
    <xdr:graphicFrame macro="">
      <xdr:nvGraphicFramePr>
        <xdr:cNvPr id="7" name="Chart 6">
          <a:extLst>
            <a:ext uri="{FF2B5EF4-FFF2-40B4-BE49-F238E27FC236}">
              <a16:creationId xmlns:a16="http://schemas.microsoft.com/office/drawing/2014/main" id="{C7023142-FC1D-F3A1-C25F-33BF22DE1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1066799</xdr:colOff>
      <xdr:row>31</xdr:row>
      <xdr:rowOff>185737</xdr:rowOff>
    </xdr:from>
    <xdr:to>
      <xdr:col>9</xdr:col>
      <xdr:colOff>523875</xdr:colOff>
      <xdr:row>46</xdr:row>
      <xdr:rowOff>71437</xdr:rowOff>
    </xdr:to>
    <xdr:graphicFrame macro="">
      <xdr:nvGraphicFramePr>
        <xdr:cNvPr id="10" name="Chart 9">
          <a:extLst>
            <a:ext uri="{FF2B5EF4-FFF2-40B4-BE49-F238E27FC236}">
              <a16:creationId xmlns:a16="http://schemas.microsoft.com/office/drawing/2014/main" id="{3BB9CFA7-D350-4C07-5093-4155E73D8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600074</xdr:colOff>
      <xdr:row>30</xdr:row>
      <xdr:rowOff>157162</xdr:rowOff>
    </xdr:from>
    <xdr:to>
      <xdr:col>14</xdr:col>
      <xdr:colOff>1228724</xdr:colOff>
      <xdr:row>45</xdr:row>
      <xdr:rowOff>42862</xdr:rowOff>
    </xdr:to>
    <xdr:graphicFrame macro="">
      <xdr:nvGraphicFramePr>
        <xdr:cNvPr id="11" name="Chart 10">
          <a:extLst>
            <a:ext uri="{FF2B5EF4-FFF2-40B4-BE49-F238E27FC236}">
              <a16:creationId xmlns:a16="http://schemas.microsoft.com/office/drawing/2014/main" id="{C64139A0-AB24-D861-F644-6D09B6F38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38100</xdr:colOff>
      <xdr:row>0</xdr:row>
      <xdr:rowOff>152400</xdr:rowOff>
    </xdr:from>
    <xdr:to>
      <xdr:col>14</xdr:col>
      <xdr:colOff>142875</xdr:colOff>
      <xdr:row>8</xdr:row>
      <xdr:rowOff>66675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C78BE6E-0246-073E-C304-DBB8271D17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06200" y="15240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8</xdr:row>
      <xdr:rowOff>104775</xdr:rowOff>
    </xdr:from>
    <xdr:to>
      <xdr:col>14</xdr:col>
      <xdr:colOff>85725</xdr:colOff>
      <xdr:row>18</xdr:row>
      <xdr:rowOff>152400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8B92C3C-5830-FF89-5BCA-27F985883A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49050" y="1628775"/>
              <a:ext cx="182880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333375</xdr:colOff>
      <xdr:row>8</xdr:row>
      <xdr:rowOff>66675</xdr:rowOff>
    </xdr:from>
    <xdr:to>
      <xdr:col>15</xdr:col>
      <xdr:colOff>904875</xdr:colOff>
      <xdr:row>21</xdr:row>
      <xdr:rowOff>114300</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0515005F-0AA7-88A0-8527-6A921546C87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3525500" y="1590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0</xdr:row>
      <xdr:rowOff>180976</xdr:rowOff>
    </xdr:from>
    <xdr:to>
      <xdr:col>15</xdr:col>
      <xdr:colOff>895350</xdr:colOff>
      <xdr:row>8</xdr:row>
      <xdr:rowOff>9526</xdr:rowOff>
    </xdr:to>
    <mc:AlternateContent xmlns:mc="http://schemas.openxmlformats.org/markup-compatibility/2006" xmlns:a14="http://schemas.microsoft.com/office/drawing/2010/main">
      <mc:Choice Requires="a14">
        <xdr:graphicFrame macro="">
          <xdr:nvGraphicFramePr>
            <xdr:cNvPr id="9" name="Notes">
              <a:extLst>
                <a:ext uri="{FF2B5EF4-FFF2-40B4-BE49-F238E27FC236}">
                  <a16:creationId xmlns:a16="http://schemas.microsoft.com/office/drawing/2014/main" id="{889448FC-B7A0-11C9-A622-B6CA8033CC9A}"/>
                </a:ext>
              </a:extLst>
            </xdr:cNvPr>
            <xdr:cNvGraphicFramePr/>
          </xdr:nvGraphicFramePr>
          <xdr:xfrm>
            <a:off x="0" y="0"/>
            <a:ext cx="0" cy="0"/>
          </xdr:xfrm>
          <a:graphic>
            <a:graphicData uri="http://schemas.microsoft.com/office/drawing/2010/slicer">
              <sle:slicer xmlns:sle="http://schemas.microsoft.com/office/drawing/2010/slicer" name="Notes"/>
            </a:graphicData>
          </a:graphic>
        </xdr:graphicFrame>
      </mc:Choice>
      <mc:Fallback xmlns="">
        <xdr:sp macro="" textlink="">
          <xdr:nvSpPr>
            <xdr:cNvPr id="0" name=""/>
            <xdr:cNvSpPr>
              <a:spLocks noTextEdit="1"/>
            </xdr:cNvSpPr>
          </xdr:nvSpPr>
          <xdr:spPr>
            <a:xfrm>
              <a:off x="13468350" y="180976"/>
              <a:ext cx="1876425"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819150</xdr:colOff>
      <xdr:row>19</xdr:row>
      <xdr:rowOff>19050</xdr:rowOff>
    </xdr:from>
    <xdr:to>
      <xdr:col>14</xdr:col>
      <xdr:colOff>28575</xdr:colOff>
      <xdr:row>26</xdr:row>
      <xdr:rowOff>57150</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8981FED6-6448-6C5C-7FE9-1B5544B0418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886950" y="36385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304799</xdr:colOff>
      <xdr:row>0</xdr:row>
      <xdr:rowOff>123824</xdr:rowOff>
    </xdr:from>
    <xdr:to>
      <xdr:col>12</xdr:col>
      <xdr:colOff>342900</xdr:colOff>
      <xdr:row>4</xdr:row>
      <xdr:rowOff>19049</xdr:rowOff>
    </xdr:to>
    <xdr:sp macro="" textlink="">
      <xdr:nvSpPr>
        <xdr:cNvPr id="2" name="TextBox 1">
          <a:extLst>
            <a:ext uri="{FF2B5EF4-FFF2-40B4-BE49-F238E27FC236}">
              <a16:creationId xmlns:a16="http://schemas.microsoft.com/office/drawing/2014/main" id="{93E5254E-87DE-1D09-C157-64DC9738B308}"/>
            </a:ext>
          </a:extLst>
        </xdr:cNvPr>
        <xdr:cNvSpPr txBox="1"/>
      </xdr:nvSpPr>
      <xdr:spPr>
        <a:xfrm>
          <a:off x="3352799" y="123824"/>
          <a:ext cx="6229351" cy="657225"/>
        </a:xfrm>
        <a:prstGeom prst="rect">
          <a:avLst/>
        </a:prstGeom>
        <a:solidFill>
          <a:schemeClr val="accent2">
            <a:lumMod val="60000"/>
            <a:lumOff val="40000"/>
          </a:schemeClr>
        </a:solidFill>
        <a:ln w="57150" cmpd="sng">
          <a:solidFill>
            <a:schemeClr val="accent2">
              <a:lumMod val="60000"/>
              <a:lumOff val="40000"/>
            </a:schemeClr>
          </a:solid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2">
                  <a:lumMod val="50000"/>
                </a:schemeClr>
              </a:solidFill>
            </a:rPr>
            <a:t>SALES</a:t>
          </a:r>
          <a:r>
            <a:rPr lang="en-IN" sz="2800" b="1" baseline="0">
              <a:solidFill>
                <a:schemeClr val="accent2">
                  <a:lumMod val="50000"/>
                </a:schemeClr>
              </a:solidFill>
            </a:rPr>
            <a:t> ANALYSIS REPORT</a:t>
          </a:r>
          <a:endParaRPr lang="en-IN" sz="2800" b="1">
            <a:solidFill>
              <a:schemeClr val="accent2">
                <a:lumMod val="50000"/>
              </a:schemeClr>
            </a:solidFill>
          </a:endParaRPr>
        </a:p>
      </xdr:txBody>
    </xdr:sp>
    <xdr:clientData/>
  </xdr:twoCellAnchor>
  <xdr:twoCellAnchor editAs="oneCell">
    <xdr:from>
      <xdr:col>5</xdr:col>
      <xdr:colOff>447675</xdr:colOff>
      <xdr:row>0</xdr:row>
      <xdr:rowOff>104775</xdr:rowOff>
    </xdr:from>
    <xdr:to>
      <xdr:col>7</xdr:col>
      <xdr:colOff>142875</xdr:colOff>
      <xdr:row>3</xdr:row>
      <xdr:rowOff>161925</xdr:rowOff>
    </xdr:to>
    <xdr:pic>
      <xdr:nvPicPr>
        <xdr:cNvPr id="8" name="Graphic 7" descr="Checklist with solid fill">
          <a:extLst>
            <a:ext uri="{FF2B5EF4-FFF2-40B4-BE49-F238E27FC236}">
              <a16:creationId xmlns:a16="http://schemas.microsoft.com/office/drawing/2014/main" id="{502DEF57-576C-9A4C-F26B-33AE8C7A92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95675" y="104775"/>
          <a:ext cx="914400" cy="628650"/>
        </a:xfrm>
        <a:prstGeom prst="rect">
          <a:avLst/>
        </a:prstGeom>
      </xdr:spPr>
    </xdr:pic>
    <xdr:clientData/>
  </xdr:twoCellAnchor>
  <xdr:twoCellAnchor editAs="oneCell">
    <xdr:from>
      <xdr:col>11</xdr:col>
      <xdr:colOff>704850</xdr:colOff>
      <xdr:row>0</xdr:row>
      <xdr:rowOff>114300</xdr:rowOff>
    </xdr:from>
    <xdr:to>
      <xdr:col>12</xdr:col>
      <xdr:colOff>133350</xdr:colOff>
      <xdr:row>4</xdr:row>
      <xdr:rowOff>57150</xdr:rowOff>
    </xdr:to>
    <xdr:pic>
      <xdr:nvPicPr>
        <xdr:cNvPr id="10" name="Graphic 9" descr="Calculator with solid fill">
          <a:extLst>
            <a:ext uri="{FF2B5EF4-FFF2-40B4-BE49-F238E27FC236}">
              <a16:creationId xmlns:a16="http://schemas.microsoft.com/office/drawing/2014/main" id="{A20510EB-7EFF-3677-57B4-C08962B548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82025" y="114300"/>
          <a:ext cx="895350" cy="704850"/>
        </a:xfrm>
        <a:prstGeom prst="rect">
          <a:avLst/>
        </a:prstGeom>
      </xdr:spPr>
    </xdr:pic>
    <xdr:clientData/>
  </xdr:twoCellAnchor>
  <xdr:twoCellAnchor editAs="oneCell">
    <xdr:from>
      <xdr:col>0</xdr:col>
      <xdr:colOff>57149</xdr:colOff>
      <xdr:row>7</xdr:row>
      <xdr:rowOff>76200</xdr:rowOff>
    </xdr:from>
    <xdr:to>
      <xdr:col>3</xdr:col>
      <xdr:colOff>371474</xdr:colOff>
      <xdr:row>11</xdr:row>
      <xdr:rowOff>180976</xdr:rowOff>
    </xdr:to>
    <mc:AlternateContent xmlns:mc="http://schemas.openxmlformats.org/markup-compatibility/2006" xmlns:a14="http://schemas.microsoft.com/office/drawing/2010/main">
      <mc:Choice Requires="a14">
        <xdr:graphicFrame macro="">
          <xdr:nvGraphicFramePr>
            <xdr:cNvPr id="23" name="Region 2">
              <a:extLst>
                <a:ext uri="{FF2B5EF4-FFF2-40B4-BE49-F238E27FC236}">
                  <a16:creationId xmlns:a16="http://schemas.microsoft.com/office/drawing/2014/main" id="{BFA95B4F-97C4-4CFA-B1D3-7EAC31F3B82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7149" y="1409700"/>
              <a:ext cx="2143125" cy="866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85724</xdr:rowOff>
    </xdr:from>
    <xdr:to>
      <xdr:col>3</xdr:col>
      <xdr:colOff>371475</xdr:colOff>
      <xdr:row>18</xdr:row>
      <xdr:rowOff>66675</xdr:rowOff>
    </xdr:to>
    <mc:AlternateContent xmlns:mc="http://schemas.openxmlformats.org/markup-compatibility/2006" xmlns:a14="http://schemas.microsoft.com/office/drawing/2010/main">
      <mc:Choice Requires="a14">
        <xdr:graphicFrame macro="">
          <xdr:nvGraphicFramePr>
            <xdr:cNvPr id="24" name="Notes 2">
              <a:extLst>
                <a:ext uri="{FF2B5EF4-FFF2-40B4-BE49-F238E27FC236}">
                  <a16:creationId xmlns:a16="http://schemas.microsoft.com/office/drawing/2014/main" id="{BB1A9377-831D-419E-9C29-2B188694E8D5}"/>
                </a:ext>
              </a:extLst>
            </xdr:cNvPr>
            <xdr:cNvGraphicFramePr/>
          </xdr:nvGraphicFramePr>
          <xdr:xfrm>
            <a:off x="0" y="0"/>
            <a:ext cx="0" cy="0"/>
          </xdr:xfrm>
          <a:graphic>
            <a:graphicData uri="http://schemas.microsoft.com/office/drawing/2010/slicer">
              <sle:slicer xmlns:sle="http://schemas.microsoft.com/office/drawing/2010/slicer" name="Notes 2"/>
            </a:graphicData>
          </a:graphic>
        </xdr:graphicFrame>
      </mc:Choice>
      <mc:Fallback xmlns="">
        <xdr:sp macro="" textlink="">
          <xdr:nvSpPr>
            <xdr:cNvPr id="0" name=""/>
            <xdr:cNvSpPr>
              <a:spLocks noTextEdit="1"/>
            </xdr:cNvSpPr>
          </xdr:nvSpPr>
          <xdr:spPr>
            <a:xfrm>
              <a:off x="57150" y="2371724"/>
              <a:ext cx="2143125" cy="1123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18</xdr:row>
      <xdr:rowOff>133352</xdr:rowOff>
    </xdr:from>
    <xdr:to>
      <xdr:col>3</xdr:col>
      <xdr:colOff>352425</xdr:colOff>
      <xdr:row>24</xdr:row>
      <xdr:rowOff>66676</xdr:rowOff>
    </xdr:to>
    <mc:AlternateContent xmlns:mc="http://schemas.openxmlformats.org/markup-compatibility/2006" xmlns:a14="http://schemas.microsoft.com/office/drawing/2010/main">
      <mc:Choice Requires="a14">
        <xdr:graphicFrame macro="">
          <xdr:nvGraphicFramePr>
            <xdr:cNvPr id="25" name="Category 2">
              <a:extLst>
                <a:ext uri="{FF2B5EF4-FFF2-40B4-BE49-F238E27FC236}">
                  <a16:creationId xmlns:a16="http://schemas.microsoft.com/office/drawing/2014/main" id="{116CF338-FACF-4324-BC9C-3043DEE0A7D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7625" y="3562352"/>
              <a:ext cx="2133600" cy="1076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24</xdr:row>
      <xdr:rowOff>171451</xdr:rowOff>
    </xdr:from>
    <xdr:to>
      <xdr:col>3</xdr:col>
      <xdr:colOff>361950</xdr:colOff>
      <xdr:row>32</xdr:row>
      <xdr:rowOff>57151</xdr:rowOff>
    </xdr:to>
    <mc:AlternateContent xmlns:mc="http://schemas.openxmlformats.org/markup-compatibility/2006" xmlns:a14="http://schemas.microsoft.com/office/drawing/2010/main">
      <mc:Choice Requires="a14">
        <xdr:graphicFrame macro="">
          <xdr:nvGraphicFramePr>
            <xdr:cNvPr id="26" name="Payment Method 2">
              <a:extLst>
                <a:ext uri="{FF2B5EF4-FFF2-40B4-BE49-F238E27FC236}">
                  <a16:creationId xmlns:a16="http://schemas.microsoft.com/office/drawing/2014/main" id="{122C3B4F-3E22-4913-B526-163BB7BBB750}"/>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66674" y="4743451"/>
              <a:ext cx="2124076"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495301</xdr:colOff>
      <xdr:row>8</xdr:row>
      <xdr:rowOff>85725</xdr:rowOff>
    </xdr:from>
    <xdr:to>
      <xdr:col>10</xdr:col>
      <xdr:colOff>57150</xdr:colOff>
      <xdr:row>19</xdr:row>
      <xdr:rowOff>142875</xdr:rowOff>
    </xdr:to>
    <xdr:graphicFrame macro="">
      <xdr:nvGraphicFramePr>
        <xdr:cNvPr id="39" name="Chart 38">
          <a:extLst>
            <a:ext uri="{FF2B5EF4-FFF2-40B4-BE49-F238E27FC236}">
              <a16:creationId xmlns:a16="http://schemas.microsoft.com/office/drawing/2014/main" id="{4374167B-DB6E-4F94-83A2-F440F07FE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114301</xdr:colOff>
      <xdr:row>8</xdr:row>
      <xdr:rowOff>76199</xdr:rowOff>
    </xdr:from>
    <xdr:to>
      <xdr:col>16</xdr:col>
      <xdr:colOff>457200</xdr:colOff>
      <xdr:row>19</xdr:row>
      <xdr:rowOff>142874</xdr:rowOff>
    </xdr:to>
    <xdr:graphicFrame macro="">
      <xdr:nvGraphicFramePr>
        <xdr:cNvPr id="40" name="Chart 39">
          <a:extLst>
            <a:ext uri="{FF2B5EF4-FFF2-40B4-BE49-F238E27FC236}">
              <a16:creationId xmlns:a16="http://schemas.microsoft.com/office/drawing/2014/main" id="{BC7EC69F-BAC6-4964-8572-99974A0B1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495300</xdr:colOff>
      <xdr:row>19</xdr:row>
      <xdr:rowOff>180974</xdr:rowOff>
    </xdr:from>
    <xdr:to>
      <xdr:col>10</xdr:col>
      <xdr:colOff>66675</xdr:colOff>
      <xdr:row>32</xdr:row>
      <xdr:rowOff>19049</xdr:rowOff>
    </xdr:to>
    <xdr:graphicFrame macro="">
      <xdr:nvGraphicFramePr>
        <xdr:cNvPr id="41" name="Chart 40">
          <a:extLst>
            <a:ext uri="{FF2B5EF4-FFF2-40B4-BE49-F238E27FC236}">
              <a16:creationId xmlns:a16="http://schemas.microsoft.com/office/drawing/2014/main" id="{AFFB00FB-3735-4F3A-A324-83851802D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123826</xdr:colOff>
      <xdr:row>19</xdr:row>
      <xdr:rowOff>180975</xdr:rowOff>
    </xdr:from>
    <xdr:to>
      <xdr:col>16</xdr:col>
      <xdr:colOff>466725</xdr:colOff>
      <xdr:row>32</xdr:row>
      <xdr:rowOff>9526</xdr:rowOff>
    </xdr:to>
    <xdr:graphicFrame macro="">
      <xdr:nvGraphicFramePr>
        <xdr:cNvPr id="42" name="Chart 41">
          <a:extLst>
            <a:ext uri="{FF2B5EF4-FFF2-40B4-BE49-F238E27FC236}">
              <a16:creationId xmlns:a16="http://schemas.microsoft.com/office/drawing/2014/main" id="{1769E19C-14DF-440C-89DB-082573643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457200</xdr:colOff>
      <xdr:row>4</xdr:row>
      <xdr:rowOff>123825</xdr:rowOff>
    </xdr:from>
    <xdr:to>
      <xdr:col>6</xdr:col>
      <xdr:colOff>219075</xdr:colOff>
      <xdr:row>7</xdr:row>
      <xdr:rowOff>28575</xdr:rowOff>
    </xdr:to>
    <xdr:sp macro="" textlink="">
      <xdr:nvSpPr>
        <xdr:cNvPr id="50" name="Rectangle 49">
          <a:extLst>
            <a:ext uri="{FF2B5EF4-FFF2-40B4-BE49-F238E27FC236}">
              <a16:creationId xmlns:a16="http://schemas.microsoft.com/office/drawing/2014/main" id="{9E3F1E8C-CF42-DCD0-605F-AD8BAF48B700}"/>
            </a:ext>
          </a:extLst>
        </xdr:cNvPr>
        <xdr:cNvSpPr/>
      </xdr:nvSpPr>
      <xdr:spPr>
        <a:xfrm>
          <a:off x="2895600" y="885825"/>
          <a:ext cx="981075" cy="476250"/>
        </a:xfrm>
        <a:prstGeom prst="rect">
          <a:avLst/>
        </a:prstGeom>
        <a:no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4</xdr:row>
      <xdr:rowOff>142875</xdr:rowOff>
    </xdr:from>
    <xdr:to>
      <xdr:col>8</xdr:col>
      <xdr:colOff>142875</xdr:colOff>
      <xdr:row>7</xdr:row>
      <xdr:rowOff>47625</xdr:rowOff>
    </xdr:to>
    <xdr:sp macro="" textlink="">
      <xdr:nvSpPr>
        <xdr:cNvPr id="51" name="Rectangle 50">
          <a:extLst>
            <a:ext uri="{FF2B5EF4-FFF2-40B4-BE49-F238E27FC236}">
              <a16:creationId xmlns:a16="http://schemas.microsoft.com/office/drawing/2014/main" id="{79ECEDA4-EBDF-4C7E-88F9-F9CA439ADFFA}"/>
            </a:ext>
          </a:extLst>
        </xdr:cNvPr>
        <xdr:cNvSpPr/>
      </xdr:nvSpPr>
      <xdr:spPr>
        <a:xfrm>
          <a:off x="4152900" y="904875"/>
          <a:ext cx="1362075" cy="476250"/>
        </a:xfrm>
        <a:prstGeom prst="rect">
          <a:avLst/>
        </a:prstGeom>
        <a:no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466725</xdr:colOff>
      <xdr:row>4</xdr:row>
      <xdr:rowOff>152400</xdr:rowOff>
    </xdr:from>
    <xdr:to>
      <xdr:col>10</xdr:col>
      <xdr:colOff>133350</xdr:colOff>
      <xdr:row>7</xdr:row>
      <xdr:rowOff>57150</xdr:rowOff>
    </xdr:to>
    <xdr:sp macro="" textlink="">
      <xdr:nvSpPr>
        <xdr:cNvPr id="52" name="Rectangle 51">
          <a:extLst>
            <a:ext uri="{FF2B5EF4-FFF2-40B4-BE49-F238E27FC236}">
              <a16:creationId xmlns:a16="http://schemas.microsoft.com/office/drawing/2014/main" id="{2818B37B-4478-4732-BE2D-24416A714C2D}"/>
            </a:ext>
          </a:extLst>
        </xdr:cNvPr>
        <xdr:cNvSpPr/>
      </xdr:nvSpPr>
      <xdr:spPr>
        <a:xfrm>
          <a:off x="5838825" y="914400"/>
          <a:ext cx="1562100" cy="476250"/>
        </a:xfrm>
        <a:prstGeom prst="rect">
          <a:avLst/>
        </a:prstGeom>
        <a:no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561974</xdr:colOff>
      <xdr:row>4</xdr:row>
      <xdr:rowOff>152400</xdr:rowOff>
    </xdr:from>
    <xdr:to>
      <xdr:col>12</xdr:col>
      <xdr:colOff>57149</xdr:colOff>
      <xdr:row>7</xdr:row>
      <xdr:rowOff>57150</xdr:rowOff>
    </xdr:to>
    <xdr:sp macro="" textlink="">
      <xdr:nvSpPr>
        <xdr:cNvPr id="53" name="Rectangle 52">
          <a:extLst>
            <a:ext uri="{FF2B5EF4-FFF2-40B4-BE49-F238E27FC236}">
              <a16:creationId xmlns:a16="http://schemas.microsoft.com/office/drawing/2014/main" id="{20ABF947-5244-4C10-BB50-985E3366B52B}"/>
            </a:ext>
          </a:extLst>
        </xdr:cNvPr>
        <xdr:cNvSpPr/>
      </xdr:nvSpPr>
      <xdr:spPr>
        <a:xfrm>
          <a:off x="7829549" y="914400"/>
          <a:ext cx="1571625" cy="476250"/>
        </a:xfrm>
        <a:prstGeom prst="rect">
          <a:avLst/>
        </a:prstGeom>
        <a:no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611104</xdr:colOff>
      <xdr:row>0</xdr:row>
      <xdr:rowOff>28073</xdr:rowOff>
    </xdr:from>
    <xdr:to>
      <xdr:col>16</xdr:col>
      <xdr:colOff>0</xdr:colOff>
      <xdr:row>2</xdr:row>
      <xdr:rowOff>151898</xdr:rowOff>
    </xdr:to>
    <xdr:sp macro="" textlink="">
      <xdr:nvSpPr>
        <xdr:cNvPr id="2" name="TextBox 1">
          <a:extLst>
            <a:ext uri="{FF2B5EF4-FFF2-40B4-BE49-F238E27FC236}">
              <a16:creationId xmlns:a16="http://schemas.microsoft.com/office/drawing/2014/main" id="{F3C90E63-C0C5-62F3-2AE1-B1114891AFDE}"/>
            </a:ext>
          </a:extLst>
        </xdr:cNvPr>
        <xdr:cNvSpPr txBox="1"/>
      </xdr:nvSpPr>
      <xdr:spPr>
        <a:xfrm>
          <a:off x="3669130" y="28073"/>
          <a:ext cx="6116554" cy="504825"/>
        </a:xfrm>
        <a:prstGeom prst="rect">
          <a:avLst/>
        </a:prstGeom>
        <a:solidFill>
          <a:schemeClr val="lt1"/>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ctr"/>
          <a:r>
            <a:rPr lang="en-IN" sz="2400" b="1">
              <a:solidFill>
                <a:schemeClr val="accent6">
                  <a:lumMod val="75000"/>
                </a:schemeClr>
              </a:solidFill>
              <a:latin typeface="Aptos Black" panose="020B0004020202020204" pitchFamily="34" charset="0"/>
            </a:rPr>
            <a:t>SALES REPORT ANALYSIS</a:t>
          </a:r>
        </a:p>
      </xdr:txBody>
    </xdr:sp>
    <xdr:clientData/>
  </xdr:twoCellAnchor>
  <xdr:twoCellAnchor editAs="oneCell">
    <xdr:from>
      <xdr:col>6</xdr:col>
      <xdr:colOff>57149</xdr:colOff>
      <xdr:row>0</xdr:row>
      <xdr:rowOff>47123</xdr:rowOff>
    </xdr:from>
    <xdr:to>
      <xdr:col>6</xdr:col>
      <xdr:colOff>811630</xdr:colOff>
      <xdr:row>2</xdr:row>
      <xdr:rowOff>151898</xdr:rowOff>
    </xdr:to>
    <xdr:pic>
      <xdr:nvPicPr>
        <xdr:cNvPr id="3" name="Graphic 2" descr="Checklist with solid fill">
          <a:extLst>
            <a:ext uri="{FF2B5EF4-FFF2-40B4-BE49-F238E27FC236}">
              <a16:creationId xmlns:a16="http://schemas.microsoft.com/office/drawing/2014/main" id="{478E1C1B-928B-4851-B8B3-83BB338372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26781" y="47123"/>
          <a:ext cx="754481" cy="485775"/>
        </a:xfrm>
        <a:prstGeom prst="rect">
          <a:avLst/>
        </a:prstGeom>
      </xdr:spPr>
    </xdr:pic>
    <xdr:clientData/>
  </xdr:twoCellAnchor>
  <xdr:twoCellAnchor editAs="oneCell">
    <xdr:from>
      <xdr:col>14</xdr:col>
      <xdr:colOff>194509</xdr:colOff>
      <xdr:row>0</xdr:row>
      <xdr:rowOff>67176</xdr:rowOff>
    </xdr:from>
    <xdr:to>
      <xdr:col>14</xdr:col>
      <xdr:colOff>929940</xdr:colOff>
      <xdr:row>2</xdr:row>
      <xdr:rowOff>143376</xdr:rowOff>
    </xdr:to>
    <xdr:pic>
      <xdr:nvPicPr>
        <xdr:cNvPr id="4" name="Graphic 3" descr="Calculator with solid fill">
          <a:extLst>
            <a:ext uri="{FF2B5EF4-FFF2-40B4-BE49-F238E27FC236}">
              <a16:creationId xmlns:a16="http://schemas.microsoft.com/office/drawing/2014/main" id="{C9843F36-4548-4BAD-97E0-13B3AF6EC6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56983" y="67176"/>
          <a:ext cx="735431" cy="457200"/>
        </a:xfrm>
        <a:prstGeom prst="rect">
          <a:avLst/>
        </a:prstGeom>
      </xdr:spPr>
    </xdr:pic>
    <xdr:clientData/>
  </xdr:twoCellAnchor>
  <xdr:twoCellAnchor editAs="oneCell">
    <xdr:from>
      <xdr:col>0</xdr:col>
      <xdr:colOff>53205</xdr:colOff>
      <xdr:row>0</xdr:row>
      <xdr:rowOff>55342</xdr:rowOff>
    </xdr:from>
    <xdr:to>
      <xdr:col>3</xdr:col>
      <xdr:colOff>56514</xdr:colOff>
      <xdr:row>7</xdr:row>
      <xdr:rowOff>231367</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638659E4-4AE7-4253-AADD-590FF081F9E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53205" y="55342"/>
              <a:ext cx="1821718" cy="147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162336</xdr:colOff>
      <xdr:row>0</xdr:row>
      <xdr:rowOff>67480</xdr:rowOff>
    </xdr:from>
    <xdr:to>
      <xdr:col>5</xdr:col>
      <xdr:colOff>241004</xdr:colOff>
      <xdr:row>7</xdr:row>
      <xdr:rowOff>210292</xdr:rowOff>
    </xdr:to>
    <mc:AlternateContent xmlns:mc="http://schemas.openxmlformats.org/markup-compatibility/2006" xmlns:a14="http://schemas.microsoft.com/office/drawing/2010/main">
      <mc:Choice Requires="a14">
        <xdr:graphicFrame macro="">
          <xdr:nvGraphicFramePr>
            <xdr:cNvPr id="10" name="Product 2">
              <a:extLst>
                <a:ext uri="{FF2B5EF4-FFF2-40B4-BE49-F238E27FC236}">
                  <a16:creationId xmlns:a16="http://schemas.microsoft.com/office/drawing/2014/main" id="{88E6E6B0-F904-41F0-B440-36C4F2363D5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980745" y="67480"/>
              <a:ext cx="1909447" cy="1441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53715</xdr:colOff>
      <xdr:row>8</xdr:row>
      <xdr:rowOff>110030</xdr:rowOff>
    </xdr:from>
    <xdr:to>
      <xdr:col>3</xdr:col>
      <xdr:colOff>24740</xdr:colOff>
      <xdr:row>15</xdr:row>
      <xdr:rowOff>131925</xdr:rowOff>
    </xdr:to>
    <mc:AlternateContent xmlns:mc="http://schemas.openxmlformats.org/markup-compatibility/2006" xmlns:a14="http://schemas.microsoft.com/office/drawing/2010/main">
      <mc:Choice Requires="a14">
        <xdr:graphicFrame macro="">
          <xdr:nvGraphicFramePr>
            <xdr:cNvPr id="11" name="Category 4">
              <a:extLst>
                <a:ext uri="{FF2B5EF4-FFF2-40B4-BE49-F238E27FC236}">
                  <a16:creationId xmlns:a16="http://schemas.microsoft.com/office/drawing/2014/main" id="{571D95B6-8EFD-4B60-A21E-7A88860E7AFF}"/>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53715" y="1718147"/>
              <a:ext cx="1789434" cy="149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320503</xdr:colOff>
      <xdr:row>16</xdr:row>
      <xdr:rowOff>80095</xdr:rowOff>
    </xdr:from>
    <xdr:to>
      <xdr:col>4</xdr:col>
      <xdr:colOff>324367</xdr:colOff>
      <xdr:row>24</xdr:row>
      <xdr:rowOff>80094</xdr:rowOff>
    </xdr:to>
    <mc:AlternateContent xmlns:mc="http://schemas.openxmlformats.org/markup-compatibility/2006" xmlns:a14="http://schemas.microsoft.com/office/drawing/2010/main">
      <mc:Choice Requires="a14">
        <xdr:graphicFrame macro="">
          <xdr:nvGraphicFramePr>
            <xdr:cNvPr id="12" name="Brand 2">
              <a:extLst>
                <a:ext uri="{FF2B5EF4-FFF2-40B4-BE49-F238E27FC236}">
                  <a16:creationId xmlns:a16="http://schemas.microsoft.com/office/drawing/2014/main" id="{B3640853-0E8B-4BA2-9735-E0835BC9EE1E}"/>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926639" y="3345809"/>
              <a:ext cx="1822273" cy="1484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164684</xdr:colOff>
      <xdr:row>8</xdr:row>
      <xdr:rowOff>113112</xdr:rowOff>
    </xdr:from>
    <xdr:to>
      <xdr:col>5</xdr:col>
      <xdr:colOff>174898</xdr:colOff>
      <xdr:row>15</xdr:row>
      <xdr:rowOff>135007</xdr:rowOff>
    </xdr:to>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048754AD-532B-485E-8C9B-8ACEA2FD57A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983093" y="1721229"/>
              <a:ext cx="1840993" cy="149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321624</xdr:colOff>
      <xdr:row>10</xdr:row>
      <xdr:rowOff>121969</xdr:rowOff>
    </xdr:from>
    <xdr:to>
      <xdr:col>12</xdr:col>
      <xdr:colOff>123701</xdr:colOff>
      <xdr:row>27</xdr:row>
      <xdr:rowOff>74220</xdr:rowOff>
    </xdr:to>
    <xdr:graphicFrame macro="">
      <xdr:nvGraphicFramePr>
        <xdr:cNvPr id="14" name="Chart 13">
          <a:extLst>
            <a:ext uri="{FF2B5EF4-FFF2-40B4-BE49-F238E27FC236}">
              <a16:creationId xmlns:a16="http://schemas.microsoft.com/office/drawing/2014/main" id="{EE851013-8818-43A2-96D4-A0902A251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950771</xdr:colOff>
      <xdr:row>28</xdr:row>
      <xdr:rowOff>86591</xdr:rowOff>
    </xdr:from>
    <xdr:to>
      <xdr:col>18</xdr:col>
      <xdr:colOff>235034</xdr:colOff>
      <xdr:row>41</xdr:row>
      <xdr:rowOff>98961</xdr:rowOff>
    </xdr:to>
    <xdr:graphicFrame macro="">
      <xdr:nvGraphicFramePr>
        <xdr:cNvPr id="15" name="Chart 14">
          <a:extLst>
            <a:ext uri="{FF2B5EF4-FFF2-40B4-BE49-F238E27FC236}">
              <a16:creationId xmlns:a16="http://schemas.microsoft.com/office/drawing/2014/main" id="{D1D9B60E-DD60-40FA-A1D7-EECD82696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211530</xdr:colOff>
      <xdr:row>10</xdr:row>
      <xdr:rowOff>84858</xdr:rowOff>
    </xdr:from>
    <xdr:to>
      <xdr:col>18</xdr:col>
      <xdr:colOff>188026</xdr:colOff>
      <xdr:row>27</xdr:row>
      <xdr:rowOff>111331</xdr:rowOff>
    </xdr:to>
    <xdr:graphicFrame macro="">
      <xdr:nvGraphicFramePr>
        <xdr:cNvPr id="16" name="Chart 15">
          <a:extLst>
            <a:ext uri="{FF2B5EF4-FFF2-40B4-BE49-F238E27FC236}">
              <a16:creationId xmlns:a16="http://schemas.microsoft.com/office/drawing/2014/main" id="{E63514B1-BE6E-4402-AF77-FA416A84A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79824</xdr:colOff>
      <xdr:row>28</xdr:row>
      <xdr:rowOff>44402</xdr:rowOff>
    </xdr:from>
    <xdr:to>
      <xdr:col>7</xdr:col>
      <xdr:colOff>222662</xdr:colOff>
      <xdr:row>41</xdr:row>
      <xdr:rowOff>120315</xdr:rowOff>
    </xdr:to>
    <xdr:graphicFrame macro="">
      <xdr:nvGraphicFramePr>
        <xdr:cNvPr id="17" name="Chart 16">
          <a:extLst>
            <a:ext uri="{FF2B5EF4-FFF2-40B4-BE49-F238E27FC236}">
              <a16:creationId xmlns:a16="http://schemas.microsoft.com/office/drawing/2014/main" id="{48ADAF87-142C-4971-9381-563827796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318663</xdr:colOff>
      <xdr:row>28</xdr:row>
      <xdr:rowOff>72920</xdr:rowOff>
    </xdr:from>
    <xdr:to>
      <xdr:col>12</xdr:col>
      <xdr:colOff>878280</xdr:colOff>
      <xdr:row>41</xdr:row>
      <xdr:rowOff>113676</xdr:rowOff>
    </xdr:to>
    <xdr:graphicFrame macro="">
      <xdr:nvGraphicFramePr>
        <xdr:cNvPr id="18" name="Chart 17">
          <a:extLst>
            <a:ext uri="{FF2B5EF4-FFF2-40B4-BE49-F238E27FC236}">
              <a16:creationId xmlns:a16="http://schemas.microsoft.com/office/drawing/2014/main" id="{7050F257-29F8-496F-ABA1-E90D0CD15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371104</xdr:colOff>
      <xdr:row>6</xdr:row>
      <xdr:rowOff>86591</xdr:rowOff>
    </xdr:from>
    <xdr:to>
      <xdr:col>18</xdr:col>
      <xdr:colOff>11674</xdr:colOff>
      <xdr:row>9</xdr:row>
      <xdr:rowOff>226844</xdr:rowOff>
    </xdr:to>
    <xdr:sp macro="" textlink="">
      <xdr:nvSpPr>
        <xdr:cNvPr id="5" name="Rectangle 4">
          <a:extLst>
            <a:ext uri="{FF2B5EF4-FFF2-40B4-BE49-F238E27FC236}">
              <a16:creationId xmlns:a16="http://schemas.microsoft.com/office/drawing/2014/main" id="{6F763481-5623-4D38-8E01-DE87D3D16C60}"/>
            </a:ext>
          </a:extLst>
        </xdr:cNvPr>
        <xdr:cNvSpPr/>
      </xdr:nvSpPr>
      <xdr:spPr>
        <a:xfrm>
          <a:off x="4020292" y="1199903"/>
          <a:ext cx="12010700" cy="944311"/>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333993</xdr:colOff>
      <xdr:row>6</xdr:row>
      <xdr:rowOff>111331</xdr:rowOff>
    </xdr:from>
    <xdr:to>
      <xdr:col>7</xdr:col>
      <xdr:colOff>333993</xdr:colOff>
      <xdr:row>9</xdr:row>
      <xdr:rowOff>197922</xdr:rowOff>
    </xdr:to>
    <xdr:cxnSp macro="">
      <xdr:nvCxnSpPr>
        <xdr:cNvPr id="7" name="Straight Connector 6">
          <a:extLst>
            <a:ext uri="{FF2B5EF4-FFF2-40B4-BE49-F238E27FC236}">
              <a16:creationId xmlns:a16="http://schemas.microsoft.com/office/drawing/2014/main" id="{2A64EE46-E650-FBA5-BE3B-25BA5BF493D8}"/>
            </a:ext>
          </a:extLst>
        </xdr:cNvPr>
        <xdr:cNvCxnSpPr/>
      </xdr:nvCxnSpPr>
      <xdr:spPr>
        <a:xfrm>
          <a:off x="5813961" y="1224643"/>
          <a:ext cx="0" cy="890649"/>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371104</xdr:colOff>
      <xdr:row>6</xdr:row>
      <xdr:rowOff>86591</xdr:rowOff>
    </xdr:from>
    <xdr:to>
      <xdr:col>5</xdr:col>
      <xdr:colOff>371104</xdr:colOff>
      <xdr:row>9</xdr:row>
      <xdr:rowOff>173182</xdr:rowOff>
    </xdr:to>
    <xdr:cxnSp macro="">
      <xdr:nvCxnSpPr>
        <xdr:cNvPr id="20" name="Straight Connector 19">
          <a:extLst>
            <a:ext uri="{FF2B5EF4-FFF2-40B4-BE49-F238E27FC236}">
              <a16:creationId xmlns:a16="http://schemas.microsoft.com/office/drawing/2014/main" id="{1B4E454F-D369-41BD-9CF9-712CFFE18D91}"/>
            </a:ext>
          </a:extLst>
        </xdr:cNvPr>
        <xdr:cNvCxnSpPr/>
      </xdr:nvCxnSpPr>
      <xdr:spPr>
        <a:xfrm>
          <a:off x="4020292" y="1199903"/>
          <a:ext cx="0" cy="890649"/>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309253</xdr:colOff>
      <xdr:row>6</xdr:row>
      <xdr:rowOff>115289</xdr:rowOff>
    </xdr:from>
    <xdr:to>
      <xdr:col>9</xdr:col>
      <xdr:colOff>313211</xdr:colOff>
      <xdr:row>10</xdr:row>
      <xdr:rowOff>0</xdr:rowOff>
    </xdr:to>
    <xdr:cxnSp macro="">
      <xdr:nvCxnSpPr>
        <xdr:cNvPr id="21" name="Straight Connector 20">
          <a:extLst>
            <a:ext uri="{FF2B5EF4-FFF2-40B4-BE49-F238E27FC236}">
              <a16:creationId xmlns:a16="http://schemas.microsoft.com/office/drawing/2014/main" id="{0DF793DF-8626-45BA-A642-A897D82BFC29}"/>
            </a:ext>
          </a:extLst>
        </xdr:cNvPr>
        <xdr:cNvCxnSpPr/>
      </xdr:nvCxnSpPr>
      <xdr:spPr>
        <a:xfrm flipH="1">
          <a:off x="7533409" y="1228601"/>
          <a:ext cx="3958" cy="923802"/>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11</xdr:col>
      <xdr:colOff>210292</xdr:colOff>
      <xdr:row>6</xdr:row>
      <xdr:rowOff>111331</xdr:rowOff>
    </xdr:from>
    <xdr:to>
      <xdr:col>11</xdr:col>
      <xdr:colOff>210292</xdr:colOff>
      <xdr:row>9</xdr:row>
      <xdr:rowOff>222662</xdr:rowOff>
    </xdr:to>
    <xdr:cxnSp macro="">
      <xdr:nvCxnSpPr>
        <xdr:cNvPr id="23" name="Straight Connector 22">
          <a:extLst>
            <a:ext uri="{FF2B5EF4-FFF2-40B4-BE49-F238E27FC236}">
              <a16:creationId xmlns:a16="http://schemas.microsoft.com/office/drawing/2014/main" id="{059662F2-4A96-465C-8FAD-CE75C14E0AF9}"/>
            </a:ext>
          </a:extLst>
        </xdr:cNvPr>
        <xdr:cNvCxnSpPr/>
      </xdr:nvCxnSpPr>
      <xdr:spPr>
        <a:xfrm>
          <a:off x="9426039" y="1224643"/>
          <a:ext cx="0" cy="915389"/>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13</xdr:col>
      <xdr:colOff>197922</xdr:colOff>
      <xdr:row>6</xdr:row>
      <xdr:rowOff>123701</xdr:rowOff>
    </xdr:from>
    <xdr:to>
      <xdr:col>13</xdr:col>
      <xdr:colOff>210293</xdr:colOff>
      <xdr:row>10</xdr:row>
      <xdr:rowOff>12370</xdr:rowOff>
    </xdr:to>
    <xdr:cxnSp macro="">
      <xdr:nvCxnSpPr>
        <xdr:cNvPr id="25" name="Straight Connector 24">
          <a:extLst>
            <a:ext uri="{FF2B5EF4-FFF2-40B4-BE49-F238E27FC236}">
              <a16:creationId xmlns:a16="http://schemas.microsoft.com/office/drawing/2014/main" id="{6609D216-5903-4A50-BBCB-6612F18EB958}"/>
            </a:ext>
          </a:extLst>
        </xdr:cNvPr>
        <xdr:cNvCxnSpPr/>
      </xdr:nvCxnSpPr>
      <xdr:spPr>
        <a:xfrm flipH="1">
          <a:off x="11566071" y="1237013"/>
          <a:ext cx="12371" cy="927760"/>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15</xdr:col>
      <xdr:colOff>235032</xdr:colOff>
      <xdr:row>6</xdr:row>
      <xdr:rowOff>86590</xdr:rowOff>
    </xdr:from>
    <xdr:to>
      <xdr:col>15</xdr:col>
      <xdr:colOff>259773</xdr:colOff>
      <xdr:row>10</xdr:row>
      <xdr:rowOff>0</xdr:rowOff>
    </xdr:to>
    <xdr:cxnSp macro="">
      <xdr:nvCxnSpPr>
        <xdr:cNvPr id="27" name="Straight Connector 26">
          <a:extLst>
            <a:ext uri="{FF2B5EF4-FFF2-40B4-BE49-F238E27FC236}">
              <a16:creationId xmlns:a16="http://schemas.microsoft.com/office/drawing/2014/main" id="{2D281866-7E85-4AA9-B68A-5B60C3A7CEB3}"/>
            </a:ext>
          </a:extLst>
        </xdr:cNvPr>
        <xdr:cNvCxnSpPr/>
      </xdr:nvCxnSpPr>
      <xdr:spPr>
        <a:xfrm>
          <a:off x="13755584" y="1199902"/>
          <a:ext cx="24741" cy="952501"/>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30</xdr:col>
      <xdr:colOff>480805</xdr:colOff>
      <xdr:row>23</xdr:row>
      <xdr:rowOff>178077</xdr:rowOff>
    </xdr:from>
    <xdr:to>
      <xdr:col>33</xdr:col>
      <xdr:colOff>503169</xdr:colOff>
      <xdr:row>37</xdr:row>
      <xdr:rowOff>39343</xdr:rowOff>
    </xdr:to>
    <mc:AlternateContent xmlns:mc="http://schemas.openxmlformats.org/markup-compatibility/2006" xmlns:a14="http://schemas.microsoft.com/office/drawing/2010/main">
      <mc:Choice Requires="a14">
        <xdr:graphicFrame macro="">
          <xdr:nvGraphicFramePr>
            <xdr:cNvPr id="2" name="League">
              <a:extLst>
                <a:ext uri="{FF2B5EF4-FFF2-40B4-BE49-F238E27FC236}">
                  <a16:creationId xmlns:a16="http://schemas.microsoft.com/office/drawing/2014/main" id="{788F8F8A-D7CD-1DC0-1E63-C84DCF87515E}"/>
                </a:ext>
              </a:extLst>
            </xdr:cNvPr>
            <xdr:cNvGraphicFramePr/>
          </xdr:nvGraphicFramePr>
          <xdr:xfrm>
            <a:off x="0" y="0"/>
            <a:ext cx="0" cy="0"/>
          </xdr:xfrm>
          <a:graphic>
            <a:graphicData uri="http://schemas.microsoft.com/office/drawing/2010/slicer">
              <sle:slicer xmlns:sle="http://schemas.microsoft.com/office/drawing/2010/slicer" name="League"/>
            </a:graphicData>
          </a:graphic>
        </xdr:graphicFrame>
      </mc:Choice>
      <mc:Fallback xmlns="">
        <xdr:sp macro="" textlink="">
          <xdr:nvSpPr>
            <xdr:cNvPr id="0" name=""/>
            <xdr:cNvSpPr>
              <a:spLocks noTextEdit="1"/>
            </xdr:cNvSpPr>
          </xdr:nvSpPr>
          <xdr:spPr>
            <a:xfrm>
              <a:off x="25988195" y="4688445"/>
              <a:ext cx="1871334" cy="260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241853</xdr:colOff>
      <xdr:row>8</xdr:row>
      <xdr:rowOff>38100</xdr:rowOff>
    </xdr:from>
    <xdr:to>
      <xdr:col>30</xdr:col>
      <xdr:colOff>266700</xdr:colOff>
      <xdr:row>21</xdr:row>
      <xdr:rowOff>85725</xdr:rowOff>
    </xdr:to>
    <mc:AlternateContent xmlns:mc="http://schemas.openxmlformats.org/markup-compatibility/2006" xmlns:a14="http://schemas.microsoft.com/office/drawing/2010/main">
      <mc:Choice Requires="a14">
        <xdr:graphicFrame macro="">
          <xdr:nvGraphicFramePr>
            <xdr:cNvPr id="3" name="Home Team">
              <a:extLst>
                <a:ext uri="{FF2B5EF4-FFF2-40B4-BE49-F238E27FC236}">
                  <a16:creationId xmlns:a16="http://schemas.microsoft.com/office/drawing/2014/main" id="{58306FE6-5A22-EE54-AD1D-CF0767336DF3}"/>
                </a:ext>
              </a:extLst>
            </xdr:cNvPr>
            <xdr:cNvGraphicFramePr/>
          </xdr:nvGraphicFramePr>
          <xdr:xfrm>
            <a:off x="0" y="0"/>
            <a:ext cx="0" cy="0"/>
          </xdr:xfrm>
          <a:graphic>
            <a:graphicData uri="http://schemas.microsoft.com/office/drawing/2010/slicer">
              <sle:slicer xmlns:sle="http://schemas.microsoft.com/office/drawing/2010/slicer" name="Home Team"/>
            </a:graphicData>
          </a:graphic>
        </xdr:graphicFrame>
      </mc:Choice>
      <mc:Fallback xmlns="">
        <xdr:sp macro="" textlink="">
          <xdr:nvSpPr>
            <xdr:cNvPr id="0" name=""/>
            <xdr:cNvSpPr>
              <a:spLocks noTextEdit="1"/>
            </xdr:cNvSpPr>
          </xdr:nvSpPr>
          <xdr:spPr>
            <a:xfrm>
              <a:off x="23900272" y="1606924"/>
              <a:ext cx="1873818" cy="2596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521804</xdr:colOff>
      <xdr:row>21</xdr:row>
      <xdr:rowOff>163994</xdr:rowOff>
    </xdr:from>
    <xdr:to>
      <xdr:col>26</xdr:col>
      <xdr:colOff>543752</xdr:colOff>
      <xdr:row>35</xdr:row>
      <xdr:rowOff>25261</xdr:rowOff>
    </xdr:to>
    <mc:AlternateContent xmlns:mc="http://schemas.openxmlformats.org/markup-compatibility/2006" xmlns:a14="http://schemas.microsoft.com/office/drawing/2010/main">
      <mc:Choice Requires="a14">
        <xdr:graphicFrame macro="">
          <xdr:nvGraphicFramePr>
            <xdr:cNvPr id="4" name="Full-Time Result">
              <a:extLst>
                <a:ext uri="{FF2B5EF4-FFF2-40B4-BE49-F238E27FC236}">
                  <a16:creationId xmlns:a16="http://schemas.microsoft.com/office/drawing/2014/main" id="{CDC3304E-59AB-DF42-0637-1D235B49D4F7}"/>
                </a:ext>
              </a:extLst>
            </xdr:cNvPr>
            <xdr:cNvGraphicFramePr/>
          </xdr:nvGraphicFramePr>
          <xdr:xfrm>
            <a:off x="0" y="0"/>
            <a:ext cx="0" cy="0"/>
          </xdr:xfrm>
          <a:graphic>
            <a:graphicData uri="http://schemas.microsoft.com/office/drawing/2010/slicer">
              <sle:slicer xmlns:sle="http://schemas.microsoft.com/office/drawing/2010/slicer" name="Full-Time Result"/>
            </a:graphicData>
          </a:graphic>
        </xdr:graphicFrame>
      </mc:Choice>
      <mc:Fallback xmlns="">
        <xdr:sp macro="" textlink="">
          <xdr:nvSpPr>
            <xdr:cNvPr id="0" name=""/>
            <xdr:cNvSpPr>
              <a:spLocks noTextEdit="1"/>
            </xdr:cNvSpPr>
          </xdr:nvSpPr>
          <xdr:spPr>
            <a:xfrm>
              <a:off x="21714929" y="4282156"/>
              <a:ext cx="1870919" cy="2606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203753</xdr:colOff>
      <xdr:row>23</xdr:row>
      <xdr:rowOff>61706</xdr:rowOff>
    </xdr:from>
    <xdr:to>
      <xdr:col>30</xdr:col>
      <xdr:colOff>216590</xdr:colOff>
      <xdr:row>36</xdr:row>
      <xdr:rowOff>109331</xdr:rowOff>
    </xdr:to>
    <mc:AlternateContent xmlns:mc="http://schemas.openxmlformats.org/markup-compatibility/2006" xmlns:a14="http://schemas.microsoft.com/office/drawing/2010/main">
      <mc:Choice Requires="a14">
        <xdr:graphicFrame macro="">
          <xdr:nvGraphicFramePr>
            <xdr:cNvPr id="5" name="Stadium">
              <a:extLst>
                <a:ext uri="{FF2B5EF4-FFF2-40B4-BE49-F238E27FC236}">
                  <a16:creationId xmlns:a16="http://schemas.microsoft.com/office/drawing/2014/main" id="{6ABE6EB9-CD95-EBF4-6504-CE81D51B9763}"/>
                </a:ext>
              </a:extLst>
            </xdr:cNvPr>
            <xdr:cNvGraphicFramePr/>
          </xdr:nvGraphicFramePr>
          <xdr:xfrm>
            <a:off x="0" y="0"/>
            <a:ext cx="0" cy="0"/>
          </xdr:xfrm>
          <a:graphic>
            <a:graphicData uri="http://schemas.microsoft.com/office/drawing/2010/slicer">
              <sle:slicer xmlns:sle="http://schemas.microsoft.com/office/drawing/2010/slicer" name="Stadium"/>
            </a:graphicData>
          </a:graphic>
        </xdr:graphicFrame>
      </mc:Choice>
      <mc:Fallback xmlns="">
        <xdr:sp macro="" textlink="">
          <xdr:nvSpPr>
            <xdr:cNvPr id="0" name=""/>
            <xdr:cNvSpPr>
              <a:spLocks noTextEdit="1"/>
            </xdr:cNvSpPr>
          </xdr:nvSpPr>
          <xdr:spPr>
            <a:xfrm>
              <a:off x="23862172" y="4572074"/>
              <a:ext cx="1861808" cy="2596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521804</xdr:colOff>
      <xdr:row>7</xdr:row>
      <xdr:rowOff>144532</xdr:rowOff>
    </xdr:from>
    <xdr:to>
      <xdr:col>26</xdr:col>
      <xdr:colOff>539611</xdr:colOff>
      <xdr:row>21</xdr:row>
      <xdr:rowOff>5798</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97438141-00D2-1182-4E17-1D67556314B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1714929" y="1517253"/>
              <a:ext cx="1866778" cy="260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130268</xdr:colOff>
      <xdr:row>4</xdr:row>
      <xdr:rowOff>113180</xdr:rowOff>
    </xdr:from>
    <xdr:to>
      <xdr:col>23</xdr:col>
      <xdr:colOff>388003</xdr:colOff>
      <xdr:row>18</xdr:row>
      <xdr:rowOff>110939</xdr:rowOff>
    </xdr:to>
    <xdr:graphicFrame macro="">
      <xdr:nvGraphicFramePr>
        <xdr:cNvPr id="8" name="Chart 7">
          <a:extLst>
            <a:ext uri="{FF2B5EF4-FFF2-40B4-BE49-F238E27FC236}">
              <a16:creationId xmlns:a16="http://schemas.microsoft.com/office/drawing/2014/main" id="{588F71C9-E21F-9D01-9D28-758A0B5C8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130268</xdr:colOff>
      <xdr:row>19</xdr:row>
      <xdr:rowOff>1121</xdr:rowOff>
    </xdr:from>
    <xdr:to>
      <xdr:col>23</xdr:col>
      <xdr:colOff>388003</xdr:colOff>
      <xdr:row>32</xdr:row>
      <xdr:rowOff>194983</xdr:rowOff>
    </xdr:to>
    <xdr:graphicFrame macro="">
      <xdr:nvGraphicFramePr>
        <xdr:cNvPr id="9" name="Chart 8">
          <a:extLst>
            <a:ext uri="{FF2B5EF4-FFF2-40B4-BE49-F238E27FC236}">
              <a16:creationId xmlns:a16="http://schemas.microsoft.com/office/drawing/2014/main" id="{F0C17AD5-23A1-D6CF-8578-155907857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214312</xdr:colOff>
      <xdr:row>33</xdr:row>
      <xdr:rowOff>141195</xdr:rowOff>
    </xdr:from>
    <xdr:to>
      <xdr:col>23</xdr:col>
      <xdr:colOff>472047</xdr:colOff>
      <xdr:row>47</xdr:row>
      <xdr:rowOff>138954</xdr:rowOff>
    </xdr:to>
    <xdr:graphicFrame macro="">
      <xdr:nvGraphicFramePr>
        <xdr:cNvPr id="10" name="Chart 9">
          <a:extLst>
            <a:ext uri="{FF2B5EF4-FFF2-40B4-BE49-F238E27FC236}">
              <a16:creationId xmlns:a16="http://schemas.microsoft.com/office/drawing/2014/main" id="{28E5F896-35CB-25A8-69DB-05195E214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172290</xdr:colOff>
      <xdr:row>29</xdr:row>
      <xdr:rowOff>155203</xdr:rowOff>
    </xdr:from>
    <xdr:to>
      <xdr:col>18</xdr:col>
      <xdr:colOff>135872</xdr:colOff>
      <xdr:row>43</xdr:row>
      <xdr:rowOff>152962</xdr:rowOff>
    </xdr:to>
    <xdr:graphicFrame macro="">
      <xdr:nvGraphicFramePr>
        <xdr:cNvPr id="11" name="Chart 10">
          <a:extLst>
            <a:ext uri="{FF2B5EF4-FFF2-40B4-BE49-F238E27FC236}">
              <a16:creationId xmlns:a16="http://schemas.microsoft.com/office/drawing/2014/main" id="{380012FF-F438-02E6-34A7-D2C7AB1C7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312363</xdr:colOff>
      <xdr:row>25</xdr:row>
      <xdr:rowOff>141194</xdr:rowOff>
    </xdr:from>
    <xdr:to>
      <xdr:col>16</xdr:col>
      <xdr:colOff>93849</xdr:colOff>
      <xdr:row>39</xdr:row>
      <xdr:rowOff>138953</xdr:rowOff>
    </xdr:to>
    <xdr:graphicFrame macro="">
      <xdr:nvGraphicFramePr>
        <xdr:cNvPr id="12" name="Chart 11">
          <a:extLst>
            <a:ext uri="{FF2B5EF4-FFF2-40B4-BE49-F238E27FC236}">
              <a16:creationId xmlns:a16="http://schemas.microsoft.com/office/drawing/2014/main" id="{F9287D24-9DB8-2A4A-4F05-35332F8A7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522474</xdr:colOff>
      <xdr:row>10</xdr:row>
      <xdr:rowOff>183217</xdr:rowOff>
    </xdr:from>
    <xdr:to>
      <xdr:col>9</xdr:col>
      <xdr:colOff>976312</xdr:colOff>
      <xdr:row>24</xdr:row>
      <xdr:rowOff>180975</xdr:rowOff>
    </xdr:to>
    <xdr:graphicFrame macro="">
      <xdr:nvGraphicFramePr>
        <xdr:cNvPr id="13" name="Chart 12">
          <a:extLst>
            <a:ext uri="{FF2B5EF4-FFF2-40B4-BE49-F238E27FC236}">
              <a16:creationId xmlns:a16="http://schemas.microsoft.com/office/drawing/2014/main" id="{1E38E7B1-5EC5-419C-178D-72BD2E572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584200</xdr:colOff>
      <xdr:row>0</xdr:row>
      <xdr:rowOff>88900</xdr:rowOff>
    </xdr:from>
    <xdr:to>
      <xdr:col>23</xdr:col>
      <xdr:colOff>417534</xdr:colOff>
      <xdr:row>3</xdr:row>
      <xdr:rowOff>12700</xdr:rowOff>
    </xdr:to>
    <xdr:sp macro="" textlink="">
      <xdr:nvSpPr>
        <xdr:cNvPr id="2" name="TextBox 1">
          <a:extLst>
            <a:ext uri="{FF2B5EF4-FFF2-40B4-BE49-F238E27FC236}">
              <a16:creationId xmlns:a16="http://schemas.microsoft.com/office/drawing/2014/main" id="{144C7B35-7D4A-EA4C-2B59-30A1B8D98FF3}"/>
            </a:ext>
          </a:extLst>
        </xdr:cNvPr>
        <xdr:cNvSpPr txBox="1"/>
      </xdr:nvSpPr>
      <xdr:spPr>
        <a:xfrm>
          <a:off x="3650467" y="88900"/>
          <a:ext cx="10871896" cy="51095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r>
            <a:rPr lang="en-IN" sz="2800" b="1">
              <a:solidFill>
                <a:schemeClr val="accent4">
                  <a:lumMod val="75000"/>
                </a:schemeClr>
              </a:solidFill>
              <a:effectLst/>
              <a:latin typeface="Aptos Black" panose="020B0004020202020204" pitchFamily="34" charset="0"/>
            </a:rPr>
            <a:t>FOOTBALL</a:t>
          </a:r>
          <a:r>
            <a:rPr lang="en-IN" sz="2800" b="1" baseline="0">
              <a:solidFill>
                <a:schemeClr val="accent4">
                  <a:lumMod val="75000"/>
                </a:schemeClr>
              </a:solidFill>
              <a:effectLst/>
              <a:latin typeface="Aptos Black" panose="020B0004020202020204" pitchFamily="34" charset="0"/>
            </a:rPr>
            <a:t> PERFOMNCE ANALYSIS</a:t>
          </a:r>
          <a:endParaRPr lang="en-IN" sz="2800" b="1">
            <a:solidFill>
              <a:schemeClr val="accent4">
                <a:lumMod val="75000"/>
              </a:schemeClr>
            </a:solidFill>
            <a:effectLst/>
            <a:latin typeface="Aptos Black" panose="020B0004020202020204" pitchFamily="34" charset="0"/>
          </a:endParaRPr>
        </a:p>
      </xdr:txBody>
    </xdr:sp>
    <xdr:clientData/>
  </xdr:twoCellAnchor>
  <xdr:twoCellAnchor editAs="oneCell">
    <xdr:from>
      <xdr:col>0</xdr:col>
      <xdr:colOff>194468</xdr:colOff>
      <xdr:row>23</xdr:row>
      <xdr:rowOff>75406</xdr:rowOff>
    </xdr:from>
    <xdr:to>
      <xdr:col>3</xdr:col>
      <xdr:colOff>49212</xdr:colOff>
      <xdr:row>30</xdr:row>
      <xdr:rowOff>151605</xdr:rowOff>
    </xdr:to>
    <mc:AlternateContent xmlns:mc="http://schemas.openxmlformats.org/markup-compatibility/2006" xmlns:a14="http://schemas.microsoft.com/office/drawing/2010/main">
      <mc:Choice Requires="a14">
        <xdr:graphicFrame macro="">
          <xdr:nvGraphicFramePr>
            <xdr:cNvPr id="3" name="League 1">
              <a:extLst>
                <a:ext uri="{FF2B5EF4-FFF2-40B4-BE49-F238E27FC236}">
                  <a16:creationId xmlns:a16="http://schemas.microsoft.com/office/drawing/2014/main" id="{9B272075-073C-445E-B739-1EEFE9AF2601}"/>
                </a:ext>
              </a:extLst>
            </xdr:cNvPr>
            <xdr:cNvGraphicFramePr/>
          </xdr:nvGraphicFramePr>
          <xdr:xfrm>
            <a:off x="0" y="0"/>
            <a:ext cx="0" cy="0"/>
          </xdr:xfrm>
          <a:graphic>
            <a:graphicData uri="http://schemas.microsoft.com/office/drawing/2010/slicer">
              <sle:slicer xmlns:sle="http://schemas.microsoft.com/office/drawing/2010/slicer" name="League 1"/>
            </a:graphicData>
          </a:graphic>
        </xdr:graphicFrame>
      </mc:Choice>
      <mc:Fallback xmlns="">
        <xdr:sp macro="" textlink="">
          <xdr:nvSpPr>
            <xdr:cNvPr id="0" name=""/>
            <xdr:cNvSpPr>
              <a:spLocks noTextEdit="1"/>
            </xdr:cNvSpPr>
          </xdr:nvSpPr>
          <xdr:spPr>
            <a:xfrm>
              <a:off x="194468" y="4785714"/>
              <a:ext cx="1694504" cy="1446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163513</xdr:colOff>
      <xdr:row>1</xdr:row>
      <xdr:rowOff>138906</xdr:rowOff>
    </xdr:from>
    <xdr:to>
      <xdr:col>3</xdr:col>
      <xdr:colOff>58738</xdr:colOff>
      <xdr:row>8</xdr:row>
      <xdr:rowOff>35719</xdr:rowOff>
    </xdr:to>
    <mc:AlternateContent xmlns:mc="http://schemas.openxmlformats.org/markup-compatibility/2006" xmlns:a14="http://schemas.microsoft.com/office/drawing/2010/main">
      <mc:Choice Requires="a14">
        <xdr:graphicFrame macro="">
          <xdr:nvGraphicFramePr>
            <xdr:cNvPr id="4" name="Home Team 1">
              <a:extLst>
                <a:ext uri="{FF2B5EF4-FFF2-40B4-BE49-F238E27FC236}">
                  <a16:creationId xmlns:a16="http://schemas.microsoft.com/office/drawing/2014/main" id="{656EA4A1-F5D0-4A8A-BB49-B5875E59B943}"/>
                </a:ext>
              </a:extLst>
            </xdr:cNvPr>
            <xdr:cNvGraphicFramePr/>
          </xdr:nvGraphicFramePr>
          <xdr:xfrm>
            <a:off x="0" y="0"/>
            <a:ext cx="0" cy="0"/>
          </xdr:xfrm>
          <a:graphic>
            <a:graphicData uri="http://schemas.microsoft.com/office/drawing/2010/slicer">
              <sle:slicer xmlns:sle="http://schemas.microsoft.com/office/drawing/2010/slicer" name="Home Team 1"/>
            </a:graphicData>
          </a:graphic>
        </xdr:graphicFrame>
      </mc:Choice>
      <mc:Fallback xmlns="">
        <xdr:sp macro="" textlink="">
          <xdr:nvSpPr>
            <xdr:cNvPr id="0" name=""/>
            <xdr:cNvSpPr>
              <a:spLocks noTextEdit="1"/>
            </xdr:cNvSpPr>
          </xdr:nvSpPr>
          <xdr:spPr>
            <a:xfrm>
              <a:off x="163513" y="334625"/>
              <a:ext cx="1734985" cy="1423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186530</xdr:colOff>
      <xdr:row>31</xdr:row>
      <xdr:rowOff>8730</xdr:rowOff>
    </xdr:from>
    <xdr:to>
      <xdr:col>3</xdr:col>
      <xdr:colOff>34130</xdr:colOff>
      <xdr:row>38</xdr:row>
      <xdr:rowOff>184944</xdr:rowOff>
    </xdr:to>
    <mc:AlternateContent xmlns:mc="http://schemas.openxmlformats.org/markup-compatibility/2006" xmlns:a14="http://schemas.microsoft.com/office/drawing/2010/main">
      <mc:Choice Requires="a14">
        <xdr:graphicFrame macro="">
          <xdr:nvGraphicFramePr>
            <xdr:cNvPr id="5" name="Full-Time Result 1">
              <a:extLst>
                <a:ext uri="{FF2B5EF4-FFF2-40B4-BE49-F238E27FC236}">
                  <a16:creationId xmlns:a16="http://schemas.microsoft.com/office/drawing/2014/main" id="{A1DE2A77-564E-41CB-AC4C-0BB52EEBCA84}"/>
                </a:ext>
              </a:extLst>
            </xdr:cNvPr>
            <xdr:cNvGraphicFramePr/>
          </xdr:nvGraphicFramePr>
          <xdr:xfrm>
            <a:off x="0" y="0"/>
            <a:ext cx="0" cy="0"/>
          </xdr:xfrm>
          <a:graphic>
            <a:graphicData uri="http://schemas.microsoft.com/office/drawing/2010/slicer">
              <sle:slicer xmlns:sle="http://schemas.microsoft.com/office/drawing/2010/slicer" name="Full-Time Result 1"/>
            </a:graphicData>
          </a:graphic>
        </xdr:graphicFrame>
      </mc:Choice>
      <mc:Fallback xmlns="">
        <xdr:sp macro="" textlink="">
          <xdr:nvSpPr>
            <xdr:cNvPr id="0" name=""/>
            <xdr:cNvSpPr>
              <a:spLocks noTextEdit="1"/>
            </xdr:cNvSpPr>
          </xdr:nvSpPr>
          <xdr:spPr>
            <a:xfrm>
              <a:off x="186530" y="6284792"/>
              <a:ext cx="1687360" cy="154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159543</xdr:colOff>
      <xdr:row>8</xdr:row>
      <xdr:rowOff>66677</xdr:rowOff>
    </xdr:from>
    <xdr:to>
      <xdr:col>3</xdr:col>
      <xdr:colOff>50800</xdr:colOff>
      <xdr:row>15</xdr:row>
      <xdr:rowOff>39145</xdr:rowOff>
    </xdr:to>
    <mc:AlternateContent xmlns:mc="http://schemas.openxmlformats.org/markup-compatibility/2006" xmlns:a14="http://schemas.microsoft.com/office/drawing/2010/main">
      <mc:Choice Requires="a14">
        <xdr:graphicFrame macro="">
          <xdr:nvGraphicFramePr>
            <xdr:cNvPr id="6" name="Stadium 1">
              <a:extLst>
                <a:ext uri="{FF2B5EF4-FFF2-40B4-BE49-F238E27FC236}">
                  <a16:creationId xmlns:a16="http://schemas.microsoft.com/office/drawing/2014/main" id="{F26F3338-4933-484D-9394-8CA7BB4EEC72}"/>
                </a:ext>
              </a:extLst>
            </xdr:cNvPr>
            <xdr:cNvGraphicFramePr/>
          </xdr:nvGraphicFramePr>
          <xdr:xfrm>
            <a:off x="0" y="0"/>
            <a:ext cx="0" cy="0"/>
          </xdr:xfrm>
          <a:graphic>
            <a:graphicData uri="http://schemas.microsoft.com/office/drawing/2010/slicer">
              <sle:slicer xmlns:sle="http://schemas.microsoft.com/office/drawing/2010/slicer" name="Stadium 1"/>
            </a:graphicData>
          </a:graphic>
        </xdr:graphicFrame>
      </mc:Choice>
      <mc:Fallback xmlns="">
        <xdr:sp macro="" textlink="">
          <xdr:nvSpPr>
            <xdr:cNvPr id="0" name=""/>
            <xdr:cNvSpPr>
              <a:spLocks noTextEdit="1"/>
            </xdr:cNvSpPr>
          </xdr:nvSpPr>
          <xdr:spPr>
            <a:xfrm>
              <a:off x="159543" y="1789006"/>
              <a:ext cx="1731017" cy="1394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169862</xdr:colOff>
      <xdr:row>15</xdr:row>
      <xdr:rowOff>122236</xdr:rowOff>
    </xdr:from>
    <xdr:to>
      <xdr:col>3</xdr:col>
      <xdr:colOff>37306</xdr:colOff>
      <xdr:row>23</xdr:row>
      <xdr:rowOff>3174</xdr:rowOff>
    </xdr:to>
    <mc:AlternateContent xmlns:mc="http://schemas.openxmlformats.org/markup-compatibility/2006" xmlns:a14="http://schemas.microsoft.com/office/drawing/2010/main">
      <mc:Choice Requires="a14">
        <xdr:graphicFrame macro="">
          <xdr:nvGraphicFramePr>
            <xdr:cNvPr id="7" name="Season 1">
              <a:extLst>
                <a:ext uri="{FF2B5EF4-FFF2-40B4-BE49-F238E27FC236}">
                  <a16:creationId xmlns:a16="http://schemas.microsoft.com/office/drawing/2014/main" id="{60484A21-343F-4DFC-B5B2-16C546C30425}"/>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9862" y="3266791"/>
              <a:ext cx="1707204" cy="1446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176560</xdr:colOff>
      <xdr:row>10</xdr:row>
      <xdr:rowOff>180084</xdr:rowOff>
    </xdr:from>
    <xdr:to>
      <xdr:col>19</xdr:col>
      <xdr:colOff>13048</xdr:colOff>
      <xdr:row>25</xdr:row>
      <xdr:rowOff>72479</xdr:rowOff>
    </xdr:to>
    <xdr:graphicFrame macro="">
      <xdr:nvGraphicFramePr>
        <xdr:cNvPr id="8" name="Chart 7">
          <a:extLst>
            <a:ext uri="{FF2B5EF4-FFF2-40B4-BE49-F238E27FC236}">
              <a16:creationId xmlns:a16="http://schemas.microsoft.com/office/drawing/2014/main" id="{E3CF696A-A434-4CDE-92EE-ADED72B1A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167134</xdr:colOff>
      <xdr:row>10</xdr:row>
      <xdr:rowOff>177703</xdr:rowOff>
    </xdr:from>
    <xdr:to>
      <xdr:col>11</xdr:col>
      <xdr:colOff>59183</xdr:colOff>
      <xdr:row>25</xdr:row>
      <xdr:rowOff>72480</xdr:rowOff>
    </xdr:to>
    <xdr:graphicFrame macro="">
      <xdr:nvGraphicFramePr>
        <xdr:cNvPr id="9" name="Chart 8">
          <a:extLst>
            <a:ext uri="{FF2B5EF4-FFF2-40B4-BE49-F238E27FC236}">
              <a16:creationId xmlns:a16="http://schemas.microsoft.com/office/drawing/2014/main" id="{BD4A0D22-C793-4F85-80A4-F23C37280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195719</xdr:colOff>
      <xdr:row>25</xdr:row>
      <xdr:rowOff>166046</xdr:rowOff>
    </xdr:from>
    <xdr:to>
      <xdr:col>19</xdr:col>
      <xdr:colOff>21181</xdr:colOff>
      <xdr:row>40</xdr:row>
      <xdr:rowOff>29859</xdr:rowOff>
    </xdr:to>
    <xdr:graphicFrame macro="">
      <xdr:nvGraphicFramePr>
        <xdr:cNvPr id="11" name="Chart 10">
          <a:extLst>
            <a:ext uri="{FF2B5EF4-FFF2-40B4-BE49-F238E27FC236}">
              <a16:creationId xmlns:a16="http://schemas.microsoft.com/office/drawing/2014/main" id="{5F90DD44-DE8E-47C4-9F4F-0BE9F7D0B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177352</xdr:colOff>
      <xdr:row>11</xdr:row>
      <xdr:rowOff>6938</xdr:rowOff>
    </xdr:from>
    <xdr:to>
      <xdr:col>27</xdr:col>
      <xdr:colOff>79722</xdr:colOff>
      <xdr:row>25</xdr:row>
      <xdr:rowOff>65239</xdr:rowOff>
    </xdr:to>
    <xdr:graphicFrame macro="">
      <xdr:nvGraphicFramePr>
        <xdr:cNvPr id="12" name="Chart 11">
          <a:extLst>
            <a:ext uri="{FF2B5EF4-FFF2-40B4-BE49-F238E27FC236}">
              <a16:creationId xmlns:a16="http://schemas.microsoft.com/office/drawing/2014/main" id="{B969DDC8-A9F7-47EC-894C-8BD73981F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3</xdr:row>
      <xdr:rowOff>139700</xdr:rowOff>
    </xdr:from>
    <xdr:to>
      <xdr:col>7</xdr:col>
      <xdr:colOff>0</xdr:colOff>
      <xdr:row>9</xdr:row>
      <xdr:rowOff>88900</xdr:rowOff>
    </xdr:to>
    <xdr:sp macro="" textlink="">
      <xdr:nvSpPr>
        <xdr:cNvPr id="14" name="Cloud 13">
          <a:extLst>
            <a:ext uri="{FF2B5EF4-FFF2-40B4-BE49-F238E27FC236}">
              <a16:creationId xmlns:a16="http://schemas.microsoft.com/office/drawing/2014/main" id="{9528506C-1097-D819-4EB0-6B76E8040AA8}"/>
            </a:ext>
          </a:extLst>
        </xdr:cNvPr>
        <xdr:cNvSpPr/>
      </xdr:nvSpPr>
      <xdr:spPr>
        <a:xfrm>
          <a:off x="2373160" y="726858"/>
          <a:ext cx="1919614" cy="1319234"/>
        </a:xfrm>
        <a:custGeom>
          <a:avLst/>
          <a:gdLst>
            <a:gd name="csX0" fmla="*/ 208535 w 1919614"/>
            <a:gd name="csY0" fmla="*/ 799388 h 1319234"/>
            <a:gd name="csX1" fmla="*/ 95980 w 1919614"/>
            <a:gd name="csY1" fmla="*/ 775049 h 1319234"/>
            <a:gd name="csX2" fmla="*/ 307849 w 1919614"/>
            <a:gd name="csY2" fmla="*/ 1065739 h 1319234"/>
            <a:gd name="csX3" fmla="*/ 258614 w 1919614"/>
            <a:gd name="csY3" fmla="*/ 1077374 h 1319234"/>
            <a:gd name="csX4" fmla="*/ 732208 w 1919614"/>
            <a:gd name="csY4" fmla="*/ 1193723 h 1319234"/>
            <a:gd name="csX5" fmla="*/ 702525 w 1919614"/>
            <a:gd name="csY5" fmla="*/ 1140587 h 1319234"/>
            <a:gd name="csX6" fmla="*/ 1280942 w 1919614"/>
            <a:gd name="csY6" fmla="*/ 1061219 h 1319234"/>
            <a:gd name="csX7" fmla="*/ 1269078 w 1919614"/>
            <a:gd name="csY7" fmla="*/ 1119516 h 1319234"/>
            <a:gd name="csX8" fmla="*/ 1516539 w 1919614"/>
            <a:gd name="csY8" fmla="*/ 700965 h 1319234"/>
            <a:gd name="csX9" fmla="*/ 1660999 w 1919614"/>
            <a:gd name="csY9" fmla="*/ 918883 h 1319234"/>
            <a:gd name="csX10" fmla="*/ 1857315 w 1919614"/>
            <a:gd name="csY10" fmla="*/ 468877 h 1319234"/>
            <a:gd name="csX11" fmla="*/ 1792972 w 1919614"/>
            <a:gd name="csY11" fmla="*/ 550596 h 1319234"/>
            <a:gd name="csX12" fmla="*/ 1702946 w 1919614"/>
            <a:gd name="csY12" fmla="*/ 165698 h 1319234"/>
            <a:gd name="csX13" fmla="*/ 1706323 w 1919614"/>
            <a:gd name="csY13" fmla="*/ 204298 h 1319234"/>
            <a:gd name="csX14" fmla="*/ 1292095 w 1919614"/>
            <a:gd name="csY14" fmla="*/ 120685 h 1319234"/>
            <a:gd name="csX15" fmla="*/ 1325066 w 1919614"/>
            <a:gd name="csY15" fmla="*/ 71458 h 1319234"/>
            <a:gd name="csX16" fmla="*/ 983846 w 1919614"/>
            <a:gd name="csY16" fmla="*/ 144138 h 1319234"/>
            <a:gd name="csX17" fmla="*/ 999798 w 1919614"/>
            <a:gd name="csY17" fmla="*/ 101690 h 1319234"/>
            <a:gd name="csX18" fmla="*/ 622097 w 1919614"/>
            <a:gd name="csY18" fmla="*/ 158552 h 1319234"/>
            <a:gd name="csX19" fmla="*/ 679863 w 1919614"/>
            <a:gd name="csY19" fmla="*/ 199717 h 1319234"/>
            <a:gd name="csX20" fmla="*/ 183385 w 1919614"/>
            <a:gd name="csY20" fmla="*/ 482161 h 1319234"/>
            <a:gd name="csX21" fmla="*/ 173298 w 1919614"/>
            <a:gd name="csY21" fmla="*/ 438828 h 13192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1919614" h="1319234" extrusionOk="0">
              <a:moveTo>
                <a:pt x="173298" y="438828"/>
              </a:moveTo>
              <a:cubicBezTo>
                <a:pt x="158015" y="357159"/>
                <a:pt x="192569" y="272064"/>
                <a:pt x="249860" y="210924"/>
              </a:cubicBezTo>
              <a:cubicBezTo>
                <a:pt x="348699" y="132164"/>
                <a:pt x="500325" y="89880"/>
                <a:pt x="622319" y="158857"/>
              </a:cubicBezTo>
              <a:cubicBezTo>
                <a:pt x="673493" y="20624"/>
                <a:pt x="884299" y="-1475"/>
                <a:pt x="997843" y="104805"/>
              </a:cubicBezTo>
              <a:cubicBezTo>
                <a:pt x="1028411" y="50460"/>
                <a:pt x="1081019" y="12415"/>
                <a:pt x="1144169" y="6107"/>
              </a:cubicBezTo>
              <a:cubicBezTo>
                <a:pt x="1209172" y="-2029"/>
                <a:pt x="1287531" y="13066"/>
                <a:pt x="1325644" y="75764"/>
              </a:cubicBezTo>
              <a:cubicBezTo>
                <a:pt x="1382725" y="-5444"/>
                <a:pt x="1484687" y="-9578"/>
                <a:pt x="1575816" y="21071"/>
              </a:cubicBezTo>
              <a:cubicBezTo>
                <a:pt x="1636009" y="48886"/>
                <a:pt x="1692739" y="97668"/>
                <a:pt x="1702679" y="170278"/>
              </a:cubicBezTo>
              <a:cubicBezTo>
                <a:pt x="1787793" y="184588"/>
                <a:pt x="1842121" y="244584"/>
                <a:pt x="1865491" y="315089"/>
              </a:cubicBezTo>
              <a:cubicBezTo>
                <a:pt x="1878820" y="359649"/>
                <a:pt x="1876783" y="421194"/>
                <a:pt x="1858204" y="472114"/>
              </a:cubicBezTo>
              <a:cubicBezTo>
                <a:pt x="1916992" y="538558"/>
                <a:pt x="1938528" y="627528"/>
                <a:pt x="1911437" y="712203"/>
              </a:cubicBezTo>
              <a:cubicBezTo>
                <a:pt x="1882073" y="821321"/>
                <a:pt x="1786629" y="911481"/>
                <a:pt x="1662065" y="922364"/>
              </a:cubicBezTo>
              <a:cubicBezTo>
                <a:pt x="1649928" y="985734"/>
                <a:pt x="1616869" y="1064264"/>
                <a:pt x="1572794" y="1102445"/>
              </a:cubicBezTo>
              <a:cubicBezTo>
                <a:pt x="1492324" y="1172992"/>
                <a:pt x="1362493" y="1185025"/>
                <a:pt x="1268855" y="1124249"/>
              </a:cubicBezTo>
              <a:cubicBezTo>
                <a:pt x="1255732" y="1213403"/>
                <a:pt x="1155827" y="1306469"/>
                <a:pt x="1051655" y="1316363"/>
              </a:cubicBezTo>
              <a:cubicBezTo>
                <a:pt x="934342" y="1337157"/>
                <a:pt x="794005" y="1281055"/>
                <a:pt x="732297" y="1199098"/>
              </a:cubicBezTo>
              <a:cubicBezTo>
                <a:pt x="533227" y="1283690"/>
                <a:pt x="348850" y="1259750"/>
                <a:pt x="257903" y="1083237"/>
              </a:cubicBezTo>
              <a:cubicBezTo>
                <a:pt x="150465" y="1087413"/>
                <a:pt x="69210" y="1037045"/>
                <a:pt x="49323" y="954307"/>
              </a:cubicBezTo>
              <a:cubicBezTo>
                <a:pt x="31970" y="893876"/>
                <a:pt x="37758" y="835850"/>
                <a:pt x="93892" y="780271"/>
              </a:cubicBezTo>
              <a:cubicBezTo>
                <a:pt x="33044" y="743921"/>
                <a:pt x="-15355" y="667326"/>
                <a:pt x="-223" y="601717"/>
              </a:cubicBezTo>
              <a:cubicBezTo>
                <a:pt x="14356" y="523315"/>
                <a:pt x="85731" y="454540"/>
                <a:pt x="171654" y="443012"/>
              </a:cubicBezTo>
              <a:cubicBezTo>
                <a:pt x="172266" y="441602"/>
                <a:pt x="172910" y="440155"/>
                <a:pt x="173298" y="438828"/>
              </a:cubicBezTo>
              <a:close/>
            </a:path>
            <a:path w="1919614" h="1319234" fill="none" extrusionOk="0">
              <a:moveTo>
                <a:pt x="208535" y="799388"/>
              </a:moveTo>
              <a:cubicBezTo>
                <a:pt x="166673" y="805540"/>
                <a:pt x="126059" y="799513"/>
                <a:pt x="95980" y="775049"/>
              </a:cubicBezTo>
              <a:moveTo>
                <a:pt x="307849" y="1065739"/>
              </a:moveTo>
              <a:cubicBezTo>
                <a:pt x="291151" y="1069394"/>
                <a:pt x="274310" y="1074468"/>
                <a:pt x="258614" y="1077374"/>
              </a:cubicBezTo>
              <a:moveTo>
                <a:pt x="732208" y="1193723"/>
              </a:moveTo>
              <a:cubicBezTo>
                <a:pt x="717687" y="1176826"/>
                <a:pt x="709260" y="1159486"/>
                <a:pt x="702525" y="1140587"/>
              </a:cubicBezTo>
              <a:moveTo>
                <a:pt x="1280942" y="1061219"/>
              </a:moveTo>
              <a:cubicBezTo>
                <a:pt x="1280620" y="1080620"/>
                <a:pt x="1275205" y="1097507"/>
                <a:pt x="1269078" y="1119516"/>
              </a:cubicBezTo>
              <a:moveTo>
                <a:pt x="1516539" y="700965"/>
              </a:moveTo>
              <a:cubicBezTo>
                <a:pt x="1611596" y="734148"/>
                <a:pt x="1651338" y="825963"/>
                <a:pt x="1660999" y="918883"/>
              </a:cubicBezTo>
              <a:moveTo>
                <a:pt x="1857315" y="468877"/>
              </a:moveTo>
              <a:cubicBezTo>
                <a:pt x="1843549" y="499246"/>
                <a:pt x="1827388" y="527716"/>
                <a:pt x="1792972" y="550596"/>
              </a:cubicBezTo>
              <a:moveTo>
                <a:pt x="1702946" y="165698"/>
              </a:moveTo>
              <a:cubicBezTo>
                <a:pt x="1705111" y="178717"/>
                <a:pt x="1705549" y="189843"/>
                <a:pt x="1706323" y="204298"/>
              </a:cubicBezTo>
              <a:moveTo>
                <a:pt x="1292095" y="120685"/>
              </a:moveTo>
              <a:cubicBezTo>
                <a:pt x="1301033" y="104107"/>
                <a:pt x="1311547" y="89224"/>
                <a:pt x="1325066" y="71458"/>
              </a:cubicBezTo>
              <a:moveTo>
                <a:pt x="983846" y="144138"/>
              </a:moveTo>
              <a:cubicBezTo>
                <a:pt x="985310" y="130431"/>
                <a:pt x="991088" y="115565"/>
                <a:pt x="999798" y="101690"/>
              </a:cubicBezTo>
              <a:moveTo>
                <a:pt x="622097" y="158552"/>
              </a:moveTo>
              <a:cubicBezTo>
                <a:pt x="645018" y="170340"/>
                <a:pt x="662794" y="183134"/>
                <a:pt x="679863" y="199717"/>
              </a:cubicBezTo>
              <a:moveTo>
                <a:pt x="183385" y="482161"/>
              </a:moveTo>
              <a:cubicBezTo>
                <a:pt x="179829" y="466705"/>
                <a:pt x="173507" y="452176"/>
                <a:pt x="173298" y="438828"/>
              </a:cubicBezTo>
            </a:path>
          </a:pathLst>
        </a:custGeom>
        <a:noFill/>
        <a:ln w="28575">
          <a:solidFill>
            <a:sysClr val="windowText" lastClr="000000"/>
          </a:solidFill>
          <a:extLst>
            <a:ext uri="{C807C97D-BFC1-408E-A445-0C87EB9F89A2}">
              <ask:lineSketchStyleProps xmlns:ask="http://schemas.microsoft.com/office/drawing/2018/sketchyshapes" sd="3419484044">
                <a:prstGeom prst="cloud">
                  <a:avLst/>
                </a:prstGeom>
                <ask:type>
                  <ask:lineSketchCurved/>
                </ask:type>
              </ask:lineSketchStyleProps>
            </a:ext>
          </a:extLst>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3</xdr:row>
      <xdr:rowOff>152400</xdr:rowOff>
    </xdr:from>
    <xdr:to>
      <xdr:col>11</xdr:col>
      <xdr:colOff>38100</xdr:colOff>
      <xdr:row>9</xdr:row>
      <xdr:rowOff>101600</xdr:rowOff>
    </xdr:to>
    <xdr:sp macro="" textlink="">
      <xdr:nvSpPr>
        <xdr:cNvPr id="15" name="Cloud 14">
          <a:extLst>
            <a:ext uri="{FF2B5EF4-FFF2-40B4-BE49-F238E27FC236}">
              <a16:creationId xmlns:a16="http://schemas.microsoft.com/office/drawing/2014/main" id="{42BFEA16-FD97-44F4-937C-F15C2805D723}"/>
            </a:ext>
          </a:extLst>
        </xdr:cNvPr>
        <xdr:cNvSpPr/>
      </xdr:nvSpPr>
      <xdr:spPr>
        <a:xfrm>
          <a:off x="5372100" y="723900"/>
          <a:ext cx="1981200" cy="1295400"/>
        </a:xfrm>
        <a:custGeom>
          <a:avLst/>
          <a:gdLst>
            <a:gd name="csX0" fmla="*/ 215226 w 1981200"/>
            <a:gd name="csY0" fmla="*/ 784946 h 1295400"/>
            <a:gd name="csX1" fmla="*/ 99060 w 1981200"/>
            <a:gd name="csY1" fmla="*/ 761047 h 1295400"/>
            <a:gd name="csX2" fmla="*/ 317725 w 1981200"/>
            <a:gd name="csY2" fmla="*/ 1046485 h 1295400"/>
            <a:gd name="csX3" fmla="*/ 266911 w 1981200"/>
            <a:gd name="csY3" fmla="*/ 1057910 h 1295400"/>
            <a:gd name="csX4" fmla="*/ 755699 w 1981200"/>
            <a:gd name="csY4" fmla="*/ 1172157 h 1295400"/>
            <a:gd name="csX5" fmla="*/ 725064 w 1981200"/>
            <a:gd name="csY5" fmla="*/ 1119981 h 1295400"/>
            <a:gd name="csX6" fmla="*/ 1322038 w 1981200"/>
            <a:gd name="csY6" fmla="*/ 1042047 h 1295400"/>
            <a:gd name="csX7" fmla="*/ 1309793 w 1981200"/>
            <a:gd name="csY7" fmla="*/ 1099290 h 1295400"/>
            <a:gd name="csX8" fmla="*/ 1565193 w 1981200"/>
            <a:gd name="csY8" fmla="*/ 688301 h 1295400"/>
            <a:gd name="csX9" fmla="*/ 1714288 w 1981200"/>
            <a:gd name="csY9" fmla="*/ 902282 h 1295400"/>
            <a:gd name="csX10" fmla="*/ 1916902 w 1981200"/>
            <a:gd name="csY10" fmla="*/ 460406 h 1295400"/>
            <a:gd name="csX11" fmla="*/ 1850495 w 1981200"/>
            <a:gd name="csY11" fmla="*/ 540649 h 1295400"/>
            <a:gd name="csX12" fmla="*/ 1757581 w 1981200"/>
            <a:gd name="csY12" fmla="*/ 162704 h 1295400"/>
            <a:gd name="csX13" fmla="*/ 1761066 w 1981200"/>
            <a:gd name="csY13" fmla="*/ 200607 h 1295400"/>
            <a:gd name="csX14" fmla="*/ 1333549 w 1981200"/>
            <a:gd name="csY14" fmla="*/ 118505 h 1295400"/>
            <a:gd name="csX15" fmla="*/ 1367578 w 1981200"/>
            <a:gd name="csY15" fmla="*/ 70167 h 1295400"/>
            <a:gd name="csX16" fmla="*/ 1015410 w 1981200"/>
            <a:gd name="csY16" fmla="*/ 141534 h 1295400"/>
            <a:gd name="csX17" fmla="*/ 1031875 w 1981200"/>
            <a:gd name="csY17" fmla="*/ 99853 h 1295400"/>
            <a:gd name="csX18" fmla="*/ 642055 w 1981200"/>
            <a:gd name="csY18" fmla="*/ 155687 h 1295400"/>
            <a:gd name="csX19" fmla="*/ 701675 w 1981200"/>
            <a:gd name="csY19" fmla="*/ 196109 h 1295400"/>
            <a:gd name="csX20" fmla="*/ 189268 w 1981200"/>
            <a:gd name="csY20" fmla="*/ 473450 h 1295400"/>
            <a:gd name="csX21" fmla="*/ 178858 w 1981200"/>
            <a:gd name="csY21" fmla="*/ 430900 h 1295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1981200" h="1295400" extrusionOk="0">
              <a:moveTo>
                <a:pt x="178858" y="430900"/>
              </a:moveTo>
              <a:cubicBezTo>
                <a:pt x="155494" y="353530"/>
                <a:pt x="206771" y="266231"/>
                <a:pt x="257877" y="207114"/>
              </a:cubicBezTo>
              <a:cubicBezTo>
                <a:pt x="361342" y="139022"/>
                <a:pt x="514459" y="66087"/>
                <a:pt x="642284" y="155987"/>
              </a:cubicBezTo>
              <a:cubicBezTo>
                <a:pt x="700450" y="21541"/>
                <a:pt x="911990" y="-4030"/>
                <a:pt x="1029857" y="102912"/>
              </a:cubicBezTo>
              <a:cubicBezTo>
                <a:pt x="1066018" y="47432"/>
                <a:pt x="1115696" y="10930"/>
                <a:pt x="1180877" y="5997"/>
              </a:cubicBezTo>
              <a:cubicBezTo>
                <a:pt x="1247979" y="-1941"/>
                <a:pt x="1329421" y="10940"/>
                <a:pt x="1368174" y="74395"/>
              </a:cubicBezTo>
              <a:cubicBezTo>
                <a:pt x="1425801" y="-10066"/>
                <a:pt x="1524919" y="-796"/>
                <a:pt x="1626372" y="20690"/>
              </a:cubicBezTo>
              <a:cubicBezTo>
                <a:pt x="1687101" y="48294"/>
                <a:pt x="1747745" y="94089"/>
                <a:pt x="1757306" y="167202"/>
              </a:cubicBezTo>
              <a:cubicBezTo>
                <a:pt x="1847126" y="179731"/>
                <a:pt x="1904285" y="240875"/>
                <a:pt x="1925341" y="309396"/>
              </a:cubicBezTo>
              <a:cubicBezTo>
                <a:pt x="1943497" y="359158"/>
                <a:pt x="1933870" y="412656"/>
                <a:pt x="1917819" y="463585"/>
              </a:cubicBezTo>
              <a:cubicBezTo>
                <a:pt x="1976509" y="530020"/>
                <a:pt x="2000709" y="616132"/>
                <a:pt x="1972761" y="699336"/>
              </a:cubicBezTo>
              <a:cubicBezTo>
                <a:pt x="1945656" y="792277"/>
                <a:pt x="1846625" y="899311"/>
                <a:pt x="1715389" y="905700"/>
              </a:cubicBezTo>
              <a:cubicBezTo>
                <a:pt x="1703426" y="967918"/>
                <a:pt x="1669683" y="1044840"/>
                <a:pt x="1623254" y="1082528"/>
              </a:cubicBezTo>
              <a:cubicBezTo>
                <a:pt x="1546771" y="1154448"/>
                <a:pt x="1406842" y="1162130"/>
                <a:pt x="1309564" y="1103938"/>
              </a:cubicBezTo>
              <a:cubicBezTo>
                <a:pt x="1287467" y="1194295"/>
                <a:pt x="1192714" y="1278778"/>
                <a:pt x="1085394" y="1292581"/>
              </a:cubicBezTo>
              <a:cubicBezTo>
                <a:pt x="967864" y="1307741"/>
                <a:pt x="820392" y="1258912"/>
                <a:pt x="755791" y="1177434"/>
              </a:cubicBezTo>
              <a:cubicBezTo>
                <a:pt x="576253" y="1266399"/>
                <a:pt x="356980" y="1251047"/>
                <a:pt x="266177" y="1063667"/>
              </a:cubicBezTo>
              <a:cubicBezTo>
                <a:pt x="156469" y="1067994"/>
                <a:pt x="68927" y="1017457"/>
                <a:pt x="50905" y="937065"/>
              </a:cubicBezTo>
              <a:cubicBezTo>
                <a:pt x="36951" y="879657"/>
                <a:pt x="44935" y="815466"/>
                <a:pt x="96904" y="766175"/>
              </a:cubicBezTo>
              <a:cubicBezTo>
                <a:pt x="40469" y="730723"/>
                <a:pt x="-16527" y="654236"/>
                <a:pt x="-230" y="590846"/>
              </a:cubicBezTo>
              <a:cubicBezTo>
                <a:pt x="17601" y="518418"/>
                <a:pt x="89018" y="446880"/>
                <a:pt x="177161" y="435008"/>
              </a:cubicBezTo>
              <a:cubicBezTo>
                <a:pt x="177958" y="433613"/>
                <a:pt x="178511" y="432170"/>
                <a:pt x="178858" y="430900"/>
              </a:cubicBezTo>
              <a:close/>
            </a:path>
            <a:path w="1981200" h="1295400" fill="none" extrusionOk="0">
              <a:moveTo>
                <a:pt x="215226" y="784946"/>
              </a:moveTo>
              <a:cubicBezTo>
                <a:pt x="171728" y="791524"/>
                <a:pt x="131282" y="783627"/>
                <a:pt x="99060" y="761047"/>
              </a:cubicBezTo>
              <a:moveTo>
                <a:pt x="317725" y="1046485"/>
              </a:moveTo>
              <a:cubicBezTo>
                <a:pt x="300566" y="1050140"/>
                <a:pt x="282961" y="1054868"/>
                <a:pt x="266911" y="1057910"/>
              </a:cubicBezTo>
              <a:moveTo>
                <a:pt x="755699" y="1172157"/>
              </a:moveTo>
              <a:cubicBezTo>
                <a:pt x="739471" y="1155450"/>
                <a:pt x="730130" y="1138949"/>
                <a:pt x="725064" y="1119981"/>
              </a:cubicBezTo>
              <a:moveTo>
                <a:pt x="1322038" y="1042047"/>
              </a:moveTo>
              <a:cubicBezTo>
                <a:pt x="1323200" y="1060701"/>
                <a:pt x="1316119" y="1078631"/>
                <a:pt x="1309793" y="1099290"/>
              </a:cubicBezTo>
              <a:moveTo>
                <a:pt x="1565193" y="688301"/>
              </a:moveTo>
              <a:cubicBezTo>
                <a:pt x="1659483" y="725197"/>
                <a:pt x="1703755" y="811007"/>
                <a:pt x="1714288" y="902282"/>
              </a:cubicBezTo>
              <a:moveTo>
                <a:pt x="1916902" y="460406"/>
              </a:moveTo>
              <a:cubicBezTo>
                <a:pt x="1905293" y="485768"/>
                <a:pt x="1884084" y="518342"/>
                <a:pt x="1850495" y="540649"/>
              </a:cubicBezTo>
              <a:moveTo>
                <a:pt x="1757581" y="162704"/>
              </a:moveTo>
              <a:cubicBezTo>
                <a:pt x="1759323" y="176005"/>
                <a:pt x="1761099" y="187596"/>
                <a:pt x="1761066" y="200607"/>
              </a:cubicBezTo>
              <a:moveTo>
                <a:pt x="1333549" y="118505"/>
              </a:moveTo>
              <a:cubicBezTo>
                <a:pt x="1342841" y="102441"/>
                <a:pt x="1353623" y="88166"/>
                <a:pt x="1367578" y="70167"/>
              </a:cubicBezTo>
              <a:moveTo>
                <a:pt x="1015410" y="141534"/>
              </a:moveTo>
              <a:cubicBezTo>
                <a:pt x="1016353" y="128418"/>
                <a:pt x="1022260" y="113660"/>
                <a:pt x="1031875" y="99853"/>
              </a:cubicBezTo>
              <a:moveTo>
                <a:pt x="642055" y="155687"/>
              </a:moveTo>
              <a:cubicBezTo>
                <a:pt x="666020" y="167326"/>
                <a:pt x="684314" y="179252"/>
                <a:pt x="701675" y="196109"/>
              </a:cubicBezTo>
              <a:moveTo>
                <a:pt x="189268" y="473450"/>
              </a:moveTo>
              <a:cubicBezTo>
                <a:pt x="185847" y="457897"/>
                <a:pt x="178942" y="443848"/>
                <a:pt x="178858" y="430900"/>
              </a:cubicBezTo>
            </a:path>
          </a:pathLst>
        </a:custGeom>
        <a:noFill/>
        <a:ln w="28575">
          <a:solidFill>
            <a:sysClr val="windowText" lastClr="000000"/>
          </a:solidFill>
          <a:extLst>
            <a:ext uri="{C807C97D-BFC1-408E-A445-0C87EB9F89A2}">
              <ask:lineSketchStyleProps xmlns:ask="http://schemas.microsoft.com/office/drawing/2018/sketchyshapes" sd="3419484044">
                <a:prstGeom prst="cloud">
                  <a:avLst/>
                </a:prstGeom>
                <ask:type>
                  <ask:lineSketchCurved/>
                </ask:type>
              </ask:lineSketchStyleProps>
            </a:ext>
          </a:extLst>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3</xdr:row>
      <xdr:rowOff>165100</xdr:rowOff>
    </xdr:from>
    <xdr:to>
      <xdr:col>15</xdr:col>
      <xdr:colOff>190500</xdr:colOff>
      <xdr:row>9</xdr:row>
      <xdr:rowOff>114300</xdr:rowOff>
    </xdr:to>
    <xdr:sp macro="" textlink="">
      <xdr:nvSpPr>
        <xdr:cNvPr id="16" name="Cloud 15">
          <a:extLst>
            <a:ext uri="{FF2B5EF4-FFF2-40B4-BE49-F238E27FC236}">
              <a16:creationId xmlns:a16="http://schemas.microsoft.com/office/drawing/2014/main" id="{69877077-9F5F-467D-98F1-552F361F9732}"/>
            </a:ext>
          </a:extLst>
        </xdr:cNvPr>
        <xdr:cNvSpPr/>
      </xdr:nvSpPr>
      <xdr:spPr>
        <a:xfrm>
          <a:off x="7962900" y="736600"/>
          <a:ext cx="1981200" cy="1295400"/>
        </a:xfrm>
        <a:custGeom>
          <a:avLst/>
          <a:gdLst>
            <a:gd name="csX0" fmla="*/ 215226 w 1981200"/>
            <a:gd name="csY0" fmla="*/ 784946 h 1295400"/>
            <a:gd name="csX1" fmla="*/ 99060 w 1981200"/>
            <a:gd name="csY1" fmla="*/ 761047 h 1295400"/>
            <a:gd name="csX2" fmla="*/ 317725 w 1981200"/>
            <a:gd name="csY2" fmla="*/ 1046485 h 1295400"/>
            <a:gd name="csX3" fmla="*/ 266911 w 1981200"/>
            <a:gd name="csY3" fmla="*/ 1057910 h 1295400"/>
            <a:gd name="csX4" fmla="*/ 755699 w 1981200"/>
            <a:gd name="csY4" fmla="*/ 1172157 h 1295400"/>
            <a:gd name="csX5" fmla="*/ 725064 w 1981200"/>
            <a:gd name="csY5" fmla="*/ 1119981 h 1295400"/>
            <a:gd name="csX6" fmla="*/ 1322038 w 1981200"/>
            <a:gd name="csY6" fmla="*/ 1042047 h 1295400"/>
            <a:gd name="csX7" fmla="*/ 1309793 w 1981200"/>
            <a:gd name="csY7" fmla="*/ 1099290 h 1295400"/>
            <a:gd name="csX8" fmla="*/ 1565193 w 1981200"/>
            <a:gd name="csY8" fmla="*/ 688301 h 1295400"/>
            <a:gd name="csX9" fmla="*/ 1714288 w 1981200"/>
            <a:gd name="csY9" fmla="*/ 902282 h 1295400"/>
            <a:gd name="csX10" fmla="*/ 1916902 w 1981200"/>
            <a:gd name="csY10" fmla="*/ 460406 h 1295400"/>
            <a:gd name="csX11" fmla="*/ 1850495 w 1981200"/>
            <a:gd name="csY11" fmla="*/ 540649 h 1295400"/>
            <a:gd name="csX12" fmla="*/ 1757581 w 1981200"/>
            <a:gd name="csY12" fmla="*/ 162704 h 1295400"/>
            <a:gd name="csX13" fmla="*/ 1761066 w 1981200"/>
            <a:gd name="csY13" fmla="*/ 200607 h 1295400"/>
            <a:gd name="csX14" fmla="*/ 1333549 w 1981200"/>
            <a:gd name="csY14" fmla="*/ 118505 h 1295400"/>
            <a:gd name="csX15" fmla="*/ 1367578 w 1981200"/>
            <a:gd name="csY15" fmla="*/ 70167 h 1295400"/>
            <a:gd name="csX16" fmla="*/ 1015410 w 1981200"/>
            <a:gd name="csY16" fmla="*/ 141534 h 1295400"/>
            <a:gd name="csX17" fmla="*/ 1031875 w 1981200"/>
            <a:gd name="csY17" fmla="*/ 99853 h 1295400"/>
            <a:gd name="csX18" fmla="*/ 642055 w 1981200"/>
            <a:gd name="csY18" fmla="*/ 155687 h 1295400"/>
            <a:gd name="csX19" fmla="*/ 701675 w 1981200"/>
            <a:gd name="csY19" fmla="*/ 196109 h 1295400"/>
            <a:gd name="csX20" fmla="*/ 189268 w 1981200"/>
            <a:gd name="csY20" fmla="*/ 473450 h 1295400"/>
            <a:gd name="csX21" fmla="*/ 178858 w 1981200"/>
            <a:gd name="csY21" fmla="*/ 430900 h 1295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1981200" h="1295400" extrusionOk="0">
              <a:moveTo>
                <a:pt x="178858" y="430900"/>
              </a:moveTo>
              <a:cubicBezTo>
                <a:pt x="155494" y="353530"/>
                <a:pt x="206771" y="266231"/>
                <a:pt x="257877" y="207114"/>
              </a:cubicBezTo>
              <a:cubicBezTo>
                <a:pt x="361342" y="139022"/>
                <a:pt x="514459" y="66087"/>
                <a:pt x="642284" y="155987"/>
              </a:cubicBezTo>
              <a:cubicBezTo>
                <a:pt x="700450" y="21541"/>
                <a:pt x="911990" y="-4030"/>
                <a:pt x="1029857" y="102912"/>
              </a:cubicBezTo>
              <a:cubicBezTo>
                <a:pt x="1066018" y="47432"/>
                <a:pt x="1115696" y="10930"/>
                <a:pt x="1180877" y="5997"/>
              </a:cubicBezTo>
              <a:cubicBezTo>
                <a:pt x="1247979" y="-1941"/>
                <a:pt x="1329421" y="10940"/>
                <a:pt x="1368174" y="74395"/>
              </a:cubicBezTo>
              <a:cubicBezTo>
                <a:pt x="1425801" y="-10066"/>
                <a:pt x="1524919" y="-796"/>
                <a:pt x="1626372" y="20690"/>
              </a:cubicBezTo>
              <a:cubicBezTo>
                <a:pt x="1687101" y="48294"/>
                <a:pt x="1747745" y="94089"/>
                <a:pt x="1757306" y="167202"/>
              </a:cubicBezTo>
              <a:cubicBezTo>
                <a:pt x="1847126" y="179731"/>
                <a:pt x="1904285" y="240875"/>
                <a:pt x="1925341" y="309396"/>
              </a:cubicBezTo>
              <a:cubicBezTo>
                <a:pt x="1943497" y="359158"/>
                <a:pt x="1933870" y="412656"/>
                <a:pt x="1917819" y="463585"/>
              </a:cubicBezTo>
              <a:cubicBezTo>
                <a:pt x="1976509" y="530020"/>
                <a:pt x="2000709" y="616132"/>
                <a:pt x="1972761" y="699336"/>
              </a:cubicBezTo>
              <a:cubicBezTo>
                <a:pt x="1945656" y="792277"/>
                <a:pt x="1846625" y="899311"/>
                <a:pt x="1715389" y="905700"/>
              </a:cubicBezTo>
              <a:cubicBezTo>
                <a:pt x="1703426" y="967918"/>
                <a:pt x="1669683" y="1044840"/>
                <a:pt x="1623254" y="1082528"/>
              </a:cubicBezTo>
              <a:cubicBezTo>
                <a:pt x="1546771" y="1154448"/>
                <a:pt x="1406842" y="1162130"/>
                <a:pt x="1309564" y="1103938"/>
              </a:cubicBezTo>
              <a:cubicBezTo>
                <a:pt x="1287467" y="1194295"/>
                <a:pt x="1192714" y="1278778"/>
                <a:pt x="1085394" y="1292581"/>
              </a:cubicBezTo>
              <a:cubicBezTo>
                <a:pt x="967864" y="1307741"/>
                <a:pt x="820392" y="1258912"/>
                <a:pt x="755791" y="1177434"/>
              </a:cubicBezTo>
              <a:cubicBezTo>
                <a:pt x="576253" y="1266399"/>
                <a:pt x="356980" y="1251047"/>
                <a:pt x="266177" y="1063667"/>
              </a:cubicBezTo>
              <a:cubicBezTo>
                <a:pt x="156469" y="1067994"/>
                <a:pt x="68927" y="1017457"/>
                <a:pt x="50905" y="937065"/>
              </a:cubicBezTo>
              <a:cubicBezTo>
                <a:pt x="36951" y="879657"/>
                <a:pt x="44935" y="815466"/>
                <a:pt x="96904" y="766175"/>
              </a:cubicBezTo>
              <a:cubicBezTo>
                <a:pt x="40469" y="730723"/>
                <a:pt x="-16527" y="654236"/>
                <a:pt x="-230" y="590846"/>
              </a:cubicBezTo>
              <a:cubicBezTo>
                <a:pt x="17601" y="518418"/>
                <a:pt x="89018" y="446880"/>
                <a:pt x="177161" y="435008"/>
              </a:cubicBezTo>
              <a:cubicBezTo>
                <a:pt x="177958" y="433613"/>
                <a:pt x="178511" y="432170"/>
                <a:pt x="178858" y="430900"/>
              </a:cubicBezTo>
              <a:close/>
            </a:path>
            <a:path w="1981200" h="1295400" fill="none" extrusionOk="0">
              <a:moveTo>
                <a:pt x="215226" y="784946"/>
              </a:moveTo>
              <a:cubicBezTo>
                <a:pt x="171728" y="791524"/>
                <a:pt x="131282" y="783627"/>
                <a:pt x="99060" y="761047"/>
              </a:cubicBezTo>
              <a:moveTo>
                <a:pt x="317725" y="1046485"/>
              </a:moveTo>
              <a:cubicBezTo>
                <a:pt x="300566" y="1050140"/>
                <a:pt x="282961" y="1054868"/>
                <a:pt x="266911" y="1057910"/>
              </a:cubicBezTo>
              <a:moveTo>
                <a:pt x="755699" y="1172157"/>
              </a:moveTo>
              <a:cubicBezTo>
                <a:pt x="739471" y="1155450"/>
                <a:pt x="730130" y="1138949"/>
                <a:pt x="725064" y="1119981"/>
              </a:cubicBezTo>
              <a:moveTo>
                <a:pt x="1322038" y="1042047"/>
              </a:moveTo>
              <a:cubicBezTo>
                <a:pt x="1323200" y="1060701"/>
                <a:pt x="1316119" y="1078631"/>
                <a:pt x="1309793" y="1099290"/>
              </a:cubicBezTo>
              <a:moveTo>
                <a:pt x="1565193" y="688301"/>
              </a:moveTo>
              <a:cubicBezTo>
                <a:pt x="1659483" y="725197"/>
                <a:pt x="1703755" y="811007"/>
                <a:pt x="1714288" y="902282"/>
              </a:cubicBezTo>
              <a:moveTo>
                <a:pt x="1916902" y="460406"/>
              </a:moveTo>
              <a:cubicBezTo>
                <a:pt x="1905293" y="485768"/>
                <a:pt x="1884084" y="518342"/>
                <a:pt x="1850495" y="540649"/>
              </a:cubicBezTo>
              <a:moveTo>
                <a:pt x="1757581" y="162704"/>
              </a:moveTo>
              <a:cubicBezTo>
                <a:pt x="1759323" y="176005"/>
                <a:pt x="1761099" y="187596"/>
                <a:pt x="1761066" y="200607"/>
              </a:cubicBezTo>
              <a:moveTo>
                <a:pt x="1333549" y="118505"/>
              </a:moveTo>
              <a:cubicBezTo>
                <a:pt x="1342841" y="102441"/>
                <a:pt x="1353623" y="88166"/>
                <a:pt x="1367578" y="70167"/>
              </a:cubicBezTo>
              <a:moveTo>
                <a:pt x="1015410" y="141534"/>
              </a:moveTo>
              <a:cubicBezTo>
                <a:pt x="1016353" y="128418"/>
                <a:pt x="1022260" y="113660"/>
                <a:pt x="1031875" y="99853"/>
              </a:cubicBezTo>
              <a:moveTo>
                <a:pt x="642055" y="155687"/>
              </a:moveTo>
              <a:cubicBezTo>
                <a:pt x="666020" y="167326"/>
                <a:pt x="684314" y="179252"/>
                <a:pt x="701675" y="196109"/>
              </a:cubicBezTo>
              <a:moveTo>
                <a:pt x="189268" y="473450"/>
              </a:moveTo>
              <a:cubicBezTo>
                <a:pt x="185847" y="457897"/>
                <a:pt x="178942" y="443848"/>
                <a:pt x="178858" y="430900"/>
              </a:cubicBezTo>
            </a:path>
          </a:pathLst>
        </a:custGeom>
        <a:noFill/>
        <a:ln w="28575">
          <a:solidFill>
            <a:sysClr val="windowText" lastClr="000000"/>
          </a:solidFill>
          <a:extLst>
            <a:ext uri="{C807C97D-BFC1-408E-A445-0C87EB9F89A2}">
              <ask:lineSketchStyleProps xmlns:ask="http://schemas.microsoft.com/office/drawing/2018/sketchyshapes" sd="3419484044">
                <a:prstGeom prst="cloud">
                  <a:avLst/>
                </a:prstGeom>
                <ask:type>
                  <ask:lineSketchCurved/>
                </ask:type>
              </ask:lineSketchStyleProps>
            </a:ext>
          </a:extLst>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63500</xdr:colOff>
      <xdr:row>3</xdr:row>
      <xdr:rowOff>165100</xdr:rowOff>
    </xdr:from>
    <xdr:to>
      <xdr:col>19</xdr:col>
      <xdr:colOff>215900</xdr:colOff>
      <xdr:row>9</xdr:row>
      <xdr:rowOff>114300</xdr:rowOff>
    </xdr:to>
    <xdr:sp macro="" textlink="">
      <xdr:nvSpPr>
        <xdr:cNvPr id="17" name="Cloud 16">
          <a:extLst>
            <a:ext uri="{FF2B5EF4-FFF2-40B4-BE49-F238E27FC236}">
              <a16:creationId xmlns:a16="http://schemas.microsoft.com/office/drawing/2014/main" id="{8754E55C-2F29-4CE6-9BE0-195B253F7184}"/>
            </a:ext>
          </a:extLst>
        </xdr:cNvPr>
        <xdr:cNvSpPr/>
      </xdr:nvSpPr>
      <xdr:spPr>
        <a:xfrm>
          <a:off x="10426700" y="736600"/>
          <a:ext cx="1981200" cy="1346200"/>
        </a:xfrm>
        <a:custGeom>
          <a:avLst/>
          <a:gdLst>
            <a:gd name="csX0" fmla="*/ 215226 w 1981200"/>
            <a:gd name="csY0" fmla="*/ 815728 h 1346200"/>
            <a:gd name="csX1" fmla="*/ 99060 w 1981200"/>
            <a:gd name="csY1" fmla="*/ 790892 h 1346200"/>
            <a:gd name="csX2" fmla="*/ 317725 w 1981200"/>
            <a:gd name="csY2" fmla="*/ 1087523 h 1346200"/>
            <a:gd name="csX3" fmla="*/ 266911 w 1981200"/>
            <a:gd name="csY3" fmla="*/ 1099396 h 1346200"/>
            <a:gd name="csX4" fmla="*/ 755699 w 1981200"/>
            <a:gd name="csY4" fmla="*/ 1218124 h 1346200"/>
            <a:gd name="csX5" fmla="*/ 725064 w 1981200"/>
            <a:gd name="csY5" fmla="*/ 1163902 h 1346200"/>
            <a:gd name="csX6" fmla="*/ 1322038 w 1981200"/>
            <a:gd name="csY6" fmla="*/ 1082911 h 1346200"/>
            <a:gd name="csX7" fmla="*/ 1309793 w 1981200"/>
            <a:gd name="csY7" fmla="*/ 1142400 h 1346200"/>
            <a:gd name="csX8" fmla="*/ 1565193 w 1981200"/>
            <a:gd name="csY8" fmla="*/ 715293 h 1346200"/>
            <a:gd name="csX9" fmla="*/ 1714288 w 1981200"/>
            <a:gd name="csY9" fmla="*/ 937665 h 1346200"/>
            <a:gd name="csX10" fmla="*/ 1916902 w 1981200"/>
            <a:gd name="csY10" fmla="*/ 478461 h 1346200"/>
            <a:gd name="csX11" fmla="*/ 1850495 w 1981200"/>
            <a:gd name="csY11" fmla="*/ 561851 h 1346200"/>
            <a:gd name="csX12" fmla="*/ 1757581 w 1981200"/>
            <a:gd name="csY12" fmla="*/ 169085 h 1346200"/>
            <a:gd name="csX13" fmla="*/ 1761066 w 1981200"/>
            <a:gd name="csY13" fmla="*/ 208474 h 1346200"/>
            <a:gd name="csX14" fmla="*/ 1333549 w 1981200"/>
            <a:gd name="csY14" fmla="*/ 123152 h 1346200"/>
            <a:gd name="csX15" fmla="*/ 1367578 w 1981200"/>
            <a:gd name="csY15" fmla="*/ 72919 h 1346200"/>
            <a:gd name="csX16" fmla="*/ 1015410 w 1981200"/>
            <a:gd name="csY16" fmla="*/ 147084 h 1346200"/>
            <a:gd name="csX17" fmla="*/ 1031875 w 1981200"/>
            <a:gd name="csY17" fmla="*/ 103769 h 1346200"/>
            <a:gd name="csX18" fmla="*/ 642055 w 1981200"/>
            <a:gd name="csY18" fmla="*/ 161793 h 1346200"/>
            <a:gd name="csX19" fmla="*/ 701675 w 1981200"/>
            <a:gd name="csY19" fmla="*/ 203799 h 1346200"/>
            <a:gd name="csX20" fmla="*/ 189268 w 1981200"/>
            <a:gd name="csY20" fmla="*/ 492017 h 1346200"/>
            <a:gd name="csX21" fmla="*/ 178858 w 1981200"/>
            <a:gd name="csY21" fmla="*/ 447798 h 13462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1981200" h="1346200" extrusionOk="0">
              <a:moveTo>
                <a:pt x="178858" y="447798"/>
              </a:moveTo>
              <a:cubicBezTo>
                <a:pt x="161895" y="364906"/>
                <a:pt x="202181" y="277236"/>
                <a:pt x="257877" y="215236"/>
              </a:cubicBezTo>
              <a:cubicBezTo>
                <a:pt x="358297" y="125987"/>
                <a:pt x="514692" y="72310"/>
                <a:pt x="642284" y="162104"/>
              </a:cubicBezTo>
              <a:cubicBezTo>
                <a:pt x="713222" y="26543"/>
                <a:pt x="911492" y="-5818"/>
                <a:pt x="1029857" y="106948"/>
              </a:cubicBezTo>
              <a:cubicBezTo>
                <a:pt x="1062372" y="51046"/>
                <a:pt x="1115693" y="10716"/>
                <a:pt x="1180877" y="6232"/>
              </a:cubicBezTo>
              <a:cubicBezTo>
                <a:pt x="1241499" y="-496"/>
                <a:pt x="1325122" y="21923"/>
                <a:pt x="1368174" y="77313"/>
              </a:cubicBezTo>
              <a:cubicBezTo>
                <a:pt x="1429659" y="2369"/>
                <a:pt x="1529437" y="-6455"/>
                <a:pt x="1626372" y="21501"/>
              </a:cubicBezTo>
              <a:cubicBezTo>
                <a:pt x="1685346" y="50434"/>
                <a:pt x="1746681" y="100382"/>
                <a:pt x="1757306" y="173759"/>
              </a:cubicBezTo>
              <a:cubicBezTo>
                <a:pt x="1840654" y="191158"/>
                <a:pt x="1908948" y="251336"/>
                <a:pt x="1925341" y="321529"/>
              </a:cubicBezTo>
              <a:cubicBezTo>
                <a:pt x="1941240" y="370013"/>
                <a:pt x="1932924" y="428657"/>
                <a:pt x="1917819" y="481765"/>
              </a:cubicBezTo>
              <a:cubicBezTo>
                <a:pt x="1987210" y="543923"/>
                <a:pt x="2006756" y="638740"/>
                <a:pt x="1972761" y="726761"/>
              </a:cubicBezTo>
              <a:cubicBezTo>
                <a:pt x="1945480" y="824749"/>
                <a:pt x="1848177" y="936543"/>
                <a:pt x="1715389" y="941218"/>
              </a:cubicBezTo>
              <a:cubicBezTo>
                <a:pt x="1705090" y="1006945"/>
                <a:pt x="1670051" y="1085337"/>
                <a:pt x="1623254" y="1124980"/>
              </a:cubicBezTo>
              <a:cubicBezTo>
                <a:pt x="1550691" y="1201069"/>
                <a:pt x="1401352" y="1222599"/>
                <a:pt x="1309564" y="1147230"/>
              </a:cubicBezTo>
              <a:cubicBezTo>
                <a:pt x="1289609" y="1240484"/>
                <a:pt x="1192708" y="1328406"/>
                <a:pt x="1085394" y="1343270"/>
              </a:cubicBezTo>
              <a:cubicBezTo>
                <a:pt x="963852" y="1365059"/>
                <a:pt x="823981" y="1315938"/>
                <a:pt x="755791" y="1223608"/>
              </a:cubicBezTo>
              <a:cubicBezTo>
                <a:pt x="563119" y="1312949"/>
                <a:pt x="360318" y="1284558"/>
                <a:pt x="266177" y="1105379"/>
              </a:cubicBezTo>
              <a:cubicBezTo>
                <a:pt x="154491" y="1109207"/>
                <a:pt x="64297" y="1056073"/>
                <a:pt x="50905" y="973813"/>
              </a:cubicBezTo>
              <a:cubicBezTo>
                <a:pt x="41718" y="916320"/>
                <a:pt x="45719" y="846554"/>
                <a:pt x="96904" y="796221"/>
              </a:cubicBezTo>
              <a:cubicBezTo>
                <a:pt x="31734" y="759042"/>
                <a:pt x="-15180" y="681603"/>
                <a:pt x="-230" y="614016"/>
              </a:cubicBezTo>
              <a:cubicBezTo>
                <a:pt x="18940" y="540402"/>
                <a:pt x="88903" y="464186"/>
                <a:pt x="177161" y="452067"/>
              </a:cubicBezTo>
              <a:cubicBezTo>
                <a:pt x="177911" y="450621"/>
                <a:pt x="178393" y="449185"/>
                <a:pt x="178858" y="447798"/>
              </a:cubicBezTo>
              <a:close/>
            </a:path>
            <a:path w="1981200" h="1346200" fill="none" extrusionOk="0">
              <a:moveTo>
                <a:pt x="215226" y="815728"/>
              </a:moveTo>
              <a:cubicBezTo>
                <a:pt x="173923" y="819625"/>
                <a:pt x="132597" y="812264"/>
                <a:pt x="99060" y="790892"/>
              </a:cubicBezTo>
              <a:moveTo>
                <a:pt x="317725" y="1087523"/>
              </a:moveTo>
              <a:cubicBezTo>
                <a:pt x="300730" y="1091803"/>
                <a:pt x="283563" y="1096827"/>
                <a:pt x="266911" y="1099396"/>
              </a:cubicBezTo>
              <a:moveTo>
                <a:pt x="755699" y="1218124"/>
              </a:moveTo>
              <a:cubicBezTo>
                <a:pt x="740879" y="1200893"/>
                <a:pt x="732165" y="1183158"/>
                <a:pt x="725064" y="1163902"/>
              </a:cubicBezTo>
              <a:moveTo>
                <a:pt x="1322038" y="1082911"/>
              </a:moveTo>
              <a:cubicBezTo>
                <a:pt x="1321363" y="1102791"/>
                <a:pt x="1316121" y="1122449"/>
                <a:pt x="1309793" y="1142400"/>
              </a:cubicBezTo>
              <a:moveTo>
                <a:pt x="1565193" y="715293"/>
              </a:moveTo>
              <a:cubicBezTo>
                <a:pt x="1663676" y="748608"/>
                <a:pt x="1698122" y="842647"/>
                <a:pt x="1714288" y="937665"/>
              </a:cubicBezTo>
              <a:moveTo>
                <a:pt x="1916902" y="478461"/>
              </a:moveTo>
              <a:cubicBezTo>
                <a:pt x="1903669" y="507788"/>
                <a:pt x="1883353" y="538761"/>
                <a:pt x="1850495" y="561851"/>
              </a:cubicBezTo>
              <a:moveTo>
                <a:pt x="1757581" y="169085"/>
              </a:moveTo>
              <a:cubicBezTo>
                <a:pt x="1759220" y="182982"/>
                <a:pt x="1760556" y="194143"/>
                <a:pt x="1761066" y="208474"/>
              </a:cubicBezTo>
              <a:moveTo>
                <a:pt x="1333549" y="123152"/>
              </a:moveTo>
              <a:cubicBezTo>
                <a:pt x="1343061" y="106902"/>
                <a:pt x="1353634" y="88596"/>
                <a:pt x="1367578" y="72919"/>
              </a:cubicBezTo>
              <a:moveTo>
                <a:pt x="1015410" y="147084"/>
              </a:moveTo>
              <a:cubicBezTo>
                <a:pt x="1018620" y="132230"/>
                <a:pt x="1023119" y="117870"/>
                <a:pt x="1031875" y="103769"/>
              </a:cubicBezTo>
              <a:moveTo>
                <a:pt x="642055" y="161793"/>
              </a:moveTo>
              <a:cubicBezTo>
                <a:pt x="665632" y="173813"/>
                <a:pt x="685511" y="183823"/>
                <a:pt x="701675" y="203799"/>
              </a:cubicBezTo>
              <a:moveTo>
                <a:pt x="189268" y="492017"/>
              </a:moveTo>
              <a:cubicBezTo>
                <a:pt x="185207" y="476724"/>
                <a:pt x="178808" y="461218"/>
                <a:pt x="178858" y="447798"/>
              </a:cubicBezTo>
            </a:path>
          </a:pathLst>
        </a:custGeom>
        <a:noFill/>
        <a:ln w="28575">
          <a:solidFill>
            <a:sysClr val="windowText" lastClr="000000"/>
          </a:solidFill>
          <a:extLst>
            <a:ext uri="{C807C97D-BFC1-408E-A445-0C87EB9F89A2}">
              <ask:lineSketchStyleProps xmlns:ask="http://schemas.microsoft.com/office/drawing/2018/sketchyshapes" sd="3419484044">
                <a:prstGeom prst="cloud">
                  <a:avLst/>
                </a:prstGeom>
                <ask:type>
                  <ask:lineSketchCurved/>
                </ask:type>
              </ask:lineSketchStyleProps>
            </a:ext>
          </a:extLst>
        </a:ln>
        <a:effectLst>
          <a:glow rad="1397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165100</xdr:colOff>
      <xdr:row>25</xdr:row>
      <xdr:rowOff>154139</xdr:rowOff>
    </xdr:from>
    <xdr:to>
      <xdr:col>11</xdr:col>
      <xdr:colOff>76200</xdr:colOff>
      <xdr:row>40</xdr:row>
      <xdr:rowOff>34621</xdr:rowOff>
    </xdr:to>
    <xdr:graphicFrame macro="">
      <xdr:nvGraphicFramePr>
        <xdr:cNvPr id="18" name="Chart 17">
          <a:extLst>
            <a:ext uri="{FF2B5EF4-FFF2-40B4-BE49-F238E27FC236}">
              <a16:creationId xmlns:a16="http://schemas.microsoft.com/office/drawing/2014/main" id="{07A92EC0-69DF-4CEF-BA53-23D1371ED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190848</xdr:colOff>
      <xdr:row>25</xdr:row>
      <xdr:rowOff>166491</xdr:rowOff>
    </xdr:from>
    <xdr:to>
      <xdr:col>27</xdr:col>
      <xdr:colOff>76548</xdr:colOff>
      <xdr:row>40</xdr:row>
      <xdr:rowOff>34273</xdr:rowOff>
    </xdr:to>
    <xdr:graphicFrame macro="">
      <xdr:nvGraphicFramePr>
        <xdr:cNvPr id="19" name="Chart 18">
          <a:extLst>
            <a:ext uri="{FF2B5EF4-FFF2-40B4-BE49-F238E27FC236}">
              <a16:creationId xmlns:a16="http://schemas.microsoft.com/office/drawing/2014/main" id="{DFC8DCDD-BD14-49CF-A7A0-B57B43264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195721</xdr:colOff>
      <xdr:row>0</xdr:row>
      <xdr:rowOff>0</xdr:rowOff>
    </xdr:from>
    <xdr:to>
      <xdr:col>27</xdr:col>
      <xdr:colOff>508871</xdr:colOff>
      <xdr:row>10</xdr:row>
      <xdr:rowOff>143527</xdr:rowOff>
    </xdr:to>
    <xdr:pic>
      <xdr:nvPicPr>
        <xdr:cNvPr id="22" name="Picture 21">
          <a:extLst>
            <a:ext uri="{FF2B5EF4-FFF2-40B4-BE49-F238E27FC236}">
              <a16:creationId xmlns:a16="http://schemas.microsoft.com/office/drawing/2014/main" id="{E17A33B2-DD2D-3726-CF8E-A7DF70041354}"/>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11847536" y="0"/>
          <a:ext cx="5219177" cy="2309486"/>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ware" refreshedDate="46298.434498842595" createdVersion="8" refreshedVersion="8" minRefreshableVersion="3" recordCount="70" xr:uid="{C15793B4-EFB0-4D49-989F-7E0895F8CBC4}">
  <cacheSource type="worksheet">
    <worksheetSource ref="A1:K71" sheet="Sheet9"/>
  </cacheSource>
  <cacheFields count="13">
    <cacheField name="Order ID" numFmtId="0">
      <sharedItems containsSemiMixedTypes="0" containsString="0" containsNumber="1" containsInteger="1" minValue="1001" maxValue="1158"/>
    </cacheField>
    <cacheField name="Order Date" numFmtId="0">
      <sharedItems containsSemiMixedTypes="0" containsNonDate="0" containsDate="1" containsString="0" minDate="2024-01-10T00:00:00" maxDate="2024-12-26T00:00:00" count="62">
        <d v="2024-05-24T00:00:00"/>
        <d v="2024-02-18T00:00:00"/>
        <d v="2024-07-24T00:00:00"/>
        <d v="2024-10-17T00:00:00"/>
        <d v="2024-10-18T00:00:00"/>
        <d v="2024-11-23T00:00:00"/>
        <d v="2024-12-05T00:00:00"/>
        <d v="2024-12-23T00:00:00"/>
        <d v="2024-12-09T00:00:00"/>
        <d v="2024-01-23T00:00:00"/>
        <d v="2024-10-24T00:00:00"/>
        <d v="2024-12-11T00:00:00"/>
        <d v="2024-04-05T00:00:00"/>
        <d v="2024-07-27T00:00:00"/>
        <d v="2024-11-06T00:00:00"/>
        <d v="2024-05-03T00:00:00"/>
        <d v="2024-04-28T00:00:00"/>
        <d v="2024-04-20T00:00:00"/>
        <d v="2024-08-16T00:00:00"/>
        <d v="2024-05-23T00:00:00"/>
        <d v="2024-11-09T00:00:00"/>
        <d v="2024-08-04T00:00:00"/>
        <d v="2024-01-22T00:00:00"/>
        <d v="2024-10-13T00:00:00"/>
        <d v="2024-03-12T00:00:00"/>
        <d v="2024-08-10T00:00:00"/>
        <d v="2024-03-30T00:00:00"/>
        <d v="2024-06-19T00:00:00"/>
        <d v="2024-06-18T00:00:00"/>
        <d v="2024-03-17T00:00:00"/>
        <d v="2024-11-07T00:00:00"/>
        <d v="2024-07-25T00:00:00"/>
        <d v="2024-11-12T00:00:00"/>
        <d v="2024-03-06T00:00:00"/>
        <d v="2024-04-14T00:00:00"/>
        <d v="2024-12-04T00:00:00"/>
        <d v="2024-05-19T00:00:00"/>
        <d v="2024-08-15T00:00:00"/>
        <d v="2024-03-14T00:00:00"/>
        <d v="2024-12-10T00:00:00"/>
        <d v="2024-10-21T00:00:00"/>
        <d v="2024-08-28T00:00:00"/>
        <d v="2024-12-25T00:00:00"/>
        <d v="2024-04-11T00:00:00"/>
        <d v="2024-01-10T00:00:00"/>
        <d v="2024-11-03T00:00:00"/>
        <d v="2024-05-09T00:00:00"/>
        <d v="2024-06-14T00:00:00"/>
        <d v="2024-02-14T00:00:00"/>
        <d v="2024-04-18T00:00:00"/>
        <d v="2024-08-22T00:00:00"/>
        <d v="2024-09-16T00:00:00"/>
        <d v="2024-06-10T00:00:00"/>
        <d v="2024-03-19T00:00:00"/>
        <d v="2024-07-07T00:00:00"/>
        <d v="2024-11-22T00:00:00"/>
        <d v="2024-05-10T00:00:00"/>
        <d v="2024-10-15T00:00:00"/>
        <d v="2024-03-28T00:00:00"/>
        <d v="2024-04-16T00:00:00"/>
        <d v="2024-02-13T00:00:00"/>
        <d v="2024-12-22T00:00:00"/>
      </sharedItems>
      <fieldGroup par="12"/>
    </cacheField>
    <cacheField name="Customer Name" numFmtId="0">
      <sharedItems/>
    </cacheField>
    <cacheField name="Region" numFmtId="0">
      <sharedItems count="4">
        <s v="East"/>
        <s v="North"/>
        <s v="West"/>
        <s v="South"/>
      </sharedItems>
    </cacheField>
    <cacheField name="Category" numFmtId="0">
      <sharedItems count="6">
        <s v="Furniture"/>
        <s v="Stationaries"/>
        <s v="Groceries"/>
        <s v="Electronics"/>
        <s v="Apparel"/>
        <s v="Electronic"/>
      </sharedItems>
    </cacheField>
    <cacheField name="Product" numFmtId="0">
      <sharedItems count="28">
        <s v="Filing Cabinet"/>
        <s v="Bed Frame"/>
        <s v="Gel Pens (10)"/>
        <s v="Office Chair"/>
        <s v="Sugar 1kg"/>
        <s v="Sunflower Oil 1L"/>
        <s v="LED Bulb"/>
        <s v="Basmati Rice 5kg"/>
        <s v="Woolen Sweater"/>
        <s v="Kurta Set"/>
        <s v="Notebook Pack"/>
        <s v="USB Cable"/>
        <s v="Green Tea Pack"/>
        <s v="Sofa Cushion"/>
        <s v="Wheat Flour 5kg"/>
        <s v="Whiteboard Marker"/>
        <s v="Study Table"/>
        <s v="Cotton T-Shirt"/>
        <s v="Sports Shorts"/>
        <s v="Sticky Notes"/>
        <s v="Headphones"/>
        <s v="Wireless Mouse"/>
        <s v="Stapler"/>
        <s v="Formal Shirt"/>
        <s v="Webcam"/>
        <s v="Power Bank"/>
        <s v="Toor Dal 1kg"/>
        <s v="File Folder"/>
      </sharedItems>
    </cacheField>
    <cacheField name="Quantity" numFmtId="0">
      <sharedItems containsSemiMixedTypes="0" containsString="0" containsNumber="1" containsInteger="1" minValue="1" maxValue="12"/>
    </cacheField>
    <cacheField name="Unit Price" numFmtId="0">
      <sharedItems containsSemiMixedTypes="0" containsString="0" containsNumber="1" containsInteger="1" minValue="99" maxValue="2499"/>
    </cacheField>
    <cacheField name="Sales Amount" numFmtId="0">
      <sharedItems containsSemiMixedTypes="0" containsString="0" containsNumber="1" containsInteger="1" minValue="198" maxValue="22491"/>
    </cacheField>
    <cacheField name="Payment Method" numFmtId="0">
      <sharedItems count="8">
        <s v="Debit Card"/>
        <s v="Cash"/>
        <s v="Credit Card"/>
        <s v="Upi"/>
        <s v="Card"/>
        <s v="Online"/>
        <s v="Online "/>
        <s v="Unknown"/>
      </sharedItems>
    </cacheField>
    <cacheField name="Notes" numFmtId="0">
      <sharedItems count="3">
        <s v="Not Available"/>
        <s v="Returned"/>
        <s v="Cancelled"/>
      </sharedItems>
    </cacheField>
    <cacheField name="Days (Order Date)" numFmtId="0" databaseField="0">
      <fieldGroup base="1">
        <rangePr groupBy="days" startDate="2024-01-10T00:00:00" endDate="2024-12-26T00:00:00"/>
        <groupItems count="368">
          <s v="&lt;10-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4"/>
        </groupItems>
      </fieldGroup>
    </cacheField>
    <cacheField name="Months (Order Date)" numFmtId="0" databaseField="0">
      <fieldGroup base="1">
        <rangePr groupBy="months" startDate="2024-01-10T00:00:00" endDate="2024-12-26T00:00:00"/>
        <groupItems count="14">
          <s v="&lt;10-01-2024"/>
          <s v="Jan"/>
          <s v="Feb"/>
          <s v="Mar"/>
          <s v="Apr"/>
          <s v="May"/>
          <s v="Jun"/>
          <s v="Jul"/>
          <s v="Aug"/>
          <s v="Sep"/>
          <s v="Oct"/>
          <s v="Nov"/>
          <s v="Dec"/>
          <s v="&gt;26-12-2024"/>
        </groupItems>
      </fieldGroup>
    </cacheField>
  </cacheFields>
  <extLst>
    <ext xmlns:x14="http://schemas.microsoft.com/office/spreadsheetml/2009/9/main" uri="{725AE2AE-9491-48be-B2B4-4EB974FC3084}">
      <x14:pivotCacheDefinition pivotCacheId="9155567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ware" refreshedDate="46301.517798263892" createdVersion="8" refreshedVersion="8" minRefreshableVersion="3" recordCount="1000" xr:uid="{F13F9B83-1038-4757-A33F-86E4190970B4}">
  <cacheSource type="worksheet">
    <worksheetSource name="Table2"/>
  </cacheSource>
  <cacheFields count="18">
    <cacheField name="Order ID" numFmtId="0">
      <sharedItems/>
    </cacheField>
    <cacheField name="Order Date" numFmtId="171">
      <sharedItems containsSemiMixedTypes="0" containsNonDate="0" containsDate="1" containsString="0" minDate="2025-01-01T00:00:00" maxDate="2026-01-01T00:00:00"/>
    </cacheField>
    <cacheField name="Customer ID" numFmtId="0">
      <sharedItems/>
    </cacheField>
    <cacheField name="Customer Name" numFmtId="0">
      <sharedItems/>
    </cacheField>
    <cacheField name="Product" numFmtId="0">
      <sharedItems/>
    </cacheField>
    <cacheField name="Category" numFmtId="0">
      <sharedItems/>
    </cacheField>
    <cacheField name="Brand" numFmtId="0">
      <sharedItems/>
    </cacheField>
    <cacheField name="Quantity" numFmtId="2">
      <sharedItems containsSemiMixedTypes="0" containsString="0" containsNumber="1" containsInteger="1" minValue="1" maxValue="5"/>
    </cacheField>
    <cacheField name="Unit Price" numFmtId="172">
      <sharedItems containsSemiMixedTypes="0" containsString="0" containsNumber="1" containsInteger="1" minValue="219" maxValue="14965"/>
    </cacheField>
    <cacheField name="Discount" numFmtId="10">
      <sharedItems containsSemiMixedTypes="0" containsString="0" containsNumber="1" minValue="0" maxValue="0.2"/>
    </cacheField>
    <cacheField name="Sales Amount" numFmtId="172">
      <sharedItems containsSemiMixedTypes="0" containsString="0" containsNumber="1" minValue="283.5" maxValue="74590"/>
    </cacheField>
    <cacheField name="Profit" numFmtId="172">
      <sharedItems containsSemiMixedTypes="0" containsString="0" containsNumber="1" minValue="24.44" maxValue="20310.45"/>
    </cacheField>
    <cacheField name="Payment Method" numFmtId="0">
      <sharedItems/>
    </cacheField>
    <cacheField name="City" numFmtId="0">
      <sharedItems/>
    </cacheField>
    <cacheField name="State" numFmtId="0">
      <sharedItems/>
    </cacheField>
    <cacheField name="Salesperson" numFmtId="0">
      <sharedItems/>
    </cacheField>
    <cacheField name="Delivery Status" numFmtId="0">
      <sharedItems/>
    </cacheField>
    <cacheField name="Customer Rating" numFmtId="173">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ware" refreshedDate="46308.408000810188" createdVersion="8" refreshedVersion="8" minRefreshableVersion="3" recordCount="600" xr:uid="{89D2896D-7D3A-4D7E-ADE3-AB297D56A7A1}">
  <cacheSource type="worksheet">
    <worksheetSource name="Table1__2"/>
  </cacheSource>
  <cacheFields count="12">
    <cacheField name="Match ID" numFmtId="0">
      <sharedItems/>
    </cacheField>
    <cacheField name="Match Date" numFmtId="14">
      <sharedItems containsNonDate="0" containsDate="1" containsString="0" containsBlank="1" minDate="2022-08-07T00:00:00" maxDate="2026-05-27T00:00:00"/>
    </cacheField>
    <cacheField name="League" numFmtId="0">
      <sharedItems count="6">
        <s v="Premier League"/>
        <s v="Bundesliga"/>
        <s v="La Liga"/>
        <s v="Ligue 1"/>
        <s v="Serie A"/>
        <s v="Unknown"/>
      </sharedItems>
    </cacheField>
    <cacheField name="Home Team" numFmtId="0">
      <sharedItems count="19">
        <s v="Chelsea"/>
        <s v="Manchester United"/>
        <s v="Manchester City"/>
        <s v="Borussia Dortmund"/>
        <s v="Inter Milan"/>
        <s v="Tottenham Hotspur"/>
        <s v="Liverpool"/>
        <s v="Bayern Munich"/>
        <s v="Barcelona"/>
        <s v="Atletico Madrid"/>
        <s v="Real Madrid"/>
        <s v="Benfica"/>
        <s v="Paris Saint-Germain"/>
        <s v="Arsenal"/>
        <s v="Juventus"/>
        <s v="Newcastle United"/>
        <s v="Unknown"/>
        <s v="Ajax"/>
        <s v="Ac Milan"/>
      </sharedItems>
    </cacheField>
    <cacheField name="Away Team" numFmtId="0">
      <sharedItems/>
    </cacheField>
    <cacheField name="Home Goals" numFmtId="0">
      <sharedItems containsSemiMixedTypes="0" containsString="0" containsNumber="1" containsInteger="1" minValue="0" maxValue="6"/>
    </cacheField>
    <cacheField name="Away Goals" numFmtId="0">
      <sharedItems containsSemiMixedTypes="0" containsString="0" containsNumber="1" containsInteger="1" minValue="0" maxValue="6" count="7">
        <n v="2"/>
        <n v="1"/>
        <n v="3"/>
        <n v="0"/>
        <n v="4"/>
        <n v="6"/>
        <n v="5"/>
      </sharedItems>
    </cacheField>
    <cacheField name="Full-Time Result" numFmtId="0">
      <sharedItems count="4">
        <s v="H"/>
        <s v="A"/>
        <s v="D"/>
        <s v="Unknown"/>
      </sharedItems>
    </cacheField>
    <cacheField name="Attendance" numFmtId="0">
      <sharedItems containsSemiMixedTypes="0" containsString="0" containsNumber="1" containsInteger="1" minValue="0" maxValue="81885"/>
    </cacheField>
    <cacheField name="Stadium" numFmtId="0">
      <sharedItems count="15">
        <s v="Tottenham Hotspur Stadium"/>
        <s v="Emirates Stadium"/>
        <s v="San Siro"/>
        <s v="St James' Park"/>
        <s v="Camp Nou"/>
        <s v="Anfield"/>
        <s v="Parc des Princes"/>
        <s v="Etihad Stadium"/>
        <s v="Signal Iduna Park"/>
        <s v="Allianz Arena"/>
        <s v="Unknown"/>
        <s v="Old Trafford"/>
        <s v="Stamford Bridge"/>
        <s v="Johan Cruyff Arena"/>
        <s v="Santiago Bernabéu"/>
      </sharedItems>
    </cacheField>
    <cacheField name="Referee" numFmtId="0">
      <sharedItems/>
    </cacheField>
    <cacheField name="Season" numFmtId="0">
      <sharedItems count="5">
        <s v="2025/26"/>
        <s v="2022/23"/>
        <s v="2023/24"/>
        <s v="2024/25"/>
        <s v="Unknown"/>
      </sharedItems>
    </cacheField>
  </cacheFields>
  <extLst>
    <ext xmlns:x14="http://schemas.microsoft.com/office/spreadsheetml/2009/9/main" uri="{725AE2AE-9491-48be-B2B4-4EB974FC3084}">
      <x14:pivotCacheDefinition pivotCacheId="120820744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tware" refreshedDate="46301.484645023149" createdVersion="8" refreshedVersion="8" minRefreshableVersion="3" recordCount="1000" xr:uid="{B2855F53-6E1D-4B17-B4C6-F0AEB7666036}">
  <cacheSource type="worksheet">
    <worksheetSource name="Table2"/>
  </cacheSource>
  <cacheFields count="18">
    <cacheField name="Order ID" numFmtId="0">
      <sharedItems/>
    </cacheField>
    <cacheField name="Order Date" numFmtId="171">
      <sharedItems containsSemiMixedTypes="0" containsNonDate="0" containsDate="1" containsString="0" minDate="2025-01-01T00:00:00" maxDate="2026-01-01T00:00:00"/>
    </cacheField>
    <cacheField name="Customer ID" numFmtId="0">
      <sharedItems/>
    </cacheField>
    <cacheField name="Customer Name" numFmtId="0">
      <sharedItems/>
    </cacheField>
    <cacheField name="Product" numFmtId="0">
      <sharedItems count="8">
        <s v="Watch"/>
        <s v="Book"/>
        <s v="Shoes"/>
        <s v="Phone"/>
        <s v="Headphones"/>
        <s v="Laptop"/>
        <s v="Mixer"/>
        <s v="Chair"/>
      </sharedItems>
    </cacheField>
    <cacheField name="Category" numFmtId="0">
      <sharedItems count="6">
        <s v="Accessories"/>
        <s v="Books"/>
        <s v="Fashion"/>
        <s v="Electronics"/>
        <s v="Home"/>
        <s v="Furniture"/>
      </sharedItems>
    </cacheField>
    <cacheField name="Brand" numFmtId="0">
      <sharedItems count="8">
        <s v="Fossil"/>
        <s v="Penguin"/>
        <s v="Nike"/>
        <s v="Samsung"/>
        <s v="Sony"/>
        <s v="Dell"/>
        <s v="Philips"/>
        <s v="Ikea"/>
      </sharedItems>
    </cacheField>
    <cacheField name="Quantity" numFmtId="2">
      <sharedItems containsSemiMixedTypes="0" containsString="0" containsNumber="1" containsInteger="1" minValue="1" maxValue="5"/>
    </cacheField>
    <cacheField name="Unit Price" numFmtId="172">
      <sharedItems containsSemiMixedTypes="0" containsString="0" containsNumber="1" containsInteger="1" minValue="219" maxValue="14965"/>
    </cacheField>
    <cacheField name="Discount" numFmtId="10">
      <sharedItems containsSemiMixedTypes="0" containsString="0" containsNumber="1" minValue="0" maxValue="0.2"/>
    </cacheField>
    <cacheField name="Sales Amount" numFmtId="172">
      <sharedItems containsSemiMixedTypes="0" containsString="0" containsNumber="1" minValue="283.5" maxValue="74590"/>
    </cacheField>
    <cacheField name="Profit" numFmtId="172">
      <sharedItems containsSemiMixedTypes="0" containsString="0" containsNumber="1" minValue="24.44" maxValue="20310.45" count="999">
        <n v="3949.04"/>
        <n v="5181.43"/>
        <n v="2867.57"/>
        <n v="862.52"/>
        <n v="12200.93"/>
        <n v="2271.81"/>
        <n v="1723.83"/>
        <n v="953.22"/>
        <n v="8831.7900000000009"/>
        <n v="606.39"/>
        <n v="3040.08"/>
        <n v="3795.71"/>
        <n v="2286.06"/>
        <n v="1586.87"/>
        <n v="4051.87"/>
        <n v="112.55"/>
        <n v="2334.54"/>
        <n v="275.58"/>
        <n v="10218.56"/>
        <n v="2693.31"/>
        <n v="1254.53"/>
        <n v="4112.55"/>
        <n v="2777.94"/>
        <n v="930.63"/>
        <n v="3783.96"/>
        <n v="760.2"/>
        <n v="2304.8000000000002"/>
        <n v="3500.37"/>
        <n v="87.49"/>
        <n v="9002.34"/>
        <n v="12052.56"/>
        <n v="4700.17"/>
        <n v="6511.55"/>
        <n v="4413.05"/>
        <n v="4099.34"/>
        <n v="631.72"/>
        <n v="8236.14"/>
        <n v="3113.64"/>
        <n v="2444.35"/>
        <n v="7373.22"/>
        <n v="4608.2"/>
        <n v="3954.28"/>
        <n v="1930.2"/>
        <n v="3689"/>
        <n v="601.80999999999995"/>
        <n v="2135.1"/>
        <n v="3840.8"/>
        <n v="2807.44"/>
        <n v="16431.96"/>
        <n v="168.29"/>
        <n v="2381.2199999999998"/>
        <n v="1781.78"/>
        <n v="8586.01"/>
        <n v="3853.96"/>
        <n v="9186.43"/>
        <n v="537.57000000000005"/>
        <n v="7779.25"/>
        <n v="592.41999999999996"/>
        <n v="92.44"/>
        <n v="7431.99"/>
        <n v="617.32000000000005"/>
        <n v="7717.74"/>
        <n v="2158.61"/>
        <n v="7091.58"/>
        <n v="2358.17"/>
        <n v="314.51"/>
        <n v="2276.25"/>
        <n v="840.58"/>
        <n v="1314.66"/>
        <n v="7039.26"/>
        <n v="972.64"/>
        <n v="7955.76"/>
        <n v="2882.83"/>
        <n v="1156.99"/>
        <n v="180.54"/>
        <n v="4328.46"/>
        <n v="651.79999999999995"/>
        <n v="14972.14"/>
        <n v="256.42"/>
        <n v="1937.83"/>
        <n v="8675.89"/>
        <n v="3452.17"/>
        <n v="6046.3"/>
        <n v="413.66"/>
        <n v="2901.48"/>
        <n v="5648.16"/>
        <n v="3159.32"/>
        <n v="2067.09"/>
        <n v="440.77"/>
        <n v="6281.41"/>
        <n v="2011.32"/>
        <n v="2308.41"/>
        <n v="1106.72"/>
        <n v="1343.69"/>
        <n v="1577.22"/>
        <n v="15796.83"/>
        <n v="9640.6200000000008"/>
        <n v="7214.88"/>
        <n v="2089.6799999999998"/>
        <n v="6007.35"/>
        <n v="5096.42"/>
        <n v="4750.67"/>
        <n v="6030.08"/>
        <n v="312.73"/>
        <n v="271.98"/>
        <n v="6738.91"/>
        <n v="773.28"/>
        <n v="6197.31"/>
        <n v="8114.32"/>
        <n v="541.16"/>
        <n v="2143.0300000000002"/>
        <n v="6179.37"/>
        <n v="687.86"/>
        <n v="3432.82"/>
        <n v="1446.01"/>
        <n v="3816.98"/>
        <n v="3266.76"/>
        <n v="5334.55"/>
        <n v="1700.52"/>
        <n v="1474.95"/>
        <n v="9894.07"/>
        <n v="4841.45"/>
        <n v="211.53"/>
        <n v="6424.72"/>
        <n v="1688.51"/>
        <n v="6240.56"/>
        <n v="132.57"/>
        <n v="3252.37"/>
        <n v="2282.9299999999998"/>
        <n v="14887.26"/>
        <n v="5059.76"/>
        <n v="1071.52"/>
        <n v="3811.92"/>
        <n v="1773.76"/>
        <n v="6243.12"/>
        <n v="2050.1999999999998"/>
        <n v="3905.21"/>
        <n v="2081.36"/>
        <n v="9567.98"/>
        <n v="385.82"/>
        <n v="565.63"/>
        <n v="869.78"/>
        <n v="6346.39"/>
        <n v="8514.5300000000007"/>
        <n v="3098.62"/>
        <n v="446.45"/>
        <n v="2333.66"/>
        <n v="5080.32"/>
        <n v="1256.83"/>
        <n v="2240.9699999999998"/>
        <n v="1175.82"/>
        <n v="1977.13"/>
        <n v="1484.63"/>
        <n v="748.2"/>
        <n v="3482.36"/>
        <n v="6240.65"/>
        <n v="13417.1"/>
        <n v="5104.34"/>
        <n v="6542.89"/>
        <n v="9404.9699999999993"/>
        <n v="3428.18"/>
        <n v="5431.17"/>
        <n v="1568.14"/>
        <n v="2097.6799999999998"/>
        <n v="2341.2199999999998"/>
        <n v="2332.42"/>
        <n v="4250.37"/>
        <n v="454.08"/>
        <n v="2140.5100000000002"/>
        <n v="2474.67"/>
        <n v="2765.71"/>
        <n v="5936.21"/>
        <n v="2265.25"/>
        <n v="481.36"/>
        <n v="1037.77"/>
        <n v="1634.13"/>
        <n v="6246.78"/>
        <n v="4388.01"/>
        <n v="153.78"/>
        <n v="2160.5500000000002"/>
        <n v="110.12"/>
        <n v="5437.04"/>
        <n v="7050.64"/>
        <n v="14541.83"/>
        <n v="1332.31"/>
        <n v="2723.76"/>
        <n v="1014.26"/>
        <n v="3736.19"/>
        <n v="6526.18"/>
        <n v="1390.37"/>
        <n v="1135.54"/>
        <n v="4624.5600000000004"/>
        <n v="1281.3"/>
        <n v="443.79"/>
        <n v="4495.6099999999997"/>
        <n v="2733.75"/>
        <n v="1636.24"/>
        <n v="8672.67"/>
        <n v="2597.39"/>
        <n v="3213.64"/>
        <n v="5295.93"/>
        <n v="897.21"/>
        <n v="3454.35"/>
        <n v="7073.23"/>
        <n v="6762.95"/>
        <n v="5209.79"/>
        <n v="5141.83"/>
        <n v="3700.33"/>
        <n v="7055.73"/>
        <n v="4956.34"/>
        <n v="6895.07"/>
        <n v="5173.87"/>
        <n v="15197.36"/>
        <n v="5914.12"/>
        <n v="5520.09"/>
        <n v="7067.37"/>
        <n v="1494.97"/>
        <n v="11946.05"/>
        <n v="5703.93"/>
        <n v="411.6"/>
        <n v="1008.02"/>
        <n v="566.15"/>
        <n v="834.46"/>
        <n v="68.67"/>
        <n v="2627.6"/>
        <n v="479.96"/>
        <n v="7395.83"/>
        <n v="1479.97"/>
        <n v="640.92999999999995"/>
        <n v="10267.18"/>
        <n v="1522.44"/>
        <n v="6693.78"/>
        <n v="11846.25"/>
        <n v="2640.87"/>
        <n v="1282.1400000000001"/>
        <n v="325.56"/>
        <n v="5741.21"/>
        <n v="2374.0100000000002"/>
        <n v="12518.73"/>
        <n v="2305.79"/>
        <n v="10796.68"/>
        <n v="10366.870000000001"/>
        <n v="4111.84"/>
        <n v="5760.39"/>
        <n v="2862.61"/>
        <n v="9299.2800000000007"/>
        <n v="3242.33"/>
        <n v="1176.2"/>
        <n v="5743.5"/>
        <n v="3474.76"/>
        <n v="7633.96"/>
        <n v="3407.99"/>
        <n v="2650.98"/>
        <n v="5501.58"/>
        <n v="2183.4499999999998"/>
        <n v="4395.0600000000004"/>
        <n v="1300.04"/>
        <n v="354.39"/>
        <n v="2113.6"/>
        <n v="9954.7800000000007"/>
        <n v="10422.41"/>
        <n v="6028.28"/>
        <n v="11591.84"/>
        <n v="2967.19"/>
        <n v="7886.58"/>
        <n v="2619.6799999999998"/>
        <n v="2890.39"/>
        <n v="7670.27"/>
        <n v="2567.3200000000002"/>
        <n v="3995.11"/>
        <n v="1346.7"/>
        <n v="7373.45"/>
        <n v="3607.98"/>
        <n v="1323.92"/>
        <n v="703.37"/>
        <n v="1098.18"/>
        <n v="3399.88"/>
        <n v="2301.87"/>
        <n v="4383.4799999999996"/>
        <n v="4186.51"/>
        <n v="7267.4"/>
        <n v="2444.42"/>
        <n v="1612.77"/>
        <n v="5576.81"/>
        <n v="1698.74"/>
        <n v="1459.25"/>
        <n v="10172.19"/>
        <n v="2107.6799999999998"/>
        <n v="274.79000000000002"/>
        <n v="1496.58"/>
        <n v="6890.96"/>
        <n v="12365.66"/>
        <n v="1413.87"/>
        <n v="1185.6300000000001"/>
        <n v="1372.49"/>
        <n v="1756.9"/>
        <n v="2155.37"/>
        <n v="10791.39"/>
        <n v="9950.17"/>
        <n v="3567.91"/>
        <n v="6422.2"/>
        <n v="4305.29"/>
        <n v="2462.5300000000002"/>
        <n v="6670.62"/>
        <n v="2704.93"/>
        <n v="6786.01"/>
        <n v="2170.39"/>
        <n v="2083.77"/>
        <n v="6862.66"/>
        <n v="372.48"/>
        <n v="8284.98"/>
        <n v="4230.88"/>
        <n v="6349.45"/>
        <n v="1425.93"/>
        <n v="81.28"/>
        <n v="221.48"/>
        <n v="2748.29"/>
        <n v="2891.91"/>
        <n v="1135.5"/>
        <n v="2251.12"/>
        <n v="3555.99"/>
        <n v="4080.99"/>
        <n v="9765"/>
        <n v="931.72"/>
        <n v="4031.18"/>
        <n v="3739.92"/>
        <n v="6684.54"/>
        <n v="1535.07"/>
        <n v="3193.85"/>
        <n v="5773.23"/>
        <n v="1511.33"/>
        <n v="1534.63"/>
        <n v="1369.5"/>
        <n v="3925.84"/>
        <n v="214.8"/>
        <n v="1213.6199999999999"/>
        <n v="1241.7"/>
        <n v="8335.7900000000009"/>
        <n v="9790.23"/>
        <n v="1966.84"/>
        <n v="3329.55"/>
        <n v="5408.49"/>
        <n v="1750.26"/>
        <n v="5660.58"/>
        <n v="606.36"/>
        <n v="539.63"/>
        <n v="10438.25"/>
        <n v="11303.12"/>
        <n v="8118.19"/>
        <n v="2277.1999999999998"/>
        <n v="7558.51"/>
        <n v="6434.95"/>
        <n v="1754.76"/>
        <n v="4311.42"/>
        <n v="3721.28"/>
        <n v="10274.19"/>
        <n v="1443.34"/>
        <n v="1290.9000000000001"/>
        <n v="5951.69"/>
        <n v="6248.7"/>
        <n v="8054.57"/>
        <n v="2427.13"/>
        <n v="7408.72"/>
        <n v="17194.7"/>
        <n v="1070.8499999999999"/>
        <n v="14716.54"/>
        <n v="4616.07"/>
        <n v="3122.97"/>
        <n v="1117.93"/>
        <n v="6041.04"/>
        <n v="1755.33"/>
        <n v="3493.3"/>
        <n v="7665.31"/>
        <n v="591.41999999999996"/>
        <n v="6397.41"/>
        <n v="6257.25"/>
        <n v="3003.45"/>
        <n v="10361.879999999999"/>
        <n v="6082.3"/>
        <n v="1345.81"/>
        <n v="3270.09"/>
        <n v="12040.73"/>
        <n v="4579.97"/>
        <n v="3775.64"/>
        <n v="7610.53"/>
        <n v="8539.66"/>
        <n v="9125.17"/>
        <n v="1574.19"/>
        <n v="988.02"/>
        <n v="9584.06"/>
        <n v="1442.27"/>
        <n v="3499.35"/>
        <n v="5083.93"/>
        <n v="1163.98"/>
        <n v="2781.27"/>
        <n v="317.66000000000003"/>
        <n v="106.59"/>
        <n v="3981.92"/>
        <n v="2325.41"/>
        <n v="390.66"/>
        <n v="2154.2199999999998"/>
        <n v="1983.31"/>
        <n v="13507.83"/>
        <n v="2360.46"/>
        <n v="9148.83"/>
        <n v="527.30999999999995"/>
        <n v="1526.27"/>
        <n v="4515.83"/>
        <n v="1569.5"/>
        <n v="3583.36"/>
        <n v="4755.09"/>
        <n v="365.66"/>
        <n v="3692.41"/>
        <n v="4996.32"/>
        <n v="1688.54"/>
        <n v="3279.74"/>
        <n v="2073.34"/>
        <n v="392.38"/>
        <n v="1718.45"/>
        <n v="1867.12"/>
        <n v="8592.34"/>
        <n v="6182.12"/>
        <n v="1041.8599999999999"/>
        <n v="1948.13"/>
        <n v="4857.5"/>
        <n v="1627.22"/>
        <n v="2950.18"/>
        <n v="3660.76"/>
        <n v="329.52"/>
        <n v="1831.52"/>
        <n v="579.27"/>
        <n v="739.61"/>
        <n v="1752.42"/>
        <n v="3436.09"/>
        <n v="2910.5"/>
        <n v="148.26"/>
        <n v="935.94"/>
        <n v="6131.27"/>
        <n v="3080.19"/>
        <n v="2521.9899999999998"/>
        <n v="7860.25"/>
        <n v="8721.91"/>
        <n v="97.66"/>
        <n v="1004.39"/>
        <n v="4337.72"/>
        <n v="1227.79"/>
        <n v="240.78"/>
        <n v="2159.12"/>
        <n v="2206.14"/>
        <n v="5503.77"/>
        <n v="754.65"/>
        <n v="3932.7"/>
        <n v="271.58999999999997"/>
        <n v="4407.1899999999996"/>
        <n v="1346.26"/>
        <n v="5231.8100000000004"/>
        <n v="9522"/>
        <n v="4156.08"/>
        <n v="5522.95"/>
        <n v="2584.75"/>
        <n v="1756.26"/>
        <n v="308.85000000000002"/>
        <n v="7838.15"/>
        <n v="7462.53"/>
        <n v="12556.59"/>
        <n v="4681.8100000000004"/>
        <n v="376.13"/>
        <n v="1477.03"/>
        <n v="2685.47"/>
        <n v="5260.39"/>
        <n v="434.25"/>
        <n v="2402.79"/>
        <n v="1711.24"/>
        <n v="14000.67"/>
        <n v="3072.76"/>
        <n v="2079.1799999999998"/>
        <n v="3481.67"/>
        <n v="20310.45"/>
        <n v="2732.28"/>
        <n v="3885.85"/>
        <n v="2159.6"/>
        <n v="1828.69"/>
        <n v="1043.81"/>
        <n v="6568.84"/>
        <n v="14715.91"/>
        <n v="1434.85"/>
        <n v="5285.85"/>
        <n v="2188.39"/>
        <n v="10963.29"/>
        <n v="3646.33"/>
        <n v="731.22"/>
        <n v="2501.29"/>
        <n v="1472.2"/>
        <n v="516.47"/>
        <n v="3521.82"/>
        <n v="967.71"/>
        <n v="569.04999999999995"/>
        <n v="1589.86"/>
        <n v="1354.11"/>
        <n v="930.93"/>
        <n v="17816.54"/>
        <n v="2856.96"/>
        <n v="1000.78"/>
        <n v="9468.3700000000008"/>
        <n v="6973.91"/>
        <n v="778.83"/>
        <n v="4851.1899999999996"/>
        <n v="9905.2800000000007"/>
        <n v="4143.12"/>
        <n v="4627.1099999999997"/>
        <n v="3112.76"/>
        <n v="681.16"/>
        <n v="2535.13"/>
        <n v="4576.5"/>
        <n v="1055.99"/>
        <n v="5921.8"/>
        <n v="10751.45"/>
        <n v="6131.72"/>
        <n v="2853.34"/>
        <n v="5069.17"/>
        <n v="6994.21"/>
        <n v="3991.37"/>
        <n v="1401.67"/>
        <n v="6868.97"/>
        <n v="4827.3"/>
        <n v="1556.08"/>
        <n v="1818.71"/>
        <n v="3991.47"/>
        <n v="9899.24"/>
        <n v="9033.23"/>
        <n v="6576.94"/>
        <n v="32.25"/>
        <n v="2474.61"/>
        <n v="2060.58"/>
        <n v="1587.76"/>
        <n v="4037.13"/>
        <n v="2312.6799999999998"/>
        <n v="2560.52"/>
        <n v="5819.66"/>
        <n v="526.16"/>
        <n v="2860.44"/>
        <n v="4635.45"/>
        <n v="8603.01"/>
        <n v="2285.83"/>
        <n v="970.09"/>
        <n v="813.02"/>
        <n v="4309.93"/>
        <n v="8717.68"/>
        <n v="362.06"/>
        <n v="2789.09"/>
        <n v="7155.37"/>
        <n v="706.64"/>
        <n v="2290.73"/>
        <n v="1098.81"/>
        <n v="6021.65"/>
        <n v="787.67"/>
        <n v="6495.11"/>
        <n v="241.02"/>
        <n v="9322.2900000000009"/>
        <n v="219.11"/>
        <n v="11154.02"/>
        <n v="528.26"/>
        <n v="1253.27"/>
        <n v="3254.14"/>
        <n v="2622.09"/>
        <n v="6035.46"/>
        <n v="6532.69"/>
        <n v="4832.6000000000004"/>
        <n v="12623.03"/>
        <n v="3129.97"/>
        <n v="5131.05"/>
        <n v="7221.65"/>
        <n v="3339.95"/>
        <n v="4365.7"/>
        <n v="336.57"/>
        <n v="2108.34"/>
        <n v="6015.24"/>
        <n v="1393.82"/>
        <n v="6633.6"/>
        <n v="1599.92"/>
        <n v="594.16"/>
        <n v="1755.28"/>
        <n v="1004.43"/>
        <n v="1614.68"/>
        <n v="2035.55"/>
        <n v="3158.4"/>
        <n v="1012.39"/>
        <n v="1181.25"/>
        <n v="2692.85"/>
        <n v="2130.89"/>
        <n v="16869.02"/>
        <n v="2954.77"/>
        <n v="771.62"/>
        <n v="848.3"/>
        <n v="845.75"/>
        <n v="2696.44"/>
        <n v="993.4"/>
        <n v="2544.4699999999998"/>
        <n v="8068.18"/>
        <n v="1686.04"/>
        <n v="4644.8500000000004"/>
        <n v="6023.66"/>
        <n v="5974.33"/>
        <n v="8590.61"/>
        <n v="282.77999999999997"/>
        <n v="1137.77"/>
        <n v="5757.26"/>
        <n v="404.18"/>
        <n v="874.95"/>
        <n v="2086.9299999999998"/>
        <n v="1222.72"/>
        <n v="1420.65"/>
        <n v="668.43"/>
        <n v="3735.14"/>
        <n v="2514.96"/>
        <n v="2891.27"/>
        <n v="1412.65"/>
        <n v="1136.08"/>
        <n v="1074.52"/>
        <n v="6442.16"/>
        <n v="1210.1199999999999"/>
        <n v="6831.1"/>
        <n v="670.79"/>
        <n v="727.9"/>
        <n v="824.34"/>
        <n v="9931.9699999999993"/>
        <n v="4066.47"/>
        <n v="4114.6099999999997"/>
        <n v="728.06"/>
        <n v="956.82"/>
        <n v="208.57"/>
        <n v="1640.32"/>
        <n v="2188.17"/>
        <n v="1849.94"/>
        <n v="1906.41"/>
        <n v="2312.31"/>
        <n v="10424.9"/>
        <n v="1445.71"/>
        <n v="2122.5300000000002"/>
        <n v="3644.05"/>
        <n v="3583.77"/>
        <n v="347.57"/>
        <n v="1261.03"/>
        <n v="11424.41"/>
        <n v="282.24"/>
        <n v="1668.24"/>
        <n v="7135.73"/>
        <n v="5898.35"/>
        <n v="5490.17"/>
        <n v="1314.09"/>
        <n v="6436.26"/>
        <n v="1520.21"/>
        <n v="2700.96"/>
        <n v="2522.2399999999998"/>
        <n v="1310.24"/>
        <n v="2266.77"/>
        <n v="7765.98"/>
        <n v="9808.06"/>
        <n v="737.12"/>
        <n v="3128.76"/>
        <n v="2010.02"/>
        <n v="6889.75"/>
        <n v="1086.67"/>
        <n v="14200.05"/>
        <n v="17135.32"/>
        <n v="1706.46"/>
        <n v="3762.57"/>
        <n v="13724.08"/>
        <n v="5110.67"/>
        <n v="3034.76"/>
        <n v="857.82"/>
        <n v="2780.11"/>
        <n v="1018.25"/>
        <n v="331.96"/>
        <n v="402.46"/>
        <n v="2470.31"/>
        <n v="4120"/>
        <n v="910.92"/>
        <n v="6543.55"/>
        <n v="5930.74"/>
        <n v="65.94"/>
        <n v="4997.75"/>
        <n v="5284.6"/>
        <n v="2046.8"/>
        <n v="3769.39"/>
        <n v="5327.7"/>
        <n v="535.85"/>
        <n v="3465.19"/>
        <n v="8680.67"/>
        <n v="14770.76"/>
        <n v="6207.55"/>
        <n v="837.03"/>
        <n v="6423.1"/>
        <n v="2348.91"/>
        <n v="3862.49"/>
        <n v="7998.77"/>
        <n v="15502.81"/>
        <n v="5389.48"/>
        <n v="630.33000000000004"/>
        <n v="1854.76"/>
        <n v="3446.67"/>
        <n v="2748.37"/>
        <n v="1198.26"/>
        <n v="1478.15"/>
        <n v="2373.1"/>
        <n v="7083.62"/>
        <n v="3212.54"/>
        <n v="6736.2"/>
        <n v="5038.53"/>
        <n v="1746.49"/>
        <n v="1220.31"/>
        <n v="9015.41"/>
        <n v="2553.59"/>
        <n v="6013.81"/>
        <n v="1060.57"/>
        <n v="10783.38"/>
        <n v="699.43"/>
        <n v="5980.67"/>
        <n v="2247.25"/>
        <n v="120.62"/>
        <n v="2194.5300000000002"/>
        <n v="2957.05"/>
        <n v="113.69"/>
        <n v="80.14"/>
        <n v="15275.55"/>
        <n v="72.16"/>
        <n v="6345.52"/>
        <n v="2131.25"/>
        <n v="1912.49"/>
        <n v="5162.25"/>
        <n v="207.54"/>
        <n v="1761.89"/>
        <n v="3571.41"/>
        <n v="6976.7"/>
        <n v="1448.98"/>
        <n v="3354.5"/>
        <n v="4953.99"/>
        <n v="7561.31"/>
        <n v="1078.3399999999999"/>
        <n v="1175.6400000000001"/>
        <n v="5562.6"/>
        <n v="2860.99"/>
        <n v="10351.73"/>
        <n v="242.04"/>
        <n v="1465.63"/>
        <n v="3344.75"/>
        <n v="4249.4399999999996"/>
        <n v="4346.41"/>
        <n v="2672.59"/>
        <n v="865.3"/>
        <n v="8987.2099999999991"/>
        <n v="5181.91"/>
        <n v="2463.0500000000002"/>
        <n v="1872.05"/>
        <n v="3487.62"/>
        <n v="261.01"/>
        <n v="5158.8"/>
        <n v="2628.19"/>
        <n v="9298.02"/>
        <n v="5912.87"/>
        <n v="24.44"/>
        <n v="542.54999999999995"/>
        <n v="4021.49"/>
        <n v="1219.3499999999999"/>
        <n v="10620.38"/>
        <n v="5378.61"/>
        <n v="5895.05"/>
        <n v="4479.3100000000004"/>
        <n v="2387.54"/>
        <n v="1966.44"/>
        <n v="1842.37"/>
        <n v="5522.64"/>
        <n v="441.41"/>
        <n v="1574.45"/>
        <n v="8398.24"/>
        <n v="1435.26"/>
        <n v="4513.74"/>
        <n v="4101.03"/>
        <n v="1790.66"/>
        <n v="1832.54"/>
        <n v="427.26"/>
        <n v="1954.8"/>
        <n v="1861.7"/>
        <n v="5121.5"/>
        <n v="2005.6"/>
        <n v="2231.81"/>
        <n v="2440.1"/>
        <n v="3290.91"/>
        <n v="9407.3799999999992"/>
        <n v="2891.87"/>
        <n v="10742.63"/>
        <n v="5018.2700000000004"/>
        <n v="2780.28"/>
        <n v="10462.93"/>
        <n v="6363.89"/>
        <n v="10615.92"/>
        <n v="1026.45"/>
        <n v="14108.3"/>
        <n v="3599.22"/>
        <n v="11056.6"/>
        <n v="1333.31"/>
        <n v="2393.0300000000002"/>
        <n v="1669.28"/>
        <n v="6424.1"/>
        <n v="14128.02"/>
        <n v="4055.03"/>
        <n v="3761.55"/>
        <n v="1544.2"/>
        <n v="5533.27"/>
        <n v="2818.14"/>
        <n v="4564.76"/>
        <n v="5735.92"/>
        <n v="4564.29"/>
        <n v="563.14"/>
        <n v="7499.76"/>
        <n v="3301.48"/>
        <n v="3969.72"/>
        <n v="322.07"/>
        <n v="4248.05"/>
        <n v="271.29000000000002"/>
        <n v="2894.53"/>
        <n v="632.66999999999996"/>
        <n v="3725.56"/>
        <n v="5036.99"/>
        <n v="3502.31"/>
        <n v="2333.71"/>
        <n v="3305.26"/>
        <n v="8293.77"/>
        <n v="2242.88"/>
        <n v="408.01"/>
        <n v="9677.5300000000007"/>
        <n v="4021.52"/>
        <n v="295.29000000000002"/>
        <n v="1808.17"/>
        <n v="8023.69"/>
        <n v="1302.6500000000001"/>
        <n v="2455.71"/>
        <n v="5368.13"/>
        <n v="4494.24"/>
        <n v="2363"/>
        <n v="6066.85"/>
        <n v="2244.83"/>
        <n v="7647.06"/>
        <n v="2016.93"/>
        <n v="989.75"/>
        <n v="863.18"/>
        <n v="2236.06"/>
        <n v="3233.56"/>
        <n v="2297.59"/>
        <n v="252.83"/>
        <n v="488.65"/>
        <n v="1594.75"/>
        <n v="2178.7800000000002"/>
        <n v="1717.33"/>
        <n v="915.39"/>
        <n v="2318.4699999999998"/>
        <n v="3727.58"/>
        <n v="1769.93"/>
        <n v="5357.02"/>
        <n v="563.74"/>
        <n v="591.4"/>
        <n v="13370.35"/>
        <n v="2103.71"/>
        <n v="5401.73"/>
        <n v="116.98"/>
        <n v="2804.29"/>
        <n v="3348.87"/>
        <n v="982.3"/>
        <n v="6077.8"/>
        <n v="1203.7"/>
        <n v="1542.39"/>
        <n v="2628.2"/>
        <n v="2713.12"/>
        <n v="1604.28"/>
        <n v="5197.37"/>
        <n v="6158.56"/>
        <n v="2026.53"/>
        <n v="1337.91"/>
        <n v="3106.71"/>
        <n v="2235.81"/>
        <n v="10672.31"/>
        <n v="2246.85"/>
        <n v="2901.23"/>
        <n v="14403.06"/>
        <n v="1940.54"/>
        <n v="5137.3100000000004"/>
        <n v="5123.24"/>
        <n v="1188.8499999999999"/>
        <n v="5917.82"/>
        <n v="1561.86"/>
        <n v="4779.25"/>
        <n v="12185.52"/>
        <n v="7801.18"/>
        <n v="618.82000000000005"/>
        <n v="280.95999999999998"/>
        <n v="2863.26"/>
        <n v="3947.23"/>
        <n v="4752.83"/>
        <n v="4319.76"/>
        <n v="4301.17"/>
        <n v="2964"/>
        <n v="3375.25"/>
        <n v="5552.41"/>
        <n v="10983.67"/>
        <n v="2474.23"/>
        <n v="405.21"/>
        <n v="4773.3999999999996"/>
        <n v="6360.68"/>
        <n v="5633.99"/>
        <n v="11631.08"/>
        <n v="3873.43"/>
        <n v="1189.19"/>
        <n v="1838.95"/>
        <n v="166.87"/>
        <n v="1220.19"/>
        <n v="12868.78"/>
        <n v="3222.11"/>
        <n v="919.73"/>
        <n v="3097.14"/>
        <n v="3887.17"/>
        <n v="6186.75"/>
        <n v="3408.93"/>
        <n v="9978.48"/>
        <n v="180.62"/>
        <n v="1622.14"/>
        <n v="2105.6799999999998"/>
        <n v="2478.92"/>
        <n v="3329.87"/>
        <n v="1100.2"/>
        <n v="1321.18"/>
        <n v="12638.66"/>
        <n v="2307.0700000000002"/>
        <n v="4778.08"/>
        <n v="1372.77"/>
        <n v="214.1"/>
        <n v="3309.07"/>
        <n v="9048.86"/>
        <n v="2418.9699999999998"/>
        <n v="4614.25"/>
        <n v="7067.46"/>
        <n v="4047.71"/>
        <n v="7159.73"/>
        <n v="1381.13"/>
        <n v="654.55999999999995"/>
        <n v="1981.02"/>
        <n v="2085.0300000000002"/>
        <n v="1919.93"/>
        <n v="7320.36"/>
        <n v="400.13"/>
        <n v="754.8"/>
        <n v="545.73"/>
        <n v="6287.78"/>
        <n v="307.93"/>
        <n v="5415.09"/>
        <n v="124.01"/>
        <n v="8816.66"/>
        <n v="11278.36"/>
        <n v="1222.53"/>
        <n v="987.17"/>
        <n v="4879.13"/>
        <n v="6272.81"/>
        <n v="3605.5"/>
        <n v="9611.82"/>
        <n v="3264.79"/>
        <n v="4186.5"/>
        <n v="5696.67"/>
        <n v="107.48"/>
        <n v="3086.41"/>
        <n v="3374.42"/>
        <n v="1955.33"/>
        <n v="5121.2299999999996"/>
        <n v="2447.61"/>
        <n v="1642.41"/>
        <n v="6555.19"/>
        <n v="6204.01"/>
        <n v="296.43"/>
        <n v="1975.76"/>
        <n v="2083.25"/>
        <n v="5234.22"/>
        <n v="3764.38"/>
        <n v="331.06"/>
        <n v="13481.86"/>
        <n v="5723.4"/>
        <n v="5308.57"/>
        <n v="10551.65"/>
        <n v="8064.31"/>
        <n v="827.38"/>
        <n v="5111.33"/>
        <n v="886.32"/>
        <n v="882.03"/>
        <n v="4118.45"/>
        <n v="17535.82"/>
        <n v="3589.04"/>
        <n v="743.52"/>
        <n v="511.57"/>
        <n v="680.59"/>
        <n v="460.32"/>
        <n v="1226.19"/>
        <n v="5802.19"/>
      </sharedItems>
    </cacheField>
    <cacheField name="Payment Method" numFmtId="0">
      <sharedItems count="5">
        <s v="Card"/>
        <s v="Net Banking"/>
        <s v="UPI"/>
        <s v="Wallet"/>
        <s v="COD"/>
      </sharedItems>
    </cacheField>
    <cacheField name="City" numFmtId="0">
      <sharedItems count="6">
        <s v="Hyderabad"/>
        <s v="Chennai"/>
        <s v="Bengaluru"/>
        <s v="Kochi"/>
        <s v="Delhi"/>
        <s v="Mumbai"/>
      </sharedItems>
    </cacheField>
    <cacheField name="State" numFmtId="0">
      <sharedItems count="6">
        <s v="Telangana"/>
        <s v="Tamil Nadu"/>
        <s v="Karnataka"/>
        <s v="Kerala"/>
        <s v="Delhi"/>
        <s v="Maharashtra"/>
      </sharedItems>
    </cacheField>
    <cacheField name="Salesperson" numFmtId="0">
      <sharedItems count="5">
        <s v="Anil"/>
        <s v="Asha"/>
        <s v="John"/>
        <s v="Rahul"/>
        <s v="Priya"/>
      </sharedItems>
    </cacheField>
    <cacheField name="Delivery Status" numFmtId="0">
      <sharedItems count="4">
        <s v="Shipped"/>
        <s v="Delivered"/>
        <s v="Cancelled"/>
        <s v="Returned"/>
      </sharedItems>
    </cacheField>
    <cacheField name="Customer Rating" numFmtId="173">
      <sharedItems containsSemiMixedTypes="0" containsString="0" containsNumber="1" containsInteger="1" minValue="1" maxValue="5"/>
    </cacheField>
  </cacheFields>
  <extLst>
    <ext xmlns:x14="http://schemas.microsoft.com/office/spreadsheetml/2009/9/main" uri="{725AE2AE-9491-48be-B2B4-4EB974FC3084}">
      <x14:pivotCacheDefinition pivotCacheId="1130250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84"/>
    <x v="0"/>
    <s v="Sanjay Chauhan"/>
    <x v="0"/>
    <x v="0"/>
    <x v="0"/>
    <n v="10"/>
    <n v="1499"/>
    <n v="14990"/>
    <x v="0"/>
    <x v="0"/>
  </r>
  <r>
    <n v="1135"/>
    <x v="1"/>
    <s v="Ajay Verma"/>
    <x v="1"/>
    <x v="0"/>
    <x v="1"/>
    <n v="7"/>
    <n v="799"/>
    <n v="5593"/>
    <x v="1"/>
    <x v="0"/>
  </r>
  <r>
    <n v="1013"/>
    <x v="2"/>
    <s v="Divya Gupta"/>
    <x v="1"/>
    <x v="0"/>
    <x v="1"/>
    <n v="8"/>
    <n v="1999"/>
    <n v="15992"/>
    <x v="1"/>
    <x v="0"/>
  </r>
  <r>
    <n v="1116"/>
    <x v="3"/>
    <s v="Tanvi Kapoor"/>
    <x v="2"/>
    <x v="1"/>
    <x v="2"/>
    <n v="1"/>
    <n v="799"/>
    <n v="799"/>
    <x v="2"/>
    <x v="0"/>
  </r>
  <r>
    <n v="1044"/>
    <x v="4"/>
    <s v="Swati Pandey"/>
    <x v="3"/>
    <x v="0"/>
    <x v="3"/>
    <n v="3"/>
    <n v="699"/>
    <n v="2097"/>
    <x v="3"/>
    <x v="0"/>
  </r>
  <r>
    <n v="1118"/>
    <x v="5"/>
    <s v="Ravi Kumar"/>
    <x v="0"/>
    <x v="2"/>
    <x v="4"/>
    <n v="12"/>
    <n v="699"/>
    <n v="8388"/>
    <x v="4"/>
    <x v="0"/>
  </r>
  <r>
    <n v="1025"/>
    <x v="6"/>
    <s v="Karan Mukherjee"/>
    <x v="3"/>
    <x v="2"/>
    <x v="5"/>
    <n v="11"/>
    <n v="199"/>
    <n v="2189"/>
    <x v="5"/>
    <x v="0"/>
  </r>
  <r>
    <n v="1133"/>
    <x v="7"/>
    <s v="Deepa Chauhan"/>
    <x v="2"/>
    <x v="3"/>
    <x v="6"/>
    <n v="9"/>
    <n v="699"/>
    <n v="6291"/>
    <x v="3"/>
    <x v="0"/>
  </r>
  <r>
    <n v="1005"/>
    <x v="8"/>
    <s v="Simran Bose"/>
    <x v="1"/>
    <x v="2"/>
    <x v="7"/>
    <n v="4"/>
    <n v="799"/>
    <n v="3196"/>
    <x v="6"/>
    <x v="0"/>
  </r>
  <r>
    <n v="1083"/>
    <x v="9"/>
    <s v="Nikhil Bose"/>
    <x v="3"/>
    <x v="2"/>
    <x v="5"/>
    <n v="3"/>
    <n v="349"/>
    <n v="1047"/>
    <x v="4"/>
    <x v="0"/>
  </r>
  <r>
    <n v="1100"/>
    <x v="10"/>
    <s v="Sneha Gupta"/>
    <x v="0"/>
    <x v="4"/>
    <x v="8"/>
    <n v="11"/>
    <n v="349"/>
    <n v="3839"/>
    <x v="1"/>
    <x v="0"/>
  </r>
  <r>
    <n v="1138"/>
    <x v="11"/>
    <s v="Nikhil Pillai"/>
    <x v="0"/>
    <x v="2"/>
    <x v="5"/>
    <n v="11"/>
    <n v="999"/>
    <n v="10989"/>
    <x v="2"/>
    <x v="1"/>
  </r>
  <r>
    <n v="1127"/>
    <x v="12"/>
    <s v="Priya Bose"/>
    <x v="2"/>
    <x v="4"/>
    <x v="9"/>
    <n v="9"/>
    <n v="2499"/>
    <n v="22491"/>
    <x v="2"/>
    <x v="1"/>
  </r>
  <r>
    <n v="1029"/>
    <x v="13"/>
    <s v="Vivek Singh"/>
    <x v="3"/>
    <x v="2"/>
    <x v="5"/>
    <n v="12"/>
    <n v="399"/>
    <n v="4788"/>
    <x v="0"/>
    <x v="1"/>
  </r>
  <r>
    <n v="1033"/>
    <x v="14"/>
    <s v="Divya Reddy"/>
    <x v="1"/>
    <x v="0"/>
    <x v="0"/>
    <n v="5"/>
    <n v="899"/>
    <n v="4495"/>
    <x v="1"/>
    <x v="0"/>
  </r>
  <r>
    <n v="1104"/>
    <x v="15"/>
    <s v="Priya Pillai"/>
    <x v="2"/>
    <x v="1"/>
    <x v="10"/>
    <n v="2"/>
    <n v="999"/>
    <n v="1998"/>
    <x v="5"/>
    <x v="1"/>
  </r>
  <r>
    <n v="1132"/>
    <x v="16"/>
    <s v="Simran Bose"/>
    <x v="1"/>
    <x v="3"/>
    <x v="11"/>
    <n v="7"/>
    <n v="299"/>
    <n v="2093"/>
    <x v="1"/>
    <x v="0"/>
  </r>
  <r>
    <n v="1072"/>
    <x v="17"/>
    <s v="Manoj Chauhan"/>
    <x v="1"/>
    <x v="2"/>
    <x v="12"/>
    <n v="8"/>
    <n v="1499"/>
    <n v="11992"/>
    <x v="1"/>
    <x v="1"/>
  </r>
  <r>
    <n v="1120"/>
    <x v="18"/>
    <s v="Isha Kapoor"/>
    <x v="2"/>
    <x v="0"/>
    <x v="13"/>
    <n v="8"/>
    <n v="199"/>
    <n v="1592"/>
    <x v="3"/>
    <x v="0"/>
  </r>
  <r>
    <n v="1062"/>
    <x v="19"/>
    <s v="Isha Iyer"/>
    <x v="2"/>
    <x v="0"/>
    <x v="0"/>
    <n v="2"/>
    <n v="1999"/>
    <n v="3998"/>
    <x v="4"/>
    <x v="0"/>
  </r>
  <r>
    <n v="1057"/>
    <x v="20"/>
    <s v="Meera Rao"/>
    <x v="1"/>
    <x v="2"/>
    <x v="7"/>
    <n v="10"/>
    <n v="149"/>
    <n v="1490"/>
    <x v="2"/>
    <x v="0"/>
  </r>
  <r>
    <n v="1021"/>
    <x v="21"/>
    <s v="Vikram Menon"/>
    <x v="3"/>
    <x v="2"/>
    <x v="14"/>
    <n v="4"/>
    <n v="499"/>
    <n v="1996"/>
    <x v="4"/>
    <x v="1"/>
  </r>
  <r>
    <n v="1019"/>
    <x v="22"/>
    <s v="Vikram Menon"/>
    <x v="1"/>
    <x v="0"/>
    <x v="3"/>
    <n v="6"/>
    <n v="299"/>
    <n v="1794"/>
    <x v="4"/>
    <x v="0"/>
  </r>
  <r>
    <n v="1111"/>
    <x v="23"/>
    <s v="Deepa Malhotra"/>
    <x v="0"/>
    <x v="0"/>
    <x v="0"/>
    <n v="8"/>
    <n v="799"/>
    <n v="6392"/>
    <x v="2"/>
    <x v="0"/>
  </r>
  <r>
    <n v="1019"/>
    <x v="22"/>
    <s v="Vikram Menon"/>
    <x v="1"/>
    <x v="0"/>
    <x v="3"/>
    <n v="7"/>
    <n v="299"/>
    <n v="2093"/>
    <x v="4"/>
    <x v="0"/>
  </r>
  <r>
    <n v="1097"/>
    <x v="24"/>
    <s v="Suresh Pillai"/>
    <x v="0"/>
    <x v="0"/>
    <x v="13"/>
    <n v="4"/>
    <n v="249"/>
    <n v="996"/>
    <x v="7"/>
    <x v="0"/>
  </r>
  <r>
    <n v="1038"/>
    <x v="25"/>
    <s v="Kavya Joshi"/>
    <x v="0"/>
    <x v="1"/>
    <x v="15"/>
    <n v="9"/>
    <n v="899"/>
    <n v="8091"/>
    <x v="4"/>
    <x v="0"/>
  </r>
  <r>
    <n v="1114"/>
    <x v="26"/>
    <s v="Simran Malhotra"/>
    <x v="1"/>
    <x v="4"/>
    <x v="8"/>
    <n v="12"/>
    <n v="149"/>
    <n v="1788"/>
    <x v="1"/>
    <x v="1"/>
  </r>
  <r>
    <n v="1128"/>
    <x v="27"/>
    <s v="Sanjay Das"/>
    <x v="1"/>
    <x v="0"/>
    <x v="0"/>
    <n v="11"/>
    <n v="399"/>
    <n v="4389"/>
    <x v="1"/>
    <x v="0"/>
  </r>
  <r>
    <n v="1148"/>
    <x v="28"/>
    <s v="Shalini Joshi"/>
    <x v="0"/>
    <x v="0"/>
    <x v="16"/>
    <n v="9"/>
    <n v="349"/>
    <n v="3141"/>
    <x v="3"/>
    <x v="0"/>
  </r>
  <r>
    <n v="1087"/>
    <x v="29"/>
    <s v="Anjali Singh"/>
    <x v="2"/>
    <x v="4"/>
    <x v="17"/>
    <n v="1"/>
    <n v="599"/>
    <n v="599"/>
    <x v="5"/>
    <x v="1"/>
  </r>
  <r>
    <n v="1094"/>
    <x v="30"/>
    <s v="Pooja Kumar"/>
    <x v="2"/>
    <x v="4"/>
    <x v="18"/>
    <n v="3"/>
    <n v="99"/>
    <n v="297"/>
    <x v="3"/>
    <x v="0"/>
  </r>
  <r>
    <n v="1105"/>
    <x v="2"/>
    <s v="Kavya Chauhan"/>
    <x v="1"/>
    <x v="0"/>
    <x v="0"/>
    <n v="6"/>
    <n v="999"/>
    <n v="5994"/>
    <x v="5"/>
    <x v="0"/>
  </r>
  <r>
    <n v="1058"/>
    <x v="31"/>
    <s v="Ajay Reddy"/>
    <x v="3"/>
    <x v="5"/>
    <x v="11"/>
    <n v="5"/>
    <n v="1499"/>
    <n v="7495"/>
    <x v="1"/>
    <x v="0"/>
  </r>
  <r>
    <n v="1045"/>
    <x v="32"/>
    <s v="Vivek Chatterjee"/>
    <x v="1"/>
    <x v="1"/>
    <x v="19"/>
    <n v="1"/>
    <n v="199"/>
    <n v="199"/>
    <x v="5"/>
    <x v="0"/>
  </r>
  <r>
    <n v="1024"/>
    <x v="33"/>
    <s v="Meera Singh"/>
    <x v="3"/>
    <x v="2"/>
    <x v="12"/>
    <n v="11"/>
    <n v="349"/>
    <n v="3839"/>
    <x v="0"/>
    <x v="0"/>
  </r>
  <r>
    <n v="1109"/>
    <x v="34"/>
    <s v="Nikhil Chatterjee"/>
    <x v="1"/>
    <x v="3"/>
    <x v="20"/>
    <n v="7"/>
    <n v="299"/>
    <n v="2093"/>
    <x v="0"/>
    <x v="0"/>
  </r>
  <r>
    <n v="1143"/>
    <x v="35"/>
    <s v="Amit Pillai"/>
    <x v="3"/>
    <x v="2"/>
    <x v="12"/>
    <n v="6"/>
    <n v="249"/>
    <n v="1494"/>
    <x v="0"/>
    <x v="0"/>
  </r>
  <r>
    <n v="1085"/>
    <x v="36"/>
    <s v="Gaurav Reddy"/>
    <x v="0"/>
    <x v="5"/>
    <x v="21"/>
    <n v="5"/>
    <n v="199"/>
    <n v="995"/>
    <x v="0"/>
    <x v="0"/>
  </r>
  <r>
    <n v="1093"/>
    <x v="37"/>
    <s v="Suresh Mukherjee"/>
    <x v="1"/>
    <x v="1"/>
    <x v="22"/>
    <n v="10"/>
    <n v="1199"/>
    <n v="11990"/>
    <x v="7"/>
    <x v="0"/>
  </r>
  <r>
    <n v="1125"/>
    <x v="38"/>
    <s v="Sanjay Rao"/>
    <x v="0"/>
    <x v="4"/>
    <x v="8"/>
    <n v="10"/>
    <n v="799"/>
    <n v="7990"/>
    <x v="0"/>
    <x v="0"/>
  </r>
  <r>
    <n v="1146"/>
    <x v="39"/>
    <s v="Anjali Pandey"/>
    <x v="2"/>
    <x v="3"/>
    <x v="6"/>
    <n v="4"/>
    <n v="2499"/>
    <n v="9996"/>
    <x v="5"/>
    <x v="0"/>
  </r>
  <r>
    <n v="1074"/>
    <x v="40"/>
    <s v="Amit Bose"/>
    <x v="1"/>
    <x v="3"/>
    <x v="11"/>
    <n v="8"/>
    <n v="199"/>
    <n v="1592"/>
    <x v="5"/>
    <x v="0"/>
  </r>
  <r>
    <n v="1046"/>
    <x v="41"/>
    <s v="Ritu Kumar"/>
    <x v="2"/>
    <x v="0"/>
    <x v="1"/>
    <n v="11"/>
    <n v="1999"/>
    <n v="21989"/>
    <x v="3"/>
    <x v="0"/>
  </r>
  <r>
    <n v="1067"/>
    <x v="42"/>
    <s v="Arjun Gupta"/>
    <x v="2"/>
    <x v="4"/>
    <x v="9"/>
    <n v="9"/>
    <n v="1199"/>
    <n v="10791"/>
    <x v="6"/>
    <x v="0"/>
  </r>
  <r>
    <n v="1001"/>
    <x v="43"/>
    <s v="Ajay Nair"/>
    <x v="1"/>
    <x v="2"/>
    <x v="7"/>
    <n v="2"/>
    <n v="399"/>
    <n v="798"/>
    <x v="0"/>
    <x v="0"/>
  </r>
  <r>
    <n v="1058"/>
    <x v="36"/>
    <s v="Ajay Reddy"/>
    <x v="3"/>
    <x v="5"/>
    <x v="11"/>
    <n v="5"/>
    <n v="1499"/>
    <n v="7495"/>
    <x v="1"/>
    <x v="0"/>
  </r>
  <r>
    <n v="1012"/>
    <x v="44"/>
    <s v="Neha Mukherjee"/>
    <x v="1"/>
    <x v="2"/>
    <x v="14"/>
    <n v="2"/>
    <n v="499"/>
    <n v="998"/>
    <x v="1"/>
    <x v="0"/>
  </r>
  <r>
    <n v="1151"/>
    <x v="45"/>
    <s v="Sneha Chauhan"/>
    <x v="1"/>
    <x v="1"/>
    <x v="2"/>
    <n v="9"/>
    <n v="999"/>
    <n v="8991"/>
    <x v="3"/>
    <x v="0"/>
  </r>
  <r>
    <n v="1117"/>
    <x v="18"/>
    <s v="Harsh Chatterjee"/>
    <x v="3"/>
    <x v="2"/>
    <x v="5"/>
    <n v="1"/>
    <n v="599"/>
    <n v="599"/>
    <x v="4"/>
    <x v="0"/>
  </r>
  <r>
    <n v="1048"/>
    <x v="46"/>
    <s v="Pooja Verma"/>
    <x v="1"/>
    <x v="1"/>
    <x v="2"/>
    <n v="5"/>
    <n v="1499"/>
    <n v="7495"/>
    <x v="1"/>
    <x v="0"/>
  </r>
  <r>
    <n v="1158"/>
    <x v="47"/>
    <s v="Manoj Sharma"/>
    <x v="0"/>
    <x v="4"/>
    <x v="23"/>
    <n v="7"/>
    <n v="399"/>
    <n v="2793"/>
    <x v="4"/>
    <x v="2"/>
  </r>
  <r>
    <n v="1139"/>
    <x v="48"/>
    <s v="Arjun Chatterjee"/>
    <x v="1"/>
    <x v="3"/>
    <x v="24"/>
    <n v="6"/>
    <n v="599"/>
    <n v="3594"/>
    <x v="3"/>
    <x v="0"/>
  </r>
  <r>
    <n v="1063"/>
    <x v="49"/>
    <s v="Divya Das"/>
    <x v="0"/>
    <x v="2"/>
    <x v="5"/>
    <n v="2"/>
    <n v="1499"/>
    <n v="2998"/>
    <x v="6"/>
    <x v="1"/>
  </r>
  <r>
    <n v="1153"/>
    <x v="50"/>
    <s v="Kavya Mukherjee"/>
    <x v="3"/>
    <x v="3"/>
    <x v="25"/>
    <n v="9"/>
    <n v="699"/>
    <n v="6291"/>
    <x v="3"/>
    <x v="1"/>
  </r>
  <r>
    <n v="1107"/>
    <x v="51"/>
    <s v="Anjali Iyer"/>
    <x v="3"/>
    <x v="4"/>
    <x v="23"/>
    <n v="7"/>
    <n v="699"/>
    <n v="4893"/>
    <x v="0"/>
    <x v="0"/>
  </r>
  <r>
    <n v="1030"/>
    <x v="52"/>
    <s v="Gaurav Mukherjee"/>
    <x v="2"/>
    <x v="3"/>
    <x v="6"/>
    <n v="7"/>
    <n v="1199"/>
    <n v="8393"/>
    <x v="2"/>
    <x v="0"/>
  </r>
  <r>
    <n v="1144"/>
    <x v="53"/>
    <s v="Ravi Joshi"/>
    <x v="1"/>
    <x v="2"/>
    <x v="26"/>
    <n v="5"/>
    <n v="499"/>
    <n v="2495"/>
    <x v="3"/>
    <x v="1"/>
  </r>
  <r>
    <n v="1092"/>
    <x v="54"/>
    <s v="Tanvi Verma"/>
    <x v="2"/>
    <x v="2"/>
    <x v="14"/>
    <n v="3"/>
    <n v="1999"/>
    <n v="5997"/>
    <x v="2"/>
    <x v="0"/>
  </r>
  <r>
    <n v="1060"/>
    <x v="55"/>
    <s v="Ritu Chatterjee"/>
    <x v="1"/>
    <x v="4"/>
    <x v="9"/>
    <n v="6"/>
    <n v="599"/>
    <n v="3594"/>
    <x v="1"/>
    <x v="0"/>
  </r>
  <r>
    <n v="1091"/>
    <x v="56"/>
    <s v="Priya Iyer"/>
    <x v="1"/>
    <x v="3"/>
    <x v="6"/>
    <n v="9"/>
    <n v="999"/>
    <n v="8991"/>
    <x v="2"/>
    <x v="0"/>
  </r>
  <r>
    <n v="1016"/>
    <x v="57"/>
    <s v="Rohit Pillai"/>
    <x v="2"/>
    <x v="1"/>
    <x v="19"/>
    <n v="2"/>
    <n v="99"/>
    <n v="198"/>
    <x v="1"/>
    <x v="0"/>
  </r>
  <r>
    <n v="1004"/>
    <x v="58"/>
    <s v="Suresh Rao"/>
    <x v="3"/>
    <x v="1"/>
    <x v="27"/>
    <n v="5"/>
    <n v="199"/>
    <n v="995"/>
    <x v="2"/>
    <x v="0"/>
  </r>
  <r>
    <n v="1119"/>
    <x v="41"/>
    <s v="Arjun Malhotra"/>
    <x v="3"/>
    <x v="0"/>
    <x v="0"/>
    <n v="10"/>
    <n v="199"/>
    <n v="1990"/>
    <x v="4"/>
    <x v="1"/>
  </r>
  <r>
    <n v="1150"/>
    <x v="50"/>
    <s v="Priya Das"/>
    <x v="0"/>
    <x v="2"/>
    <x v="12"/>
    <n v="10"/>
    <n v="249"/>
    <n v="2490"/>
    <x v="1"/>
    <x v="0"/>
  </r>
  <r>
    <n v="1075"/>
    <x v="2"/>
    <s v="Sneha Nair"/>
    <x v="2"/>
    <x v="1"/>
    <x v="22"/>
    <n v="2"/>
    <n v="499"/>
    <n v="998"/>
    <x v="1"/>
    <x v="0"/>
  </r>
  <r>
    <n v="1089"/>
    <x v="41"/>
    <s v="Neha Rao"/>
    <x v="0"/>
    <x v="4"/>
    <x v="8"/>
    <n v="9"/>
    <n v="99"/>
    <n v="891"/>
    <x v="6"/>
    <x v="0"/>
  </r>
  <r>
    <n v="1042"/>
    <x v="59"/>
    <s v="Rohit Chatterjee"/>
    <x v="0"/>
    <x v="4"/>
    <x v="8"/>
    <n v="12"/>
    <n v="249"/>
    <n v="2988"/>
    <x v="2"/>
    <x v="1"/>
  </r>
  <r>
    <n v="1079"/>
    <x v="60"/>
    <s v="Isha Verma"/>
    <x v="2"/>
    <x v="0"/>
    <x v="1"/>
    <n v="2"/>
    <n v="799"/>
    <n v="1598"/>
    <x v="6"/>
    <x v="0"/>
  </r>
  <r>
    <n v="1134"/>
    <x v="61"/>
    <s v="Meera Nair"/>
    <x v="0"/>
    <x v="2"/>
    <x v="14"/>
    <n v="7"/>
    <n v="1499"/>
    <n v="10493"/>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01"/>
    <d v="2025-07-24T00:00:00"/>
    <s v="C00001"/>
    <s v="Customer 1"/>
    <s v="Watch"/>
    <s v="Accessories"/>
    <s v="Fossil"/>
    <n v="5"/>
    <n v="6059"/>
    <n v="0"/>
    <n v="30295"/>
    <n v="3949.04"/>
    <s v="Card"/>
    <s v="Hyderabad"/>
    <s v="Telangana"/>
    <s v="Anil"/>
    <s v="Shipped"/>
    <n v="3"/>
  </r>
  <r>
    <s v="O00002"/>
    <d v="2025-04-15T00:00:00"/>
    <s v="C00002"/>
    <s v="Customer 2"/>
    <s v="Watch"/>
    <s v="Accessories"/>
    <s v="Fossil"/>
    <n v="5"/>
    <n v="3639"/>
    <n v="0"/>
    <n v="18195"/>
    <n v="5181.43"/>
    <s v="Card"/>
    <s v="Chennai"/>
    <s v="Tamil Nadu"/>
    <s v="Anil"/>
    <s v="Delivered"/>
    <n v="4"/>
  </r>
  <r>
    <s v="O00003"/>
    <d v="2025-11-22T00:00:00"/>
    <s v="C00003"/>
    <s v="Customer 3"/>
    <s v="Book"/>
    <s v="Books"/>
    <s v="Penguin"/>
    <n v="4"/>
    <n v="2520"/>
    <n v="0"/>
    <n v="10080"/>
    <n v="2867.57"/>
    <s v="Net Banking"/>
    <s v="Chennai"/>
    <s v="Tamil Nadu"/>
    <s v="Asha"/>
    <s v="Cancelled"/>
    <n v="4"/>
  </r>
  <r>
    <s v="O00004"/>
    <d v="2025-03-02T00:00:00"/>
    <s v="C00004"/>
    <s v="Customer 4"/>
    <s v="Shoes"/>
    <s v="Fashion"/>
    <s v="Nike"/>
    <n v="1"/>
    <n v="10604"/>
    <n v="0.15"/>
    <n v="9013.4"/>
    <n v="862.52"/>
    <s v="Net Banking"/>
    <s v="Bengaluru"/>
    <s v="Karnataka"/>
    <s v="John"/>
    <s v="Delivered"/>
    <n v="4"/>
  </r>
  <r>
    <s v="O00005"/>
    <d v="2025-03-05T00:00:00"/>
    <s v="C00005"/>
    <s v="Customer 5"/>
    <s v="Book"/>
    <s v="Books"/>
    <s v="Penguin"/>
    <n v="3"/>
    <n v="14673"/>
    <n v="0"/>
    <n v="44019"/>
    <n v="12200.93"/>
    <s v="Net Banking"/>
    <s v="Chennai"/>
    <s v="Tamil Nadu"/>
    <s v="Rahul"/>
    <s v="Returned"/>
    <n v="2"/>
  </r>
  <r>
    <s v="O00006"/>
    <d v="2025-03-15T00:00:00"/>
    <s v="C00006"/>
    <s v="Customer 6"/>
    <s v="Phone"/>
    <s v="Electronics"/>
    <s v="Samsung"/>
    <n v="1"/>
    <n v="8627"/>
    <n v="0.1"/>
    <n v="7764.3"/>
    <n v="2271.81"/>
    <s v="Net Banking"/>
    <s v="Bengaluru"/>
    <s v="Karnataka"/>
    <s v="Anil"/>
    <s v="Cancelled"/>
    <n v="3"/>
  </r>
  <r>
    <s v="O00007"/>
    <d v="2025-11-16T00:00:00"/>
    <s v="C00007"/>
    <s v="Customer 7"/>
    <s v="Headphones"/>
    <s v="Electronics"/>
    <s v="Sony"/>
    <n v="3"/>
    <n v="5419"/>
    <n v="0.15"/>
    <n v="13818.45"/>
    <n v="1723.83"/>
    <s v="UPI"/>
    <s v="Kochi"/>
    <s v="Kerala"/>
    <s v="Asha"/>
    <s v="Cancelled"/>
    <n v="1"/>
  </r>
  <r>
    <s v="O00008"/>
    <d v="2025-05-29T00:00:00"/>
    <s v="C00008"/>
    <s v="Customer 8"/>
    <s v="Laptop"/>
    <s v="Electronics"/>
    <s v="Dell"/>
    <n v="1"/>
    <n v="6879"/>
    <n v="0.15"/>
    <n v="5847.15"/>
    <n v="953.22"/>
    <s v="Wallet"/>
    <s v="Kochi"/>
    <s v="Kerala"/>
    <s v="John"/>
    <s v="Shipped"/>
    <n v="5"/>
  </r>
  <r>
    <s v="O00009"/>
    <d v="2025-03-30T00:00:00"/>
    <s v="C00009"/>
    <s v="Customer 9"/>
    <s v="Headphones"/>
    <s v="Electronics"/>
    <s v="Sony"/>
    <n v="4"/>
    <n v="10033"/>
    <n v="0.05"/>
    <n v="38125.4"/>
    <n v="8831.7900000000009"/>
    <s v="Net Banking"/>
    <s v="Bengaluru"/>
    <s v="Karnataka"/>
    <s v="Priya"/>
    <s v="Cancelled"/>
    <n v="2"/>
  </r>
  <r>
    <s v="O00010"/>
    <d v="2025-03-08T00:00:00"/>
    <s v="C00010"/>
    <s v="Customer 10"/>
    <s v="Headphones"/>
    <s v="Electronics"/>
    <s v="Sony"/>
    <n v="1"/>
    <n v="2263"/>
    <n v="0.1"/>
    <n v="2036.7"/>
    <n v="606.39"/>
    <s v="Card"/>
    <s v="Delhi"/>
    <s v="Delhi"/>
    <s v="Rahul"/>
    <s v="Shipped"/>
    <n v="4"/>
  </r>
  <r>
    <s v="O00011"/>
    <d v="2025-07-23T00:00:00"/>
    <s v="C00011"/>
    <s v="Customer 11"/>
    <s v="Watch"/>
    <s v="Accessories"/>
    <s v="Fossil"/>
    <n v="1"/>
    <n v="10944"/>
    <n v="0.05"/>
    <n v="10396.799999999999"/>
    <n v="3040.08"/>
    <s v="Wallet"/>
    <s v="Hyderabad"/>
    <s v="Telangana"/>
    <s v="Priya"/>
    <s v="Cancelled"/>
    <n v="5"/>
  </r>
  <r>
    <s v="O00012"/>
    <d v="2025-06-26T00:00:00"/>
    <s v="C00012"/>
    <s v="Customer 12"/>
    <s v="Mixer"/>
    <s v="Home"/>
    <s v="Philips"/>
    <n v="2"/>
    <n v="10645"/>
    <n v="0.2"/>
    <n v="17032"/>
    <n v="3795.71"/>
    <s v="Card"/>
    <s v="Mumbai"/>
    <s v="Maharashtra"/>
    <s v="Asha"/>
    <s v="Returned"/>
    <n v="1"/>
  </r>
  <r>
    <s v="O00013"/>
    <d v="2025-12-01T00:00:00"/>
    <s v="C00013"/>
    <s v="Customer 13"/>
    <s v="Book"/>
    <s v="Books"/>
    <s v="Penguin"/>
    <n v="4"/>
    <n v="6772"/>
    <n v="0"/>
    <n v="27088"/>
    <n v="2286.06"/>
    <s v="Net Banking"/>
    <s v="Kochi"/>
    <s v="Kerala"/>
    <s v="Anil"/>
    <s v="Delivered"/>
    <n v="2"/>
  </r>
  <r>
    <s v="O00014"/>
    <d v="2025-07-22T00:00:00"/>
    <s v="C00014"/>
    <s v="Customer 14"/>
    <s v="Chair"/>
    <s v="Furniture"/>
    <s v="Ikea"/>
    <n v="2"/>
    <n v="9986"/>
    <n v="0.2"/>
    <n v="15977.6"/>
    <n v="1586.87"/>
    <s v="Wallet"/>
    <s v="Kochi"/>
    <s v="Kerala"/>
    <s v="John"/>
    <s v="Cancelled"/>
    <n v="5"/>
  </r>
  <r>
    <s v="O00015"/>
    <d v="2025-01-20T00:00:00"/>
    <s v="C00015"/>
    <s v="Customer 15"/>
    <s v="Chair"/>
    <s v="Furniture"/>
    <s v="Ikea"/>
    <n v="2"/>
    <n v="13915"/>
    <n v="0.2"/>
    <n v="22264"/>
    <n v="4051.87"/>
    <s v="Wallet"/>
    <s v="Kochi"/>
    <s v="Kerala"/>
    <s v="Priya"/>
    <s v="Delivered"/>
    <n v="4"/>
  </r>
  <r>
    <s v="O00016"/>
    <d v="2025-03-21T00:00:00"/>
    <s v="C00016"/>
    <s v="Customer 16"/>
    <s v="Headphones"/>
    <s v="Electronics"/>
    <s v="Sony"/>
    <n v="2"/>
    <n v="376"/>
    <n v="0.1"/>
    <n v="676.8"/>
    <n v="112.55"/>
    <s v="UPI"/>
    <s v="Chennai"/>
    <s v="Tamil Nadu"/>
    <s v="Asha"/>
    <s v="Shipped"/>
    <n v="1"/>
  </r>
  <r>
    <s v="O00017"/>
    <d v="2025-01-16T00:00:00"/>
    <s v="C00017"/>
    <s v="Customer 17"/>
    <s v="Laptop"/>
    <s v="Electronics"/>
    <s v="Dell"/>
    <n v="1"/>
    <n v="14647"/>
    <n v="0"/>
    <n v="14647"/>
    <n v="2334.54"/>
    <s v="COD"/>
    <s v="Bengaluru"/>
    <s v="Karnataka"/>
    <s v="Rahul"/>
    <s v="Shipped"/>
    <n v="1"/>
  </r>
  <r>
    <s v="O00018"/>
    <d v="2025-10-14T00:00:00"/>
    <s v="C00018"/>
    <s v="Customer 18"/>
    <s v="Headphones"/>
    <s v="Electronics"/>
    <s v="Sony"/>
    <n v="1"/>
    <n v="2292"/>
    <n v="0.15"/>
    <n v="1948.2"/>
    <n v="275.58"/>
    <s v="Card"/>
    <s v="Delhi"/>
    <s v="Delhi"/>
    <s v="Rahul"/>
    <s v="Delivered"/>
    <n v="3"/>
  </r>
  <r>
    <s v="O00019"/>
    <d v="2025-09-06T00:00:00"/>
    <s v="C00019"/>
    <s v="Customer 19"/>
    <s v="Mixer"/>
    <s v="Home"/>
    <s v="Philips"/>
    <n v="3"/>
    <n v="12349"/>
    <n v="0"/>
    <n v="37047"/>
    <n v="10218.56"/>
    <s v="Net Banking"/>
    <s v="Delhi"/>
    <s v="Delhi"/>
    <s v="Rahul"/>
    <s v="Delivered"/>
    <n v="5"/>
  </r>
  <r>
    <s v="O00020"/>
    <d v="2025-10-16T00:00:00"/>
    <s v="C00020"/>
    <s v="Customer 20"/>
    <s v="Watch"/>
    <s v="Accessories"/>
    <s v="Fossil"/>
    <n v="1"/>
    <n v="14227"/>
    <n v="0.05"/>
    <n v="13515.65"/>
    <n v="2693.31"/>
    <s v="Card"/>
    <s v="Mumbai"/>
    <s v="Maharashtra"/>
    <s v="Rahul"/>
    <s v="Cancelled"/>
    <n v="3"/>
  </r>
  <r>
    <s v="O00021"/>
    <d v="2025-09-07T00:00:00"/>
    <s v="C00021"/>
    <s v="Customer 21"/>
    <s v="Shoes"/>
    <s v="Fashion"/>
    <s v="Nike"/>
    <n v="1"/>
    <n v="5834"/>
    <n v="0.1"/>
    <n v="5250.6"/>
    <n v="1254.53"/>
    <s v="Card"/>
    <s v="Chennai"/>
    <s v="Tamil Nadu"/>
    <s v="Anil"/>
    <s v="Shipped"/>
    <n v="1"/>
  </r>
  <r>
    <s v="O00022"/>
    <d v="2025-06-16T00:00:00"/>
    <s v="C00022"/>
    <s v="Customer 22"/>
    <s v="Watch"/>
    <s v="Accessories"/>
    <s v="Fossil"/>
    <n v="5"/>
    <n v="9506"/>
    <n v="0.1"/>
    <n v="42777"/>
    <n v="4112.55"/>
    <s v="Card"/>
    <s v="Delhi"/>
    <s v="Delhi"/>
    <s v="Priya"/>
    <s v="Shipped"/>
    <n v="1"/>
  </r>
  <r>
    <s v="O00023"/>
    <d v="2025-09-21T00:00:00"/>
    <s v="C00023"/>
    <s v="Customer 23"/>
    <s v="Headphones"/>
    <s v="Electronics"/>
    <s v="Sony"/>
    <n v="5"/>
    <n v="3449"/>
    <n v="0.1"/>
    <n v="15520.5"/>
    <n v="2777.94"/>
    <s v="Wallet"/>
    <s v="Bengaluru"/>
    <s v="Karnataka"/>
    <s v="Priya"/>
    <s v="Cancelled"/>
    <n v="5"/>
  </r>
  <r>
    <s v="O00024"/>
    <d v="2025-11-08T00:00:00"/>
    <s v="C00024"/>
    <s v="Customer 24"/>
    <s v="Mixer"/>
    <s v="Home"/>
    <s v="Philips"/>
    <n v="1"/>
    <n v="5044"/>
    <n v="0.05"/>
    <n v="4791.8"/>
    <n v="930.63"/>
    <s v="COD"/>
    <s v="Bengaluru"/>
    <s v="Karnataka"/>
    <s v="Priya"/>
    <s v="Shipped"/>
    <n v="1"/>
  </r>
  <r>
    <s v="O00025"/>
    <d v="2025-10-16T00:00:00"/>
    <s v="C00025"/>
    <s v="Customer 25"/>
    <s v="Headphones"/>
    <s v="Electronics"/>
    <s v="Sony"/>
    <n v="4"/>
    <n v="7740"/>
    <n v="0.05"/>
    <n v="29412"/>
    <n v="3783.96"/>
    <s v="COD"/>
    <s v="Mumbai"/>
    <s v="Maharashtra"/>
    <s v="Asha"/>
    <s v="Delivered"/>
    <n v="1"/>
  </r>
  <r>
    <s v="O00026"/>
    <d v="2025-01-11T00:00:00"/>
    <s v="C00026"/>
    <s v="Customer 26"/>
    <s v="Mixer"/>
    <s v="Home"/>
    <s v="Philips"/>
    <n v="1"/>
    <n v="9093"/>
    <n v="0.2"/>
    <n v="7274.4"/>
    <n v="760.2"/>
    <s v="COD"/>
    <s v="Chennai"/>
    <s v="Tamil Nadu"/>
    <s v="Rahul"/>
    <s v="Shipped"/>
    <n v="1"/>
  </r>
  <r>
    <s v="O00027"/>
    <d v="2025-09-20T00:00:00"/>
    <s v="C00027"/>
    <s v="Customer 27"/>
    <s v="Mixer"/>
    <s v="Home"/>
    <s v="Philips"/>
    <n v="3"/>
    <n v="6540"/>
    <n v="0.15"/>
    <n v="16677"/>
    <n v="2304.8000000000002"/>
    <s v="UPI"/>
    <s v="Bengaluru"/>
    <s v="Karnataka"/>
    <s v="Anil"/>
    <s v="Returned"/>
    <n v="3"/>
  </r>
  <r>
    <s v="O00028"/>
    <d v="2025-10-12T00:00:00"/>
    <s v="C00028"/>
    <s v="Customer 28"/>
    <s v="Shoes"/>
    <s v="Fashion"/>
    <s v="Nike"/>
    <n v="4"/>
    <n v="6093"/>
    <n v="0"/>
    <n v="24372"/>
    <n v="3500.37"/>
    <s v="Net Banking"/>
    <s v="Chennai"/>
    <s v="Tamil Nadu"/>
    <s v="Asha"/>
    <s v="Delivered"/>
    <n v="4"/>
  </r>
  <r>
    <s v="O00029"/>
    <d v="2025-05-21T00:00:00"/>
    <s v="C00029"/>
    <s v="Customer 29"/>
    <s v="Phone"/>
    <s v="Electronics"/>
    <s v="Samsung"/>
    <n v="1"/>
    <n v="922"/>
    <n v="0.2"/>
    <n v="737.6"/>
    <n v="87.49"/>
    <s v="Wallet"/>
    <s v="Mumbai"/>
    <s v="Maharashtra"/>
    <s v="Rahul"/>
    <s v="Returned"/>
    <n v="4"/>
  </r>
  <r>
    <s v="O00030"/>
    <d v="2025-01-22T00:00:00"/>
    <s v="C00030"/>
    <s v="Customer 30"/>
    <s v="Headphones"/>
    <s v="Electronics"/>
    <s v="Sony"/>
    <n v="5"/>
    <n v="7462"/>
    <n v="0"/>
    <n v="37310"/>
    <n v="9002.34"/>
    <s v="COD"/>
    <s v="Kochi"/>
    <s v="Kerala"/>
    <s v="Priya"/>
    <s v="Delivered"/>
    <n v="5"/>
  </r>
  <r>
    <s v="O00031"/>
    <d v="2025-05-27T00:00:00"/>
    <s v="C00031"/>
    <s v="Customer 31"/>
    <s v="Chair"/>
    <s v="Furniture"/>
    <s v="Ikea"/>
    <n v="4"/>
    <n v="10485"/>
    <n v="0"/>
    <n v="41940"/>
    <n v="12052.56"/>
    <s v="COD"/>
    <s v="Chennai"/>
    <s v="Tamil Nadu"/>
    <s v="Rahul"/>
    <s v="Shipped"/>
    <n v="3"/>
  </r>
  <r>
    <s v="O00032"/>
    <d v="2025-02-14T00:00:00"/>
    <s v="C00032"/>
    <s v="Customer 32"/>
    <s v="Shoes"/>
    <s v="Fashion"/>
    <s v="Nike"/>
    <n v="4"/>
    <n v="13336"/>
    <n v="0.15"/>
    <n v="45342.400000000001"/>
    <n v="4700.17"/>
    <s v="Card"/>
    <s v="Hyderabad"/>
    <s v="Telangana"/>
    <s v="John"/>
    <s v="Cancelled"/>
    <n v="4"/>
  </r>
  <r>
    <s v="O00033"/>
    <d v="2025-05-09T00:00:00"/>
    <s v="C00033"/>
    <s v="Customer 33"/>
    <s v="Shoes"/>
    <s v="Fashion"/>
    <s v="Nike"/>
    <n v="5"/>
    <n v="5222"/>
    <n v="0"/>
    <n v="26110"/>
    <n v="6511.55"/>
    <s v="UPI"/>
    <s v="Bengaluru"/>
    <s v="Karnataka"/>
    <s v="Anil"/>
    <s v="Returned"/>
    <n v="2"/>
  </r>
  <r>
    <s v="O00034"/>
    <d v="2025-11-03T00:00:00"/>
    <s v="C00034"/>
    <s v="Customer 34"/>
    <s v="Mixer"/>
    <s v="Home"/>
    <s v="Philips"/>
    <n v="4"/>
    <n v="11845"/>
    <n v="0"/>
    <n v="47380"/>
    <n v="4413.05"/>
    <s v="Wallet"/>
    <s v="Mumbai"/>
    <s v="Maharashtra"/>
    <s v="Priya"/>
    <s v="Returned"/>
    <n v="4"/>
  </r>
  <r>
    <s v="O00035"/>
    <d v="2025-01-12T00:00:00"/>
    <s v="C00035"/>
    <s v="Customer 35"/>
    <s v="Book"/>
    <s v="Books"/>
    <s v="Penguin"/>
    <n v="2"/>
    <n v="13047"/>
    <n v="0.2"/>
    <n v="20875.2"/>
    <n v="4099.34"/>
    <s v="UPI"/>
    <s v="Delhi"/>
    <s v="Delhi"/>
    <s v="Anil"/>
    <s v="Cancelled"/>
    <n v="5"/>
  </r>
  <r>
    <s v="O00036"/>
    <d v="2025-08-07T00:00:00"/>
    <s v="C00036"/>
    <s v="Customer 36"/>
    <s v="Shoes"/>
    <s v="Fashion"/>
    <s v="Nike"/>
    <n v="1"/>
    <n v="2213"/>
    <n v="0"/>
    <n v="2213"/>
    <n v="631.72"/>
    <s v="UPI"/>
    <s v="Hyderabad"/>
    <s v="Telangana"/>
    <s v="Asha"/>
    <s v="Shipped"/>
    <n v="4"/>
  </r>
  <r>
    <s v="O00037"/>
    <d v="2025-02-28T00:00:00"/>
    <s v="C00037"/>
    <s v="Customer 37"/>
    <s v="Mixer"/>
    <s v="Home"/>
    <s v="Philips"/>
    <n v="3"/>
    <n v="10560"/>
    <n v="0"/>
    <n v="31680"/>
    <n v="8236.14"/>
    <s v="COD"/>
    <s v="Hyderabad"/>
    <s v="Telangana"/>
    <s v="Anil"/>
    <s v="Shipped"/>
    <n v="1"/>
  </r>
  <r>
    <s v="O00038"/>
    <d v="2025-10-07T00:00:00"/>
    <s v="C00038"/>
    <s v="Customer 38"/>
    <s v="Phone"/>
    <s v="Electronics"/>
    <s v="Samsung"/>
    <n v="5"/>
    <n v="7173"/>
    <n v="0"/>
    <n v="35865"/>
    <n v="3113.64"/>
    <s v="Card"/>
    <s v="Delhi"/>
    <s v="Delhi"/>
    <s v="Rahul"/>
    <s v="Shipped"/>
    <n v="3"/>
  </r>
  <r>
    <s v="O00039"/>
    <d v="2025-07-29T00:00:00"/>
    <s v="C00039"/>
    <s v="Customer 39"/>
    <s v="Mixer"/>
    <s v="Home"/>
    <s v="Philips"/>
    <n v="5"/>
    <n v="4376"/>
    <n v="0.05"/>
    <n v="20786"/>
    <n v="2444.35"/>
    <s v="Net Banking"/>
    <s v="Chennai"/>
    <s v="Tamil Nadu"/>
    <s v="Anil"/>
    <s v="Cancelled"/>
    <n v="2"/>
  </r>
  <r>
    <s v="O00040"/>
    <d v="2025-12-27T00:00:00"/>
    <s v="C00040"/>
    <s v="Customer 40"/>
    <s v="Mixer"/>
    <s v="Home"/>
    <s v="Philips"/>
    <n v="5"/>
    <n v="13575"/>
    <n v="0.1"/>
    <n v="61087.5"/>
    <n v="7373.22"/>
    <s v="UPI"/>
    <s v="Bengaluru"/>
    <s v="Karnataka"/>
    <s v="Rahul"/>
    <s v="Returned"/>
    <n v="4"/>
  </r>
  <r>
    <s v="O00041"/>
    <d v="2025-10-25T00:00:00"/>
    <s v="C00041"/>
    <s v="Customer 41"/>
    <s v="Mixer"/>
    <s v="Home"/>
    <s v="Philips"/>
    <n v="5"/>
    <n v="5041"/>
    <n v="0"/>
    <n v="25205"/>
    <n v="4608.2"/>
    <s v="Card"/>
    <s v="Delhi"/>
    <s v="Delhi"/>
    <s v="Anil"/>
    <s v="Cancelled"/>
    <n v="3"/>
  </r>
  <r>
    <s v="O00042"/>
    <d v="2025-10-13T00:00:00"/>
    <s v="C00042"/>
    <s v="Customer 42"/>
    <s v="Watch"/>
    <s v="Accessories"/>
    <s v="Fossil"/>
    <n v="4"/>
    <n v="8384"/>
    <n v="0.05"/>
    <n v="31859.200000000001"/>
    <n v="3954.28"/>
    <s v="COD"/>
    <s v="Hyderabad"/>
    <s v="Telangana"/>
    <s v="John"/>
    <s v="Returned"/>
    <n v="3"/>
  </r>
  <r>
    <s v="O00043"/>
    <d v="2025-02-24T00:00:00"/>
    <s v="C00043"/>
    <s v="Customer 43"/>
    <s v="Shoes"/>
    <s v="Fashion"/>
    <s v="Nike"/>
    <n v="4"/>
    <n v="5530"/>
    <n v="0"/>
    <n v="22120"/>
    <n v="1930.2"/>
    <s v="UPI"/>
    <s v="Chennai"/>
    <s v="Tamil Nadu"/>
    <s v="Anil"/>
    <s v="Returned"/>
    <n v="3"/>
  </r>
  <r>
    <s v="O00044"/>
    <d v="2025-03-20T00:00:00"/>
    <s v="C00044"/>
    <s v="Customer 44"/>
    <s v="Laptop"/>
    <s v="Electronics"/>
    <s v="Dell"/>
    <n v="4"/>
    <n v="6441"/>
    <n v="0.1"/>
    <n v="23187.599999999999"/>
    <n v="3689"/>
    <s v="COD"/>
    <s v="Bengaluru"/>
    <s v="Karnataka"/>
    <s v="Anil"/>
    <s v="Cancelled"/>
    <n v="1"/>
  </r>
  <r>
    <s v="O00045"/>
    <d v="2025-07-30T00:00:00"/>
    <s v="C00045"/>
    <s v="Customer 45"/>
    <s v="Book"/>
    <s v="Books"/>
    <s v="Penguin"/>
    <n v="2"/>
    <n v="1418"/>
    <n v="0.1"/>
    <n v="2552.4"/>
    <n v="601.80999999999995"/>
    <s v="Wallet"/>
    <s v="Hyderabad"/>
    <s v="Telangana"/>
    <s v="Asha"/>
    <s v="Delivered"/>
    <n v="2"/>
  </r>
  <r>
    <s v="O00046"/>
    <d v="2025-10-09T00:00:00"/>
    <s v="C00046"/>
    <s v="Customer 46"/>
    <s v="Book"/>
    <s v="Books"/>
    <s v="Penguin"/>
    <n v="3"/>
    <n v="4273"/>
    <n v="0.05"/>
    <n v="12178.05"/>
    <n v="2135.1"/>
    <s v="Wallet"/>
    <s v="Hyderabad"/>
    <s v="Telangana"/>
    <s v="John"/>
    <s v="Shipped"/>
    <n v="4"/>
  </r>
  <r>
    <s v="O00047"/>
    <d v="2025-11-16T00:00:00"/>
    <s v="C00047"/>
    <s v="Customer 47"/>
    <s v="Shoes"/>
    <s v="Fashion"/>
    <s v="Nike"/>
    <n v="5"/>
    <n v="10157"/>
    <n v="0.15"/>
    <n v="43167.25"/>
    <n v="3840.8"/>
    <s v="UPI"/>
    <s v="Kochi"/>
    <s v="Kerala"/>
    <s v="John"/>
    <s v="Cancelled"/>
    <n v="4"/>
  </r>
  <r>
    <s v="O00048"/>
    <d v="2025-04-19T00:00:00"/>
    <s v="C00048"/>
    <s v="Customer 48"/>
    <s v="Shoes"/>
    <s v="Fashion"/>
    <s v="Nike"/>
    <n v="5"/>
    <n v="1929"/>
    <n v="0"/>
    <n v="9645"/>
    <n v="2807.44"/>
    <s v="Card"/>
    <s v="Hyderabad"/>
    <s v="Telangana"/>
    <s v="Asha"/>
    <s v="Returned"/>
    <n v="1"/>
  </r>
  <r>
    <s v="O00049"/>
    <d v="2025-09-25T00:00:00"/>
    <s v="C00049"/>
    <s v="Customer 49"/>
    <s v="Book"/>
    <s v="Books"/>
    <s v="Penguin"/>
    <n v="5"/>
    <n v="12705"/>
    <n v="0.05"/>
    <n v="60348.75"/>
    <n v="16431.96"/>
    <s v="UPI"/>
    <s v="Delhi"/>
    <s v="Delhi"/>
    <s v="Asha"/>
    <s v="Returned"/>
    <n v="5"/>
  </r>
  <r>
    <s v="O00050"/>
    <d v="2025-08-22T00:00:00"/>
    <s v="C00050"/>
    <s v="Customer 50"/>
    <s v="Shoes"/>
    <s v="Fashion"/>
    <s v="Nike"/>
    <n v="1"/>
    <n v="1606"/>
    <n v="0.05"/>
    <n v="1525.7"/>
    <n v="168.29"/>
    <s v="UPI"/>
    <s v="Chennai"/>
    <s v="Tamil Nadu"/>
    <s v="Anil"/>
    <s v="Delivered"/>
    <n v="3"/>
  </r>
  <r>
    <s v="O00051"/>
    <d v="2025-08-18T00:00:00"/>
    <s v="C00051"/>
    <s v="Customer 51"/>
    <s v="Mixer"/>
    <s v="Home"/>
    <s v="Philips"/>
    <n v="3"/>
    <n v="4010"/>
    <n v="0"/>
    <n v="12030"/>
    <n v="2381.2199999999998"/>
    <s v="Card"/>
    <s v="Mumbai"/>
    <s v="Maharashtra"/>
    <s v="Rahul"/>
    <s v="Shipped"/>
    <n v="5"/>
  </r>
  <r>
    <s v="O00052"/>
    <d v="2025-05-16T00:00:00"/>
    <s v="C00052"/>
    <s v="Customer 52"/>
    <s v="Phone"/>
    <s v="Electronics"/>
    <s v="Samsung"/>
    <n v="1"/>
    <n v="11223"/>
    <n v="0.1"/>
    <n v="10100.700000000001"/>
    <n v="1781.78"/>
    <s v="Card"/>
    <s v="Delhi"/>
    <s v="Delhi"/>
    <s v="Asha"/>
    <s v="Cancelled"/>
    <n v="5"/>
  </r>
  <r>
    <s v="O00053"/>
    <d v="2025-05-04T00:00:00"/>
    <s v="C00053"/>
    <s v="Customer 53"/>
    <s v="Shoes"/>
    <s v="Fashion"/>
    <s v="Nike"/>
    <n v="3"/>
    <n v="12301"/>
    <n v="0.2"/>
    <n v="29522.400000000001"/>
    <n v="8586.01"/>
    <s v="Net Banking"/>
    <s v="Chennai"/>
    <s v="Tamil Nadu"/>
    <s v="John"/>
    <s v="Returned"/>
    <n v="1"/>
  </r>
  <r>
    <s v="O00054"/>
    <d v="2025-06-18T00:00:00"/>
    <s v="C00054"/>
    <s v="Customer 54"/>
    <s v="Chair"/>
    <s v="Furniture"/>
    <s v="Ikea"/>
    <n v="5"/>
    <n v="7917"/>
    <n v="0.1"/>
    <n v="35626.5"/>
    <n v="3853.96"/>
    <s v="Net Banking"/>
    <s v="Bengaluru"/>
    <s v="Karnataka"/>
    <s v="John"/>
    <s v="Cancelled"/>
    <n v="2"/>
  </r>
  <r>
    <s v="O00055"/>
    <d v="2025-11-20T00:00:00"/>
    <s v="C00055"/>
    <s v="Customer 55"/>
    <s v="Headphones"/>
    <s v="Electronics"/>
    <s v="Sony"/>
    <n v="5"/>
    <n v="8293"/>
    <n v="0.15"/>
    <n v="35245.25"/>
    <n v="9186.43"/>
    <s v="Wallet"/>
    <s v="Delhi"/>
    <s v="Delhi"/>
    <s v="Asha"/>
    <s v="Returned"/>
    <n v="3"/>
  </r>
  <r>
    <s v="O00056"/>
    <d v="2025-10-11T00:00:00"/>
    <s v="C00056"/>
    <s v="Customer 56"/>
    <s v="Chair"/>
    <s v="Furniture"/>
    <s v="Ikea"/>
    <n v="4"/>
    <n v="1371"/>
    <n v="0.1"/>
    <n v="4935.6000000000004"/>
    <n v="537.57000000000005"/>
    <s v="Card"/>
    <s v="Mumbai"/>
    <s v="Maharashtra"/>
    <s v="Anil"/>
    <s v="Returned"/>
    <n v="5"/>
  </r>
  <r>
    <s v="O00057"/>
    <d v="2025-05-29T00:00:00"/>
    <s v="C00057"/>
    <s v="Customer 57"/>
    <s v="Watch"/>
    <s v="Accessories"/>
    <s v="Fossil"/>
    <n v="4"/>
    <n v="11778"/>
    <n v="0.15"/>
    <n v="40045.199999999997"/>
    <n v="7779.25"/>
    <s v="Wallet"/>
    <s v="Bengaluru"/>
    <s v="Karnataka"/>
    <s v="John"/>
    <s v="Shipped"/>
    <n v="3"/>
  </r>
  <r>
    <s v="O00058"/>
    <d v="2025-02-04T00:00:00"/>
    <s v="C00058"/>
    <s v="Customer 58"/>
    <s v="Chair"/>
    <s v="Furniture"/>
    <s v="Ikea"/>
    <n v="1"/>
    <n v="3052"/>
    <n v="0.1"/>
    <n v="2746.8"/>
    <n v="592.41999999999996"/>
    <s v="Card"/>
    <s v="Delhi"/>
    <s v="Delhi"/>
    <s v="Priya"/>
    <s v="Shipped"/>
    <n v="3"/>
  </r>
  <r>
    <s v="O00059"/>
    <d v="2025-02-01T00:00:00"/>
    <s v="C00059"/>
    <s v="Customer 59"/>
    <s v="Book"/>
    <s v="Books"/>
    <s v="Penguin"/>
    <n v="1"/>
    <n v="555"/>
    <n v="0.05"/>
    <n v="527.25"/>
    <n v="92.44"/>
    <s v="Card"/>
    <s v="Kochi"/>
    <s v="Kerala"/>
    <s v="Rahul"/>
    <s v="Cancelled"/>
    <n v="2"/>
  </r>
  <r>
    <s v="O00060"/>
    <d v="2025-08-07T00:00:00"/>
    <s v="C00060"/>
    <s v="Customer 60"/>
    <s v="Book"/>
    <s v="Books"/>
    <s v="Penguin"/>
    <n v="2"/>
    <n v="14129"/>
    <n v="0.1"/>
    <n v="25432.2"/>
    <n v="7431.99"/>
    <s v="Wallet"/>
    <s v="Mumbai"/>
    <s v="Maharashtra"/>
    <s v="Asha"/>
    <s v="Delivered"/>
    <n v="3"/>
  </r>
  <r>
    <s v="O00061"/>
    <d v="2025-12-13T00:00:00"/>
    <s v="C00061"/>
    <s v="Customer 61"/>
    <s v="Shoes"/>
    <s v="Fashion"/>
    <s v="Nike"/>
    <n v="1"/>
    <n v="4150"/>
    <n v="0.2"/>
    <n v="3320"/>
    <n v="617.32000000000005"/>
    <s v="Wallet"/>
    <s v="Kochi"/>
    <s v="Kerala"/>
    <s v="Rahul"/>
    <s v="Returned"/>
    <n v="2"/>
  </r>
  <r>
    <s v="O00062"/>
    <d v="2025-12-25T00:00:00"/>
    <s v="C00062"/>
    <s v="Customer 62"/>
    <s v="Shoes"/>
    <s v="Fashion"/>
    <s v="Nike"/>
    <n v="4"/>
    <n v="8431"/>
    <n v="0.05"/>
    <n v="32037.8"/>
    <n v="7717.74"/>
    <s v="COD"/>
    <s v="Bengaluru"/>
    <s v="Karnataka"/>
    <s v="John"/>
    <s v="Returned"/>
    <n v="4"/>
  </r>
  <r>
    <s v="O00063"/>
    <d v="2025-01-10T00:00:00"/>
    <s v="C00063"/>
    <s v="Customer 63"/>
    <s v="Watch"/>
    <s v="Accessories"/>
    <s v="Fossil"/>
    <n v="4"/>
    <n v="2076"/>
    <n v="0.05"/>
    <n v="7888.8"/>
    <n v="2158.61"/>
    <s v="UPI"/>
    <s v="Bengaluru"/>
    <s v="Karnataka"/>
    <s v="Priya"/>
    <s v="Cancelled"/>
    <n v="3"/>
  </r>
  <r>
    <s v="O00064"/>
    <d v="2025-02-08T00:00:00"/>
    <s v="C00064"/>
    <s v="Customer 64"/>
    <s v="Book"/>
    <s v="Books"/>
    <s v="Penguin"/>
    <n v="5"/>
    <n v="6870"/>
    <n v="0.2"/>
    <n v="27480"/>
    <n v="7091.58"/>
    <s v="UPI"/>
    <s v="Chennai"/>
    <s v="Tamil Nadu"/>
    <s v="Anil"/>
    <s v="Delivered"/>
    <n v="5"/>
  </r>
  <r>
    <s v="O00065"/>
    <d v="2025-01-08T00:00:00"/>
    <s v="C00065"/>
    <s v="Customer 65"/>
    <s v="Laptop"/>
    <s v="Electronics"/>
    <s v="Dell"/>
    <n v="1"/>
    <n v="11061"/>
    <n v="0.1"/>
    <n v="9954.9"/>
    <n v="2358.17"/>
    <s v="UPI"/>
    <s v="Bengaluru"/>
    <s v="Karnataka"/>
    <s v="Asha"/>
    <s v="Shipped"/>
    <n v="1"/>
  </r>
  <r>
    <s v="O00066"/>
    <d v="2025-03-14T00:00:00"/>
    <s v="C00066"/>
    <s v="Customer 66"/>
    <s v="Laptop"/>
    <s v="Electronics"/>
    <s v="Dell"/>
    <n v="1"/>
    <n v="2429"/>
    <n v="0.1"/>
    <n v="2186.1"/>
    <n v="314.51"/>
    <s v="Wallet"/>
    <s v="Kochi"/>
    <s v="Kerala"/>
    <s v="Rahul"/>
    <s v="Delivered"/>
    <n v="3"/>
  </r>
  <r>
    <s v="O00067"/>
    <d v="2025-05-10T00:00:00"/>
    <s v="C00067"/>
    <s v="Customer 67"/>
    <s v="Shoes"/>
    <s v="Fashion"/>
    <s v="Nike"/>
    <n v="1"/>
    <n v="10878"/>
    <n v="0.15"/>
    <n v="9246.2999999999993"/>
    <n v="2276.25"/>
    <s v="COD"/>
    <s v="Kochi"/>
    <s v="Kerala"/>
    <s v="John"/>
    <s v="Shipped"/>
    <n v="5"/>
  </r>
  <r>
    <s v="O00068"/>
    <d v="2025-03-26T00:00:00"/>
    <s v="C00068"/>
    <s v="Customer 68"/>
    <s v="Chair"/>
    <s v="Furniture"/>
    <s v="Ikea"/>
    <n v="4"/>
    <n v="1521"/>
    <n v="0.05"/>
    <n v="5779.8"/>
    <n v="840.58"/>
    <s v="COD"/>
    <s v="Hyderabad"/>
    <s v="Telangana"/>
    <s v="Rahul"/>
    <s v="Delivered"/>
    <n v="5"/>
  </r>
  <r>
    <s v="O00069"/>
    <d v="2025-04-08T00:00:00"/>
    <s v="C00069"/>
    <s v="Customer 69"/>
    <s v="Phone"/>
    <s v="Electronics"/>
    <s v="Samsung"/>
    <n v="3"/>
    <n v="3089"/>
    <n v="0.05"/>
    <n v="8803.65"/>
    <n v="1314.66"/>
    <s v="UPI"/>
    <s v="Bengaluru"/>
    <s v="Karnataka"/>
    <s v="Anil"/>
    <s v="Returned"/>
    <n v="1"/>
  </r>
  <r>
    <s v="O00070"/>
    <d v="2025-04-07T00:00:00"/>
    <s v="C00070"/>
    <s v="Customer 70"/>
    <s v="Shoes"/>
    <s v="Fashion"/>
    <s v="Nike"/>
    <n v="5"/>
    <n v="7711"/>
    <n v="0.2"/>
    <n v="30844"/>
    <n v="7039.26"/>
    <s v="UPI"/>
    <s v="Hyderabad"/>
    <s v="Telangana"/>
    <s v="Rahul"/>
    <s v="Shipped"/>
    <n v="2"/>
  </r>
  <r>
    <s v="O00071"/>
    <d v="2025-03-27T00:00:00"/>
    <s v="C00071"/>
    <s v="Customer 71"/>
    <s v="Laptop"/>
    <s v="Electronics"/>
    <s v="Dell"/>
    <n v="3"/>
    <n v="1554"/>
    <n v="0.05"/>
    <n v="4428.8999999999996"/>
    <n v="972.64"/>
    <s v="Card"/>
    <s v="Delhi"/>
    <s v="Delhi"/>
    <s v="Anil"/>
    <s v="Cancelled"/>
    <n v="3"/>
  </r>
  <r>
    <s v="O00072"/>
    <d v="2025-02-06T00:00:00"/>
    <s v="C00072"/>
    <s v="Customer 72"/>
    <s v="Laptop"/>
    <s v="Electronics"/>
    <s v="Dell"/>
    <n v="5"/>
    <n v="6638"/>
    <n v="0.2"/>
    <n v="26552"/>
    <n v="7955.76"/>
    <s v="COD"/>
    <s v="Mumbai"/>
    <s v="Maharashtra"/>
    <s v="Asha"/>
    <s v="Cancelled"/>
    <n v="4"/>
  </r>
  <r>
    <s v="O00073"/>
    <d v="2025-08-09T00:00:00"/>
    <s v="C00073"/>
    <s v="Customer 73"/>
    <s v="Watch"/>
    <s v="Accessories"/>
    <s v="Fossil"/>
    <n v="1"/>
    <n v="13527"/>
    <n v="0.15"/>
    <n v="11497.95"/>
    <n v="2882.83"/>
    <s v="COD"/>
    <s v="Mumbai"/>
    <s v="Maharashtra"/>
    <s v="Asha"/>
    <s v="Delivered"/>
    <n v="4"/>
  </r>
  <r>
    <s v="O00074"/>
    <d v="2025-06-30T00:00:00"/>
    <s v="C00074"/>
    <s v="Customer 74"/>
    <s v="Phone"/>
    <s v="Electronics"/>
    <s v="Samsung"/>
    <n v="1"/>
    <n v="4990"/>
    <n v="0.1"/>
    <n v="4491"/>
    <n v="1156.99"/>
    <s v="Wallet"/>
    <s v="Delhi"/>
    <s v="Delhi"/>
    <s v="John"/>
    <s v="Returned"/>
    <n v="1"/>
  </r>
  <r>
    <s v="O00075"/>
    <d v="2025-03-26T00:00:00"/>
    <s v="C00075"/>
    <s v="Customer 75"/>
    <s v="Phone"/>
    <s v="Electronics"/>
    <s v="Samsung"/>
    <n v="1"/>
    <n v="2631"/>
    <n v="0.15"/>
    <n v="2236.35"/>
    <n v="180.54"/>
    <s v="UPI"/>
    <s v="Kochi"/>
    <s v="Kerala"/>
    <s v="Asha"/>
    <s v="Returned"/>
    <n v="5"/>
  </r>
  <r>
    <s v="O00076"/>
    <d v="2025-01-02T00:00:00"/>
    <s v="C00076"/>
    <s v="Customer 76"/>
    <s v="Shoes"/>
    <s v="Fashion"/>
    <s v="Nike"/>
    <n v="4"/>
    <n v="5699"/>
    <n v="0.15"/>
    <n v="19376.599999999999"/>
    <n v="4328.46"/>
    <s v="UPI"/>
    <s v="Chennai"/>
    <s v="Tamil Nadu"/>
    <s v="Anil"/>
    <s v="Shipped"/>
    <n v="2"/>
  </r>
  <r>
    <s v="O00077"/>
    <d v="2025-07-26T00:00:00"/>
    <s v="C00077"/>
    <s v="Customer 77"/>
    <s v="Book"/>
    <s v="Books"/>
    <s v="Penguin"/>
    <n v="1"/>
    <n v="6334"/>
    <n v="0.05"/>
    <n v="6017.3"/>
    <n v="651.79999999999995"/>
    <s v="Card"/>
    <s v="Mumbai"/>
    <s v="Maharashtra"/>
    <s v="Rahul"/>
    <s v="Returned"/>
    <n v="5"/>
  </r>
  <r>
    <s v="O00078"/>
    <d v="2025-07-08T00:00:00"/>
    <s v="C00078"/>
    <s v="Customer 78"/>
    <s v="Book"/>
    <s v="Books"/>
    <s v="Penguin"/>
    <n v="5"/>
    <n v="12258"/>
    <n v="0.15"/>
    <n v="52096.5"/>
    <n v="14972.14"/>
    <s v="Net Banking"/>
    <s v="Delhi"/>
    <s v="Delhi"/>
    <s v="Rahul"/>
    <s v="Returned"/>
    <n v="2"/>
  </r>
  <r>
    <s v="O00079"/>
    <d v="2025-01-01T00:00:00"/>
    <s v="C00079"/>
    <s v="Customer 79"/>
    <s v="Shoes"/>
    <s v="Fashion"/>
    <s v="Nike"/>
    <n v="2"/>
    <n v="1324"/>
    <n v="0.1"/>
    <n v="2383.1999999999998"/>
    <n v="256.42"/>
    <s v="UPI"/>
    <s v="Delhi"/>
    <s v="Delhi"/>
    <s v="Asha"/>
    <s v="Shipped"/>
    <n v="4"/>
  </r>
  <r>
    <s v="O00080"/>
    <d v="2025-12-07T00:00:00"/>
    <s v="C00080"/>
    <s v="Customer 80"/>
    <s v="Laptop"/>
    <s v="Electronics"/>
    <s v="Dell"/>
    <n v="2"/>
    <n v="7820"/>
    <n v="0"/>
    <n v="15640"/>
    <n v="1937.83"/>
    <s v="Wallet"/>
    <s v="Kochi"/>
    <s v="Kerala"/>
    <s v="Priya"/>
    <s v="Shipped"/>
    <n v="4"/>
  </r>
  <r>
    <s v="O00081"/>
    <d v="2025-12-25T00:00:00"/>
    <s v="C00081"/>
    <s v="Customer 81"/>
    <s v="Mixer"/>
    <s v="Home"/>
    <s v="Philips"/>
    <n v="4"/>
    <n v="13480"/>
    <n v="0"/>
    <n v="53920"/>
    <n v="8675.89"/>
    <s v="COD"/>
    <s v="Chennai"/>
    <s v="Tamil Nadu"/>
    <s v="Priya"/>
    <s v="Shipped"/>
    <n v="2"/>
  </r>
  <r>
    <s v="O00082"/>
    <d v="2025-05-06T00:00:00"/>
    <s v="C00082"/>
    <s v="Customer 82"/>
    <s v="Laptop"/>
    <s v="Electronics"/>
    <s v="Dell"/>
    <n v="3"/>
    <n v="5604"/>
    <n v="0.1"/>
    <n v="15130.8"/>
    <n v="3452.17"/>
    <s v="COD"/>
    <s v="Chennai"/>
    <s v="Tamil Nadu"/>
    <s v="Asha"/>
    <s v="Shipped"/>
    <n v="3"/>
  </r>
  <r>
    <s v="O00083"/>
    <d v="2025-03-22T00:00:00"/>
    <s v="C00083"/>
    <s v="Customer 83"/>
    <s v="Phone"/>
    <s v="Electronics"/>
    <s v="Samsung"/>
    <n v="2"/>
    <n v="12085"/>
    <n v="0.15"/>
    <n v="20544.5"/>
    <n v="6046.3"/>
    <s v="Net Banking"/>
    <s v="Mumbai"/>
    <s v="Maharashtra"/>
    <s v="Priya"/>
    <s v="Cancelled"/>
    <n v="4"/>
  </r>
  <r>
    <s v="O00084"/>
    <d v="2025-11-23T00:00:00"/>
    <s v="C00084"/>
    <s v="Customer 84"/>
    <s v="Mixer"/>
    <s v="Home"/>
    <s v="Philips"/>
    <n v="3"/>
    <n v="1512"/>
    <n v="0.05"/>
    <n v="4309.2"/>
    <n v="413.66"/>
    <s v="UPI"/>
    <s v="Chennai"/>
    <s v="Tamil Nadu"/>
    <s v="Asha"/>
    <s v="Shipped"/>
    <n v="3"/>
  </r>
  <r>
    <s v="O00085"/>
    <d v="2025-11-13T00:00:00"/>
    <s v="C00085"/>
    <s v="Customer 85"/>
    <s v="Shoes"/>
    <s v="Fashion"/>
    <s v="Nike"/>
    <n v="5"/>
    <n v="5534"/>
    <n v="0.15"/>
    <n v="23519.5"/>
    <n v="2901.48"/>
    <s v="COD"/>
    <s v="Bengaluru"/>
    <s v="Karnataka"/>
    <s v="Rahul"/>
    <s v="Shipped"/>
    <n v="5"/>
  </r>
  <r>
    <s v="O00086"/>
    <d v="2025-09-13T00:00:00"/>
    <s v="C00086"/>
    <s v="Customer 86"/>
    <s v="Book"/>
    <s v="Books"/>
    <s v="Penguin"/>
    <n v="3"/>
    <n v="11347"/>
    <n v="0"/>
    <n v="34041"/>
    <n v="5648.16"/>
    <s v="UPI"/>
    <s v="Hyderabad"/>
    <s v="Telangana"/>
    <s v="Priya"/>
    <s v="Returned"/>
    <n v="5"/>
  </r>
  <r>
    <s v="O00087"/>
    <d v="2025-03-19T00:00:00"/>
    <s v="C00087"/>
    <s v="Customer 87"/>
    <s v="Laptop"/>
    <s v="Electronics"/>
    <s v="Dell"/>
    <n v="2"/>
    <n v="11737"/>
    <n v="0.1"/>
    <n v="21126.6"/>
    <n v="3159.32"/>
    <s v="Card"/>
    <s v="Bengaluru"/>
    <s v="Karnataka"/>
    <s v="John"/>
    <s v="Shipped"/>
    <n v="5"/>
  </r>
  <r>
    <s v="O00088"/>
    <d v="2025-07-30T00:00:00"/>
    <s v="C00088"/>
    <s v="Customer 88"/>
    <s v="Shoes"/>
    <s v="Fashion"/>
    <s v="Nike"/>
    <n v="2"/>
    <n v="8996"/>
    <n v="0.2"/>
    <n v="14393.6"/>
    <n v="2067.09"/>
    <s v="Net Banking"/>
    <s v="Mumbai"/>
    <s v="Maharashtra"/>
    <s v="John"/>
    <s v="Shipped"/>
    <n v="3"/>
  </r>
  <r>
    <s v="O00089"/>
    <d v="2025-11-08T00:00:00"/>
    <s v="C00089"/>
    <s v="Customer 89"/>
    <s v="Laptop"/>
    <s v="Electronics"/>
    <s v="Dell"/>
    <n v="5"/>
    <n v="699"/>
    <n v="0.1"/>
    <n v="3145.5"/>
    <n v="440.77"/>
    <s v="Net Banking"/>
    <s v="Kochi"/>
    <s v="Kerala"/>
    <s v="Asha"/>
    <s v="Returned"/>
    <n v="4"/>
  </r>
  <r>
    <s v="O00090"/>
    <d v="2025-01-08T00:00:00"/>
    <s v="C00090"/>
    <s v="Customer 90"/>
    <s v="Book"/>
    <s v="Books"/>
    <s v="Penguin"/>
    <n v="3"/>
    <n v="10363"/>
    <n v="0.05"/>
    <n v="29534.55"/>
    <n v="6281.41"/>
    <s v="Wallet"/>
    <s v="Hyderabad"/>
    <s v="Telangana"/>
    <s v="Anil"/>
    <s v="Cancelled"/>
    <n v="2"/>
  </r>
  <r>
    <s v="O00091"/>
    <d v="2025-12-27T00:00:00"/>
    <s v="C00091"/>
    <s v="Customer 91"/>
    <s v="Watch"/>
    <s v="Accessories"/>
    <s v="Fossil"/>
    <n v="5"/>
    <n v="5820"/>
    <n v="0.2"/>
    <n v="23280"/>
    <n v="2011.32"/>
    <s v="Net Banking"/>
    <s v="Hyderabad"/>
    <s v="Telangana"/>
    <s v="John"/>
    <s v="Delivered"/>
    <n v="1"/>
  </r>
  <r>
    <s v="O00092"/>
    <d v="2025-01-23T00:00:00"/>
    <s v="C00092"/>
    <s v="Customer 92"/>
    <s v="Watch"/>
    <s v="Accessories"/>
    <s v="Fossil"/>
    <n v="4"/>
    <n v="3081"/>
    <n v="0"/>
    <n v="12324"/>
    <n v="2308.41"/>
    <s v="Net Banking"/>
    <s v="Bengaluru"/>
    <s v="Karnataka"/>
    <s v="Asha"/>
    <s v="Returned"/>
    <n v="1"/>
  </r>
  <r>
    <s v="O00093"/>
    <d v="2025-04-14T00:00:00"/>
    <s v="C00093"/>
    <s v="Customer 93"/>
    <s v="Phone"/>
    <s v="Electronics"/>
    <s v="Samsung"/>
    <n v="4"/>
    <n v="1188"/>
    <n v="0.1"/>
    <n v="4276.8"/>
    <n v="1106.72"/>
    <s v="UPI"/>
    <s v="Mumbai"/>
    <s v="Maharashtra"/>
    <s v="John"/>
    <s v="Shipped"/>
    <n v="1"/>
  </r>
  <r>
    <s v="O00094"/>
    <d v="2025-06-10T00:00:00"/>
    <s v="C00094"/>
    <s v="Customer 94"/>
    <s v="Mixer"/>
    <s v="Home"/>
    <s v="Philips"/>
    <n v="1"/>
    <n v="9949"/>
    <n v="0.2"/>
    <n v="7959.2"/>
    <n v="1343.69"/>
    <s v="COD"/>
    <s v="Kochi"/>
    <s v="Kerala"/>
    <s v="Anil"/>
    <s v="Delivered"/>
    <n v="5"/>
  </r>
  <r>
    <s v="O00095"/>
    <d v="2025-02-04T00:00:00"/>
    <s v="C00095"/>
    <s v="Customer 95"/>
    <s v="Shoes"/>
    <s v="Fashion"/>
    <s v="Nike"/>
    <n v="3"/>
    <n v="2874"/>
    <n v="0.15"/>
    <n v="7328.7"/>
    <n v="1577.22"/>
    <s v="Wallet"/>
    <s v="Delhi"/>
    <s v="Delhi"/>
    <s v="Asha"/>
    <s v="Delivered"/>
    <n v="1"/>
  </r>
  <r>
    <s v="O00096"/>
    <d v="2025-04-03T00:00:00"/>
    <s v="C00096"/>
    <s v="Customer 96"/>
    <s v="Chair"/>
    <s v="Furniture"/>
    <s v="Ikea"/>
    <n v="5"/>
    <n v="14098"/>
    <n v="0"/>
    <n v="70490"/>
    <n v="15796.83"/>
    <s v="COD"/>
    <s v="Chennai"/>
    <s v="Tamil Nadu"/>
    <s v="Anil"/>
    <s v="Delivered"/>
    <n v="5"/>
  </r>
  <r>
    <s v="O00097"/>
    <d v="2025-08-21T00:00:00"/>
    <s v="C00097"/>
    <s v="Customer 97"/>
    <s v="Mixer"/>
    <s v="Home"/>
    <s v="Philips"/>
    <n v="5"/>
    <n v="14866"/>
    <n v="0.15"/>
    <n v="63180.5"/>
    <n v="9640.6200000000008"/>
    <s v="Net Banking"/>
    <s v="Mumbai"/>
    <s v="Maharashtra"/>
    <s v="Priya"/>
    <s v="Delivered"/>
    <n v="3"/>
  </r>
  <r>
    <s v="O00098"/>
    <d v="2025-07-31T00:00:00"/>
    <s v="C00098"/>
    <s v="Customer 98"/>
    <s v="Laptop"/>
    <s v="Electronics"/>
    <s v="Dell"/>
    <n v="5"/>
    <n v="9530"/>
    <n v="0.1"/>
    <n v="42885"/>
    <n v="7214.88"/>
    <s v="Net Banking"/>
    <s v="Delhi"/>
    <s v="Delhi"/>
    <s v="Rahul"/>
    <s v="Shipped"/>
    <n v="3"/>
  </r>
  <r>
    <s v="O00099"/>
    <d v="2025-10-07T00:00:00"/>
    <s v="C00099"/>
    <s v="Customer 99"/>
    <s v="Phone"/>
    <s v="Electronics"/>
    <s v="Samsung"/>
    <n v="1"/>
    <n v="10215"/>
    <n v="0.15"/>
    <n v="8682.75"/>
    <n v="2089.6799999999998"/>
    <s v="UPI"/>
    <s v="Kochi"/>
    <s v="Kerala"/>
    <s v="Asha"/>
    <s v="Shipped"/>
    <n v="2"/>
  </r>
  <r>
    <s v="O00100"/>
    <d v="2025-08-09T00:00:00"/>
    <s v="C00100"/>
    <s v="Customer 100"/>
    <s v="Watch"/>
    <s v="Accessories"/>
    <s v="Fossil"/>
    <n v="5"/>
    <n v="14345"/>
    <n v="0.1"/>
    <n v="64552.5"/>
    <n v="6007.35"/>
    <s v="COD"/>
    <s v="Mumbai"/>
    <s v="Maharashtra"/>
    <s v="Priya"/>
    <s v="Delivered"/>
    <n v="5"/>
  </r>
  <r>
    <s v="O00101"/>
    <d v="2025-08-07T00:00:00"/>
    <s v="C00101"/>
    <s v="Customer 101"/>
    <s v="Chair"/>
    <s v="Furniture"/>
    <s v="Ikea"/>
    <n v="2"/>
    <n v="11139"/>
    <n v="0.05"/>
    <n v="21164.1"/>
    <n v="5096.42"/>
    <s v="COD"/>
    <s v="Delhi"/>
    <s v="Delhi"/>
    <s v="Priya"/>
    <s v="Cancelled"/>
    <n v="4"/>
  </r>
  <r>
    <s v="O00102"/>
    <d v="2025-03-09T00:00:00"/>
    <s v="C00102"/>
    <s v="Customer 102"/>
    <s v="Chair"/>
    <s v="Furniture"/>
    <s v="Ikea"/>
    <n v="2"/>
    <n v="12657"/>
    <n v="0"/>
    <n v="25314"/>
    <n v="4750.67"/>
    <s v="Wallet"/>
    <s v="Mumbai"/>
    <s v="Maharashtra"/>
    <s v="Anil"/>
    <s v="Delivered"/>
    <n v="4"/>
  </r>
  <r>
    <s v="O00103"/>
    <d v="2025-04-20T00:00:00"/>
    <s v="C00103"/>
    <s v="Customer 103"/>
    <s v="Book"/>
    <s v="Books"/>
    <s v="Penguin"/>
    <n v="4"/>
    <n v="8551"/>
    <n v="0.2"/>
    <n v="27363.200000000001"/>
    <n v="6030.08"/>
    <s v="Wallet"/>
    <s v="Kochi"/>
    <s v="Kerala"/>
    <s v="Asha"/>
    <s v="Returned"/>
    <n v="2"/>
  </r>
  <r>
    <s v="O00104"/>
    <d v="2025-11-10T00:00:00"/>
    <s v="C00104"/>
    <s v="Customer 104"/>
    <s v="Phone"/>
    <s v="Electronics"/>
    <s v="Samsung"/>
    <n v="1"/>
    <n v="1313"/>
    <n v="0.2"/>
    <n v="1050.4000000000001"/>
    <n v="312.73"/>
    <s v="Net Banking"/>
    <s v="Bengaluru"/>
    <s v="Karnataka"/>
    <s v="Asha"/>
    <s v="Cancelled"/>
    <n v="5"/>
  </r>
  <r>
    <s v="O00105"/>
    <d v="2025-01-31T00:00:00"/>
    <s v="C00105"/>
    <s v="Customer 105"/>
    <s v="Shoes"/>
    <s v="Fashion"/>
    <s v="Nike"/>
    <n v="5"/>
    <n v="367"/>
    <n v="0.15"/>
    <n v="1559.75"/>
    <n v="271.98"/>
    <s v="Card"/>
    <s v="Chennai"/>
    <s v="Tamil Nadu"/>
    <s v="Rahul"/>
    <s v="Delivered"/>
    <n v="3"/>
  </r>
  <r>
    <s v="O00106"/>
    <d v="2025-10-28T00:00:00"/>
    <s v="C00106"/>
    <s v="Customer 106"/>
    <s v="Watch"/>
    <s v="Accessories"/>
    <s v="Fossil"/>
    <n v="5"/>
    <n v="6642"/>
    <n v="0.05"/>
    <n v="31549.5"/>
    <n v="6738.91"/>
    <s v="Net Banking"/>
    <s v="Bengaluru"/>
    <s v="Karnataka"/>
    <s v="Asha"/>
    <s v="Delivered"/>
    <n v="4"/>
  </r>
  <r>
    <s v="O00107"/>
    <d v="2025-04-20T00:00:00"/>
    <s v="C00107"/>
    <s v="Customer 107"/>
    <s v="Phone"/>
    <s v="Electronics"/>
    <s v="Samsung"/>
    <n v="4"/>
    <n v="1524"/>
    <n v="0"/>
    <n v="6096"/>
    <n v="773.28"/>
    <s v="UPI"/>
    <s v="Mumbai"/>
    <s v="Maharashtra"/>
    <s v="John"/>
    <s v="Delivered"/>
    <n v="3"/>
  </r>
  <r>
    <s v="O00108"/>
    <d v="2025-12-05T00:00:00"/>
    <s v="C00108"/>
    <s v="Customer 108"/>
    <s v="Book"/>
    <s v="Books"/>
    <s v="Penguin"/>
    <n v="2"/>
    <n v="10999"/>
    <n v="0.05"/>
    <n v="20898.099999999999"/>
    <n v="6197.31"/>
    <s v="Net Banking"/>
    <s v="Hyderabad"/>
    <s v="Telangana"/>
    <s v="Anil"/>
    <s v="Returned"/>
    <n v="2"/>
  </r>
  <r>
    <s v="O00109"/>
    <d v="2025-06-04T00:00:00"/>
    <s v="C00109"/>
    <s v="Customer 109"/>
    <s v="Phone"/>
    <s v="Electronics"/>
    <s v="Samsung"/>
    <n v="4"/>
    <n v="9608"/>
    <n v="0"/>
    <n v="38432"/>
    <n v="8114.32"/>
    <s v="COD"/>
    <s v="Chennai"/>
    <s v="Tamil Nadu"/>
    <s v="Asha"/>
    <s v="Returned"/>
    <n v="2"/>
  </r>
  <r>
    <s v="O00110"/>
    <d v="2025-03-20T00:00:00"/>
    <s v="C00110"/>
    <s v="Customer 110"/>
    <s v="Watch"/>
    <s v="Accessories"/>
    <s v="Fossil"/>
    <n v="2"/>
    <n v="3129"/>
    <n v="0.2"/>
    <n v="5006.3999999999996"/>
    <n v="541.16"/>
    <s v="Net Banking"/>
    <s v="Bengaluru"/>
    <s v="Karnataka"/>
    <s v="Rahul"/>
    <s v="Returned"/>
    <n v="3"/>
  </r>
  <r>
    <s v="O00111"/>
    <d v="2025-03-24T00:00:00"/>
    <s v="C00111"/>
    <s v="Customer 111"/>
    <s v="Laptop"/>
    <s v="Electronics"/>
    <s v="Dell"/>
    <n v="5"/>
    <n v="5313"/>
    <n v="0.2"/>
    <n v="21252"/>
    <n v="2143.0300000000002"/>
    <s v="Card"/>
    <s v="Bengaluru"/>
    <s v="Karnataka"/>
    <s v="Priya"/>
    <s v="Cancelled"/>
    <n v="5"/>
  </r>
  <r>
    <s v="O00112"/>
    <d v="2025-05-11T00:00:00"/>
    <s v="C00112"/>
    <s v="Customer 112"/>
    <s v="Book"/>
    <s v="Books"/>
    <s v="Penguin"/>
    <n v="5"/>
    <n v="11556"/>
    <n v="0.2"/>
    <n v="46224"/>
    <n v="6179.37"/>
    <s v="UPI"/>
    <s v="Kochi"/>
    <s v="Kerala"/>
    <s v="John"/>
    <s v="Delivered"/>
    <n v="1"/>
  </r>
  <r>
    <s v="O00113"/>
    <d v="2025-05-01T00:00:00"/>
    <s v="C00113"/>
    <s v="Customer 113"/>
    <s v="Shoes"/>
    <s v="Fashion"/>
    <s v="Nike"/>
    <n v="4"/>
    <n v="1076"/>
    <n v="0"/>
    <n v="4304"/>
    <n v="687.86"/>
    <s v="Card"/>
    <s v="Kochi"/>
    <s v="Kerala"/>
    <s v="John"/>
    <s v="Shipped"/>
    <n v="3"/>
  </r>
  <r>
    <s v="O00114"/>
    <d v="2025-06-14T00:00:00"/>
    <s v="C00114"/>
    <s v="Customer 114"/>
    <s v="Laptop"/>
    <s v="Electronics"/>
    <s v="Dell"/>
    <n v="2"/>
    <n v="14926"/>
    <n v="0.1"/>
    <n v="26866.799999999999"/>
    <n v="3432.82"/>
    <s v="Card"/>
    <s v="Hyderabad"/>
    <s v="Telangana"/>
    <s v="Asha"/>
    <s v="Shipped"/>
    <n v="5"/>
  </r>
  <r>
    <s v="O00115"/>
    <d v="2025-08-17T00:00:00"/>
    <s v="C00115"/>
    <s v="Customer 115"/>
    <s v="Phone"/>
    <s v="Electronics"/>
    <s v="Samsung"/>
    <n v="2"/>
    <n v="8938"/>
    <n v="0.15"/>
    <n v="15194.6"/>
    <n v="1446.01"/>
    <s v="COD"/>
    <s v="Mumbai"/>
    <s v="Maharashtra"/>
    <s v="Asha"/>
    <s v="Delivered"/>
    <n v="2"/>
  </r>
  <r>
    <s v="O00116"/>
    <d v="2025-02-13T00:00:00"/>
    <s v="C00116"/>
    <s v="Customer 116"/>
    <s v="Mixer"/>
    <s v="Home"/>
    <s v="Philips"/>
    <n v="2"/>
    <n v="7453"/>
    <n v="0.05"/>
    <n v="14160.7"/>
    <n v="3816.98"/>
    <s v="COD"/>
    <s v="Kochi"/>
    <s v="Kerala"/>
    <s v="Asha"/>
    <s v="Delivered"/>
    <n v="5"/>
  </r>
  <r>
    <s v="O00117"/>
    <d v="2025-03-22T00:00:00"/>
    <s v="C00117"/>
    <s v="Customer 117"/>
    <s v="Laptop"/>
    <s v="Electronics"/>
    <s v="Dell"/>
    <n v="2"/>
    <n v="6911"/>
    <n v="0.2"/>
    <n v="11057.6"/>
    <n v="3266.76"/>
    <s v="Card"/>
    <s v="Bengaluru"/>
    <s v="Karnataka"/>
    <s v="Priya"/>
    <s v="Shipped"/>
    <n v="5"/>
  </r>
  <r>
    <s v="O00118"/>
    <d v="2025-06-12T00:00:00"/>
    <s v="C00118"/>
    <s v="Customer 118"/>
    <s v="Laptop"/>
    <s v="Electronics"/>
    <s v="Dell"/>
    <n v="5"/>
    <n v="6737"/>
    <n v="0.05"/>
    <n v="32000.75"/>
    <n v="5334.55"/>
    <s v="Wallet"/>
    <s v="Bengaluru"/>
    <s v="Karnataka"/>
    <s v="Rahul"/>
    <s v="Cancelled"/>
    <n v="4"/>
  </r>
  <r>
    <s v="O00119"/>
    <d v="2025-05-27T00:00:00"/>
    <s v="C00119"/>
    <s v="Customer 119"/>
    <s v="Chair"/>
    <s v="Furniture"/>
    <s v="Ikea"/>
    <n v="1"/>
    <n v="13619"/>
    <n v="0.05"/>
    <n v="12938.05"/>
    <n v="1700.52"/>
    <s v="UPI"/>
    <s v="Chennai"/>
    <s v="Tamil Nadu"/>
    <s v="John"/>
    <s v="Returned"/>
    <n v="4"/>
  </r>
  <r>
    <s v="O00120"/>
    <d v="2025-11-07T00:00:00"/>
    <s v="C00120"/>
    <s v="Customer 120"/>
    <s v="Watch"/>
    <s v="Accessories"/>
    <s v="Fossil"/>
    <n v="3"/>
    <n v="3825"/>
    <n v="0.15"/>
    <n v="9753.75"/>
    <n v="1474.95"/>
    <s v="Net Banking"/>
    <s v="Bengaluru"/>
    <s v="Karnataka"/>
    <s v="Anil"/>
    <s v="Delivered"/>
    <n v="3"/>
  </r>
  <r>
    <s v="O00121"/>
    <d v="2025-08-09T00:00:00"/>
    <s v="C00121"/>
    <s v="Customer 121"/>
    <s v="Mixer"/>
    <s v="Home"/>
    <s v="Philips"/>
    <n v="5"/>
    <n v="11869"/>
    <n v="0"/>
    <n v="59345"/>
    <n v="9894.07"/>
    <s v="Net Banking"/>
    <s v="Kochi"/>
    <s v="Kerala"/>
    <s v="John"/>
    <s v="Returned"/>
    <n v="3"/>
  </r>
  <r>
    <s v="O00122"/>
    <d v="2025-09-24T00:00:00"/>
    <s v="C00122"/>
    <s v="Customer 122"/>
    <s v="Watch"/>
    <s v="Accessories"/>
    <s v="Fossil"/>
    <n v="3"/>
    <n v="10192"/>
    <n v="0.05"/>
    <n v="29047.200000000001"/>
    <n v="4841.45"/>
    <s v="COD"/>
    <s v="Bengaluru"/>
    <s v="Karnataka"/>
    <s v="Anil"/>
    <s v="Delivered"/>
    <n v="4"/>
  </r>
  <r>
    <s v="O00123"/>
    <d v="2025-12-12T00:00:00"/>
    <s v="C00123"/>
    <s v="Customer 123"/>
    <s v="Shoes"/>
    <s v="Fashion"/>
    <s v="Nike"/>
    <n v="3"/>
    <n v="804"/>
    <n v="0.1"/>
    <n v="2170.8000000000002"/>
    <n v="211.53"/>
    <s v="COD"/>
    <s v="Hyderabad"/>
    <s v="Telangana"/>
    <s v="Rahul"/>
    <s v="Cancelled"/>
    <n v="5"/>
  </r>
  <r>
    <s v="O00124"/>
    <d v="2025-09-14T00:00:00"/>
    <s v="C00124"/>
    <s v="Customer 124"/>
    <s v="Headphones"/>
    <s v="Electronics"/>
    <s v="Sony"/>
    <n v="2"/>
    <n v="14195"/>
    <n v="0"/>
    <n v="28390"/>
    <n v="6424.72"/>
    <s v="Card"/>
    <s v="Hyderabad"/>
    <s v="Telangana"/>
    <s v="Priya"/>
    <s v="Shipped"/>
    <n v="2"/>
  </r>
  <r>
    <s v="O00125"/>
    <d v="2025-04-07T00:00:00"/>
    <s v="C00125"/>
    <s v="Customer 125"/>
    <s v="Phone"/>
    <s v="Electronics"/>
    <s v="Samsung"/>
    <n v="5"/>
    <n v="2005"/>
    <n v="0.1"/>
    <n v="9022.5"/>
    <n v="1688.51"/>
    <s v="Card"/>
    <s v="Mumbai"/>
    <s v="Maharashtra"/>
    <s v="Anil"/>
    <s v="Returned"/>
    <n v="4"/>
  </r>
  <r>
    <s v="O00126"/>
    <d v="2025-01-16T00:00:00"/>
    <s v="C00126"/>
    <s v="Customer 126"/>
    <s v="Laptop"/>
    <s v="Electronics"/>
    <s v="Dell"/>
    <n v="3"/>
    <n v="8602"/>
    <n v="0"/>
    <n v="25806"/>
    <n v="6240.56"/>
    <s v="Net Banking"/>
    <s v="Delhi"/>
    <s v="Delhi"/>
    <s v="Priya"/>
    <s v="Cancelled"/>
    <n v="4"/>
  </r>
  <r>
    <s v="O00127"/>
    <d v="2025-08-28T00:00:00"/>
    <s v="C00127"/>
    <s v="Customer 127"/>
    <s v="Mixer"/>
    <s v="Home"/>
    <s v="Philips"/>
    <n v="1"/>
    <n v="907"/>
    <n v="0"/>
    <n v="907"/>
    <n v="132.57"/>
    <s v="Wallet"/>
    <s v="Mumbai"/>
    <s v="Maharashtra"/>
    <s v="Anil"/>
    <s v="Delivered"/>
    <n v="4"/>
  </r>
  <r>
    <s v="O00128"/>
    <d v="2025-09-22T00:00:00"/>
    <s v="C00128"/>
    <s v="Customer 128"/>
    <s v="Laptop"/>
    <s v="Electronics"/>
    <s v="Dell"/>
    <n v="3"/>
    <n v="11433"/>
    <n v="0.05"/>
    <n v="32584.05"/>
    <n v="3252.37"/>
    <s v="Card"/>
    <s v="Bengaluru"/>
    <s v="Karnataka"/>
    <s v="Asha"/>
    <s v="Returned"/>
    <n v="5"/>
  </r>
  <r>
    <s v="O00129"/>
    <d v="2025-02-11T00:00:00"/>
    <s v="C00129"/>
    <s v="Customer 129"/>
    <s v="Phone"/>
    <s v="Electronics"/>
    <s v="Samsung"/>
    <n v="1"/>
    <n v="11581"/>
    <n v="0.2"/>
    <n v="9264.7999999999993"/>
    <n v="2282.9299999999998"/>
    <s v="Net Banking"/>
    <s v="Mumbai"/>
    <s v="Maharashtra"/>
    <s v="John"/>
    <s v="Delivered"/>
    <n v="5"/>
  </r>
  <r>
    <s v="O00130"/>
    <d v="2025-05-18T00:00:00"/>
    <s v="C00130"/>
    <s v="Customer 130"/>
    <s v="Chair"/>
    <s v="Furniture"/>
    <s v="Ikea"/>
    <n v="5"/>
    <n v="14787"/>
    <n v="0"/>
    <n v="73935"/>
    <n v="14887.26"/>
    <s v="Wallet"/>
    <s v="Bengaluru"/>
    <s v="Karnataka"/>
    <s v="Asha"/>
    <s v="Delivered"/>
    <n v="3"/>
  </r>
  <r>
    <s v="O00131"/>
    <d v="2025-08-14T00:00:00"/>
    <s v="C00131"/>
    <s v="Customer 131"/>
    <s v="Chair"/>
    <s v="Furniture"/>
    <s v="Ikea"/>
    <n v="5"/>
    <n v="6336"/>
    <n v="0.05"/>
    <n v="30096"/>
    <n v="5059.76"/>
    <s v="Card"/>
    <s v="Hyderabad"/>
    <s v="Telangana"/>
    <s v="Rahul"/>
    <s v="Cancelled"/>
    <n v="4"/>
  </r>
  <r>
    <s v="O00132"/>
    <d v="2025-09-14T00:00:00"/>
    <s v="C00132"/>
    <s v="Customer 132"/>
    <s v="Shoes"/>
    <s v="Fashion"/>
    <s v="Nike"/>
    <n v="5"/>
    <n v="1913"/>
    <n v="0.05"/>
    <n v="9086.75"/>
    <n v="1071.52"/>
    <s v="Card"/>
    <s v="Delhi"/>
    <s v="Delhi"/>
    <s v="Priya"/>
    <s v="Shipped"/>
    <n v="2"/>
  </r>
  <r>
    <s v="O00133"/>
    <d v="2025-02-17T00:00:00"/>
    <s v="C00133"/>
    <s v="Customer 133"/>
    <s v="Phone"/>
    <s v="Electronics"/>
    <s v="Samsung"/>
    <n v="5"/>
    <n v="9224"/>
    <n v="0.1"/>
    <n v="41508"/>
    <n v="3811.92"/>
    <s v="Wallet"/>
    <s v="Hyderabad"/>
    <s v="Telangana"/>
    <s v="Rahul"/>
    <s v="Delivered"/>
    <n v="5"/>
  </r>
  <r>
    <s v="O00134"/>
    <d v="2025-05-02T00:00:00"/>
    <s v="C00134"/>
    <s v="Customer 134"/>
    <s v="Phone"/>
    <s v="Electronics"/>
    <s v="Samsung"/>
    <n v="1"/>
    <n v="9940"/>
    <n v="0.1"/>
    <n v="8946"/>
    <n v="1773.76"/>
    <s v="UPI"/>
    <s v="Chennai"/>
    <s v="Tamil Nadu"/>
    <s v="John"/>
    <s v="Returned"/>
    <n v="3"/>
  </r>
  <r>
    <s v="O00135"/>
    <d v="2025-01-15T00:00:00"/>
    <s v="C00135"/>
    <s v="Customer 135"/>
    <s v="Book"/>
    <s v="Books"/>
    <s v="Penguin"/>
    <n v="2"/>
    <n v="13297"/>
    <n v="0"/>
    <n v="26594"/>
    <n v="6243.12"/>
    <s v="Wallet"/>
    <s v="Hyderabad"/>
    <s v="Telangana"/>
    <s v="Asha"/>
    <s v="Returned"/>
    <n v="4"/>
  </r>
  <r>
    <s v="O00136"/>
    <d v="2025-07-14T00:00:00"/>
    <s v="C00136"/>
    <s v="Customer 136"/>
    <s v="Shoes"/>
    <s v="Fashion"/>
    <s v="Nike"/>
    <n v="1"/>
    <n v="9816"/>
    <n v="0.2"/>
    <n v="7852.8"/>
    <n v="2050.1999999999998"/>
    <s v="UPI"/>
    <s v="Delhi"/>
    <s v="Delhi"/>
    <s v="Asha"/>
    <s v="Returned"/>
    <n v="4"/>
  </r>
  <r>
    <s v="O00137"/>
    <d v="2025-02-03T00:00:00"/>
    <s v="C00137"/>
    <s v="Customer 137"/>
    <s v="Phone"/>
    <s v="Electronics"/>
    <s v="Samsung"/>
    <n v="3"/>
    <n v="4803"/>
    <n v="0"/>
    <n v="14409"/>
    <n v="3905.21"/>
    <s v="Card"/>
    <s v="Kochi"/>
    <s v="Kerala"/>
    <s v="Priya"/>
    <s v="Shipped"/>
    <n v="2"/>
  </r>
  <r>
    <s v="O00138"/>
    <d v="2025-12-21T00:00:00"/>
    <s v="C00138"/>
    <s v="Customer 138"/>
    <s v="Book"/>
    <s v="Books"/>
    <s v="Penguin"/>
    <n v="4"/>
    <n v="3960"/>
    <n v="0.2"/>
    <n v="12672"/>
    <n v="2081.36"/>
    <s v="Net Banking"/>
    <s v="Delhi"/>
    <s v="Delhi"/>
    <s v="Rahul"/>
    <s v="Delivered"/>
    <n v="4"/>
  </r>
  <r>
    <s v="O00139"/>
    <d v="2025-04-30T00:00:00"/>
    <s v="C00139"/>
    <s v="Customer 139"/>
    <s v="Watch"/>
    <s v="Accessories"/>
    <s v="Fossil"/>
    <n v="5"/>
    <n v="10608"/>
    <n v="0"/>
    <n v="53040"/>
    <n v="9567.98"/>
    <s v="UPI"/>
    <s v="Kochi"/>
    <s v="Kerala"/>
    <s v="John"/>
    <s v="Returned"/>
    <n v="1"/>
  </r>
  <r>
    <s v="O00140"/>
    <d v="2025-01-12T00:00:00"/>
    <s v="C00140"/>
    <s v="Customer 140"/>
    <s v="Phone"/>
    <s v="Electronics"/>
    <s v="Samsung"/>
    <n v="1"/>
    <n v="4302"/>
    <n v="0.1"/>
    <n v="3871.8"/>
    <n v="385.82"/>
    <s v="UPI"/>
    <s v="Kochi"/>
    <s v="Kerala"/>
    <s v="Anil"/>
    <s v="Shipped"/>
    <n v="5"/>
  </r>
  <r>
    <s v="O00141"/>
    <d v="2025-11-28T00:00:00"/>
    <s v="C00141"/>
    <s v="Customer 141"/>
    <s v="Phone"/>
    <s v="Electronics"/>
    <s v="Samsung"/>
    <n v="1"/>
    <n v="3748"/>
    <n v="0.05"/>
    <n v="3560.6"/>
    <n v="565.63"/>
    <s v="Wallet"/>
    <s v="Bengaluru"/>
    <s v="Karnataka"/>
    <s v="Rahul"/>
    <s v="Delivered"/>
    <n v="5"/>
  </r>
  <r>
    <s v="O00142"/>
    <d v="2025-11-25T00:00:00"/>
    <s v="C00142"/>
    <s v="Customer 142"/>
    <s v="Mixer"/>
    <s v="Home"/>
    <s v="Philips"/>
    <n v="2"/>
    <n v="3134"/>
    <n v="0.2"/>
    <n v="5014.3999999999996"/>
    <n v="869.78"/>
    <s v="Net Banking"/>
    <s v="Kochi"/>
    <s v="Kerala"/>
    <s v="Anil"/>
    <s v="Delivered"/>
    <n v="5"/>
  </r>
  <r>
    <s v="O00143"/>
    <d v="2025-02-04T00:00:00"/>
    <s v="C00143"/>
    <s v="Customer 143"/>
    <s v="Book"/>
    <s v="Books"/>
    <s v="Penguin"/>
    <n v="4"/>
    <n v="6937"/>
    <n v="0.2"/>
    <n v="22198.400000000001"/>
    <n v="6346.39"/>
    <s v="Card"/>
    <s v="Bengaluru"/>
    <s v="Karnataka"/>
    <s v="Anil"/>
    <s v="Shipped"/>
    <n v="5"/>
  </r>
  <r>
    <s v="O00144"/>
    <d v="2025-08-08T00:00:00"/>
    <s v="C00144"/>
    <s v="Customer 144"/>
    <s v="Laptop"/>
    <s v="Electronics"/>
    <s v="Dell"/>
    <n v="5"/>
    <n v="7893"/>
    <n v="0.1"/>
    <n v="35518.5"/>
    <n v="8514.5300000000007"/>
    <s v="Wallet"/>
    <s v="Mumbai"/>
    <s v="Maharashtra"/>
    <s v="Asha"/>
    <s v="Delivered"/>
    <n v="2"/>
  </r>
  <r>
    <s v="O00145"/>
    <d v="2025-12-09T00:00:00"/>
    <s v="C00145"/>
    <s v="Customer 145"/>
    <s v="Phone"/>
    <s v="Electronics"/>
    <s v="Samsung"/>
    <n v="2"/>
    <n v="12627"/>
    <n v="0.05"/>
    <n v="23991.3"/>
    <n v="3098.62"/>
    <s v="Net Banking"/>
    <s v="Mumbai"/>
    <s v="Maharashtra"/>
    <s v="Priya"/>
    <s v="Cancelled"/>
    <n v="4"/>
  </r>
  <r>
    <s v="O00146"/>
    <d v="2025-02-05T00:00:00"/>
    <s v="C00146"/>
    <s v="Customer 146"/>
    <s v="Book"/>
    <s v="Books"/>
    <s v="Penguin"/>
    <n v="2"/>
    <n v="1992"/>
    <n v="0"/>
    <n v="3984"/>
    <n v="446.45"/>
    <s v="UPI"/>
    <s v="Chennai"/>
    <s v="Tamil Nadu"/>
    <s v="John"/>
    <s v="Returned"/>
    <n v="1"/>
  </r>
  <r>
    <s v="O00147"/>
    <d v="2025-01-17T00:00:00"/>
    <s v="C00147"/>
    <s v="Customer 147"/>
    <s v="Chair"/>
    <s v="Furniture"/>
    <s v="Ikea"/>
    <n v="4"/>
    <n v="3397"/>
    <n v="0.05"/>
    <n v="12908.6"/>
    <n v="2333.66"/>
    <s v="UPI"/>
    <s v="Hyderabad"/>
    <s v="Telangana"/>
    <s v="John"/>
    <s v="Delivered"/>
    <n v="2"/>
  </r>
  <r>
    <s v="O00148"/>
    <d v="2025-01-31T00:00:00"/>
    <s v="C00148"/>
    <s v="Customer 148"/>
    <s v="Shoes"/>
    <s v="Fashion"/>
    <s v="Nike"/>
    <n v="3"/>
    <n v="5876"/>
    <n v="0"/>
    <n v="17628"/>
    <n v="5080.32"/>
    <s v="COD"/>
    <s v="Mumbai"/>
    <s v="Maharashtra"/>
    <s v="Asha"/>
    <s v="Returned"/>
    <n v="1"/>
  </r>
  <r>
    <s v="O00149"/>
    <d v="2025-07-13T00:00:00"/>
    <s v="C00149"/>
    <s v="Customer 149"/>
    <s v="Headphones"/>
    <s v="Electronics"/>
    <s v="Sony"/>
    <n v="1"/>
    <n v="8331"/>
    <n v="0.15"/>
    <n v="7081.35"/>
    <n v="1256.83"/>
    <s v="Net Banking"/>
    <s v="Bengaluru"/>
    <s v="Karnataka"/>
    <s v="Anil"/>
    <s v="Cancelled"/>
    <n v="1"/>
  </r>
  <r>
    <s v="O00150"/>
    <d v="2025-06-12T00:00:00"/>
    <s v="C00150"/>
    <s v="Customer 150"/>
    <s v="Laptop"/>
    <s v="Electronics"/>
    <s v="Dell"/>
    <n v="3"/>
    <n v="9998"/>
    <n v="0.15"/>
    <n v="25494.9"/>
    <n v="2240.9699999999998"/>
    <s v="Card"/>
    <s v="Mumbai"/>
    <s v="Maharashtra"/>
    <s v="Anil"/>
    <s v="Shipped"/>
    <n v="5"/>
  </r>
  <r>
    <s v="O00151"/>
    <d v="2025-05-24T00:00:00"/>
    <s v="C00151"/>
    <s v="Customer 151"/>
    <s v="Shoes"/>
    <s v="Fashion"/>
    <s v="Nike"/>
    <n v="5"/>
    <n v="1043"/>
    <n v="0"/>
    <n v="5215"/>
    <n v="1175.82"/>
    <s v="Net Banking"/>
    <s v="Mumbai"/>
    <s v="Maharashtra"/>
    <s v="Rahul"/>
    <s v="Delivered"/>
    <n v="4"/>
  </r>
  <r>
    <s v="O00152"/>
    <d v="2025-12-25T00:00:00"/>
    <s v="C00152"/>
    <s v="Customer 152"/>
    <s v="Phone"/>
    <s v="Electronics"/>
    <s v="Samsung"/>
    <n v="2"/>
    <n v="5791"/>
    <n v="0.15"/>
    <n v="9844.7000000000007"/>
    <n v="1977.13"/>
    <s v="UPI"/>
    <s v="Bengaluru"/>
    <s v="Karnataka"/>
    <s v="John"/>
    <s v="Cancelled"/>
    <n v="3"/>
  </r>
  <r>
    <s v="O00153"/>
    <d v="2025-09-10T00:00:00"/>
    <s v="C00153"/>
    <s v="Customer 153"/>
    <s v="Phone"/>
    <s v="Electronics"/>
    <s v="Samsung"/>
    <n v="2"/>
    <n v="3087"/>
    <n v="0.15"/>
    <n v="5247.9"/>
    <n v="1484.63"/>
    <s v="COD"/>
    <s v="Mumbai"/>
    <s v="Maharashtra"/>
    <s v="Asha"/>
    <s v="Delivered"/>
    <n v="3"/>
  </r>
  <r>
    <s v="O00154"/>
    <d v="2025-12-29T00:00:00"/>
    <s v="C00154"/>
    <s v="Customer 154"/>
    <s v="Shoes"/>
    <s v="Fashion"/>
    <s v="Nike"/>
    <n v="2"/>
    <n v="1675"/>
    <n v="0.05"/>
    <n v="3182.5"/>
    <n v="748.2"/>
    <s v="COD"/>
    <s v="Chennai"/>
    <s v="Tamil Nadu"/>
    <s v="Rahul"/>
    <s v="Cancelled"/>
    <n v="5"/>
  </r>
  <r>
    <s v="O00155"/>
    <d v="2025-02-17T00:00:00"/>
    <s v="C00155"/>
    <s v="Customer 155"/>
    <s v="Mixer"/>
    <s v="Home"/>
    <s v="Philips"/>
    <n v="3"/>
    <n v="12322"/>
    <n v="0.1"/>
    <n v="33269.4"/>
    <n v="3482.36"/>
    <s v="Wallet"/>
    <s v="Chennai"/>
    <s v="Tamil Nadu"/>
    <s v="John"/>
    <s v="Returned"/>
    <n v="1"/>
  </r>
  <r>
    <s v="O00156"/>
    <d v="2025-09-25T00:00:00"/>
    <s v="C00156"/>
    <s v="Customer 156"/>
    <s v="Phone"/>
    <s v="Electronics"/>
    <s v="Samsung"/>
    <n v="4"/>
    <n v="5405"/>
    <n v="0"/>
    <n v="21620"/>
    <n v="6240.65"/>
    <s v="COD"/>
    <s v="Hyderabad"/>
    <s v="Telangana"/>
    <s v="Asha"/>
    <s v="Cancelled"/>
    <n v="3"/>
  </r>
  <r>
    <s v="O00157"/>
    <d v="2025-07-13T00:00:00"/>
    <s v="C00157"/>
    <s v="Customer 157"/>
    <s v="Book"/>
    <s v="Books"/>
    <s v="Penguin"/>
    <n v="5"/>
    <n v="13723"/>
    <n v="0"/>
    <n v="68615"/>
    <n v="13417.1"/>
    <s v="UPI"/>
    <s v="Bengaluru"/>
    <s v="Karnataka"/>
    <s v="Asha"/>
    <s v="Delivered"/>
    <n v="2"/>
  </r>
  <r>
    <s v="O00158"/>
    <d v="2025-04-27T00:00:00"/>
    <s v="C00158"/>
    <s v="Customer 158"/>
    <s v="Chair"/>
    <s v="Furniture"/>
    <s v="Ikea"/>
    <n v="4"/>
    <n v="5195"/>
    <n v="0.05"/>
    <n v="19741"/>
    <n v="5104.34"/>
    <s v="Wallet"/>
    <s v="Delhi"/>
    <s v="Delhi"/>
    <s v="Priya"/>
    <s v="Cancelled"/>
    <n v="4"/>
  </r>
  <r>
    <s v="O00159"/>
    <d v="2025-12-27T00:00:00"/>
    <s v="C00159"/>
    <s v="Customer 159"/>
    <s v="Mixer"/>
    <s v="Home"/>
    <s v="Philips"/>
    <n v="4"/>
    <n v="7264"/>
    <n v="0.05"/>
    <n v="27603.200000000001"/>
    <n v="6542.89"/>
    <s v="COD"/>
    <s v="Hyderabad"/>
    <s v="Telangana"/>
    <s v="Rahul"/>
    <s v="Delivered"/>
    <n v="3"/>
  </r>
  <r>
    <s v="O00160"/>
    <d v="2025-10-12T00:00:00"/>
    <s v="C00160"/>
    <s v="Customer 160"/>
    <s v="Headphones"/>
    <s v="Electronics"/>
    <s v="Sony"/>
    <n v="5"/>
    <n v="9573"/>
    <n v="0.05"/>
    <n v="45471.75"/>
    <n v="9404.9699999999993"/>
    <s v="Wallet"/>
    <s v="Kochi"/>
    <s v="Kerala"/>
    <s v="Rahul"/>
    <s v="Delivered"/>
    <n v="3"/>
  </r>
  <r>
    <s v="O00161"/>
    <d v="2025-06-27T00:00:00"/>
    <s v="C00161"/>
    <s v="Customer 161"/>
    <s v="Headphones"/>
    <s v="Electronics"/>
    <s v="Sony"/>
    <n v="3"/>
    <n v="5397"/>
    <n v="0.15"/>
    <n v="13762.35"/>
    <n v="3428.18"/>
    <s v="COD"/>
    <s v="Mumbai"/>
    <s v="Maharashtra"/>
    <s v="John"/>
    <s v="Delivered"/>
    <n v="4"/>
  </r>
  <r>
    <s v="O00162"/>
    <d v="2025-03-22T00:00:00"/>
    <s v="C00162"/>
    <s v="Customer 162"/>
    <s v="Mixer"/>
    <s v="Home"/>
    <s v="Philips"/>
    <n v="5"/>
    <n v="10437"/>
    <n v="0"/>
    <n v="52185"/>
    <n v="5431.17"/>
    <s v="Net Banking"/>
    <s v="Chennai"/>
    <s v="Tamil Nadu"/>
    <s v="Rahul"/>
    <s v="Shipped"/>
    <n v="2"/>
  </r>
  <r>
    <s v="O00163"/>
    <d v="2025-06-21T00:00:00"/>
    <s v="C00163"/>
    <s v="Customer 163"/>
    <s v="Mixer"/>
    <s v="Home"/>
    <s v="Philips"/>
    <n v="4"/>
    <n v="1583"/>
    <n v="0.15"/>
    <n v="5382.2"/>
    <n v="1568.14"/>
    <s v="Net Banking"/>
    <s v="Chennai"/>
    <s v="Tamil Nadu"/>
    <s v="Anil"/>
    <s v="Delivered"/>
    <n v="3"/>
  </r>
  <r>
    <s v="O00164"/>
    <d v="2025-01-13T00:00:00"/>
    <s v="C00164"/>
    <s v="Customer 164"/>
    <s v="Phone"/>
    <s v="Electronics"/>
    <s v="Samsung"/>
    <n v="2"/>
    <n v="9357"/>
    <n v="0.05"/>
    <n v="17778.3"/>
    <n v="2097.6799999999998"/>
    <s v="Card"/>
    <s v="Mumbai"/>
    <s v="Maharashtra"/>
    <s v="Priya"/>
    <s v="Returned"/>
    <n v="4"/>
  </r>
  <r>
    <s v="O00165"/>
    <d v="2025-12-10T00:00:00"/>
    <s v="C00165"/>
    <s v="Customer 165"/>
    <s v="Book"/>
    <s v="Books"/>
    <s v="Penguin"/>
    <n v="4"/>
    <n v="6472"/>
    <n v="0.2"/>
    <n v="20710.400000000001"/>
    <n v="2341.2199999999998"/>
    <s v="UPI"/>
    <s v="Kochi"/>
    <s v="Kerala"/>
    <s v="Rahul"/>
    <s v="Shipped"/>
    <n v="3"/>
  </r>
  <r>
    <s v="O00166"/>
    <d v="2025-04-08T00:00:00"/>
    <s v="C00166"/>
    <s v="Customer 166"/>
    <s v="Phone"/>
    <s v="Electronics"/>
    <s v="Samsung"/>
    <n v="5"/>
    <n v="2672"/>
    <n v="0.05"/>
    <n v="12692"/>
    <n v="2332.42"/>
    <s v="UPI"/>
    <s v="Mumbai"/>
    <s v="Maharashtra"/>
    <s v="Anil"/>
    <s v="Shipped"/>
    <n v="4"/>
  </r>
  <r>
    <s v="O00167"/>
    <d v="2025-11-06T00:00:00"/>
    <s v="C00167"/>
    <s v="Customer 167"/>
    <s v="Chair"/>
    <s v="Furniture"/>
    <s v="Ikea"/>
    <n v="2"/>
    <n v="11230"/>
    <n v="0.1"/>
    <n v="20214"/>
    <n v="4250.37"/>
    <s v="Wallet"/>
    <s v="Mumbai"/>
    <s v="Maharashtra"/>
    <s v="John"/>
    <s v="Delivered"/>
    <n v="5"/>
  </r>
  <r>
    <s v="O00168"/>
    <d v="2025-01-10T00:00:00"/>
    <s v="C00168"/>
    <s v="Customer 168"/>
    <s v="Phone"/>
    <s v="Electronics"/>
    <s v="Samsung"/>
    <n v="2"/>
    <n v="2424"/>
    <n v="0.1"/>
    <n v="4363.2"/>
    <n v="454.08"/>
    <s v="Wallet"/>
    <s v="Kochi"/>
    <s v="Kerala"/>
    <s v="Priya"/>
    <s v="Cancelled"/>
    <n v="3"/>
  </r>
  <r>
    <s v="O00169"/>
    <d v="2025-11-22T00:00:00"/>
    <s v="C00169"/>
    <s v="Customer 169"/>
    <s v="Phone"/>
    <s v="Electronics"/>
    <s v="Samsung"/>
    <n v="2"/>
    <n v="6733"/>
    <n v="0"/>
    <n v="13466"/>
    <n v="2140.5100000000002"/>
    <s v="COD"/>
    <s v="Hyderabad"/>
    <s v="Telangana"/>
    <s v="Priya"/>
    <s v="Cancelled"/>
    <n v="3"/>
  </r>
  <r>
    <s v="O00170"/>
    <d v="2025-01-16T00:00:00"/>
    <s v="C00170"/>
    <s v="Customer 170"/>
    <s v="Shoes"/>
    <s v="Fashion"/>
    <s v="Nike"/>
    <n v="2"/>
    <n v="8218"/>
    <n v="0.1"/>
    <n v="14792.4"/>
    <n v="2474.67"/>
    <s v="Wallet"/>
    <s v="Delhi"/>
    <s v="Delhi"/>
    <s v="Priya"/>
    <s v="Delivered"/>
    <n v="1"/>
  </r>
  <r>
    <s v="O00171"/>
    <d v="2025-11-21T00:00:00"/>
    <s v="C00171"/>
    <s v="Customer 171"/>
    <s v="Chair"/>
    <s v="Furniture"/>
    <s v="Ikea"/>
    <n v="3"/>
    <n v="12530"/>
    <n v="0.15"/>
    <n v="31951.5"/>
    <n v="2765.71"/>
    <s v="COD"/>
    <s v="Bengaluru"/>
    <s v="Karnataka"/>
    <s v="Rahul"/>
    <s v="Cancelled"/>
    <n v="1"/>
  </r>
  <r>
    <s v="O00172"/>
    <d v="2025-05-30T00:00:00"/>
    <s v="C00172"/>
    <s v="Customer 172"/>
    <s v="Phone"/>
    <s v="Electronics"/>
    <s v="Samsung"/>
    <n v="2"/>
    <n v="12379"/>
    <n v="0.1"/>
    <n v="22282.2"/>
    <n v="5936.21"/>
    <s v="Card"/>
    <s v="Kochi"/>
    <s v="Kerala"/>
    <s v="Asha"/>
    <s v="Returned"/>
    <n v="4"/>
  </r>
  <r>
    <s v="O00173"/>
    <d v="2025-08-03T00:00:00"/>
    <s v="C00173"/>
    <s v="Customer 173"/>
    <s v="Laptop"/>
    <s v="Electronics"/>
    <s v="Dell"/>
    <n v="2"/>
    <n v="7489"/>
    <n v="0.2"/>
    <n v="11982.4"/>
    <n v="2265.25"/>
    <s v="COD"/>
    <s v="Mumbai"/>
    <s v="Maharashtra"/>
    <s v="Anil"/>
    <s v="Cancelled"/>
    <n v="4"/>
  </r>
  <r>
    <s v="O00174"/>
    <d v="2025-04-29T00:00:00"/>
    <s v="C00174"/>
    <s v="Customer 174"/>
    <s v="Shoes"/>
    <s v="Fashion"/>
    <s v="Nike"/>
    <n v="1"/>
    <n v="4325"/>
    <n v="0.05"/>
    <n v="4108.75"/>
    <n v="481.36"/>
    <s v="Net Banking"/>
    <s v="Hyderabad"/>
    <s v="Telangana"/>
    <s v="Rahul"/>
    <s v="Delivered"/>
    <n v="5"/>
  </r>
  <r>
    <s v="O00175"/>
    <d v="2025-11-16T00:00:00"/>
    <s v="C00175"/>
    <s v="Customer 175"/>
    <s v="Shoes"/>
    <s v="Fashion"/>
    <s v="Nike"/>
    <n v="2"/>
    <n v="2130"/>
    <n v="0.1"/>
    <n v="3834"/>
    <n v="1037.77"/>
    <s v="Wallet"/>
    <s v="Bengaluru"/>
    <s v="Karnataka"/>
    <s v="Rahul"/>
    <s v="Shipped"/>
    <n v="4"/>
  </r>
  <r>
    <s v="O00176"/>
    <d v="2025-11-04T00:00:00"/>
    <s v="C00176"/>
    <s v="Customer 176"/>
    <s v="Phone"/>
    <s v="Electronics"/>
    <s v="Samsung"/>
    <n v="2"/>
    <n v="5627"/>
    <n v="0.15"/>
    <n v="9565.9"/>
    <n v="1634.13"/>
    <s v="Net Banking"/>
    <s v="Delhi"/>
    <s v="Delhi"/>
    <s v="Anil"/>
    <s v="Cancelled"/>
    <n v="1"/>
  </r>
  <r>
    <s v="O00177"/>
    <d v="2025-05-13T00:00:00"/>
    <s v="C00177"/>
    <s v="Customer 177"/>
    <s v="Watch"/>
    <s v="Accessories"/>
    <s v="Fossil"/>
    <n v="4"/>
    <n v="6299"/>
    <n v="0.15"/>
    <n v="21416.6"/>
    <n v="6246.78"/>
    <s v="Wallet"/>
    <s v="Mumbai"/>
    <s v="Maharashtra"/>
    <s v="Anil"/>
    <s v="Cancelled"/>
    <n v="2"/>
  </r>
  <r>
    <s v="O00178"/>
    <d v="2025-07-21T00:00:00"/>
    <s v="C00178"/>
    <s v="Customer 178"/>
    <s v="Book"/>
    <s v="Books"/>
    <s v="Penguin"/>
    <n v="2"/>
    <n v="12991"/>
    <n v="0"/>
    <n v="25982"/>
    <n v="4388.01"/>
    <s v="Card"/>
    <s v="Bengaluru"/>
    <s v="Karnataka"/>
    <s v="Priya"/>
    <s v="Returned"/>
    <n v="5"/>
  </r>
  <r>
    <s v="O00179"/>
    <d v="2025-07-09T00:00:00"/>
    <s v="C00179"/>
    <s v="Customer 179"/>
    <s v="Chair"/>
    <s v="Furniture"/>
    <s v="Ikea"/>
    <n v="3"/>
    <n v="259"/>
    <n v="0.1"/>
    <n v="699.3"/>
    <n v="153.78"/>
    <s v="Wallet"/>
    <s v="Bengaluru"/>
    <s v="Karnataka"/>
    <s v="Asha"/>
    <s v="Shipped"/>
    <n v="1"/>
  </r>
  <r>
    <s v="O00180"/>
    <d v="2025-08-10T00:00:00"/>
    <s v="C00180"/>
    <s v="Customer 180"/>
    <s v="Book"/>
    <s v="Books"/>
    <s v="Penguin"/>
    <n v="4"/>
    <n v="3517"/>
    <n v="0.1"/>
    <n v="12661.2"/>
    <n v="2160.5500000000002"/>
    <s v="COD"/>
    <s v="Chennai"/>
    <s v="Tamil Nadu"/>
    <s v="Rahul"/>
    <s v="Shipped"/>
    <n v="3"/>
  </r>
  <r>
    <s v="O00181"/>
    <d v="2025-04-06T00:00:00"/>
    <s v="C00181"/>
    <s v="Customer 181"/>
    <s v="Chair"/>
    <s v="Furniture"/>
    <s v="Ikea"/>
    <n v="1"/>
    <n v="643"/>
    <n v="0.2"/>
    <n v="514.4"/>
    <n v="110.12"/>
    <s v="Card"/>
    <s v="Kochi"/>
    <s v="Kerala"/>
    <s v="John"/>
    <s v="Shipped"/>
    <n v="1"/>
  </r>
  <r>
    <s v="O00182"/>
    <d v="2025-11-29T00:00:00"/>
    <s v="C00182"/>
    <s v="Customer 182"/>
    <s v="Phone"/>
    <s v="Electronics"/>
    <s v="Samsung"/>
    <n v="4"/>
    <n v="7533"/>
    <n v="0.1"/>
    <n v="27118.799999999999"/>
    <n v="5437.04"/>
    <s v="COD"/>
    <s v="Mumbai"/>
    <s v="Maharashtra"/>
    <s v="John"/>
    <s v="Delivered"/>
    <n v="2"/>
  </r>
  <r>
    <s v="O00183"/>
    <d v="2025-09-22T00:00:00"/>
    <s v="C00183"/>
    <s v="Customer 183"/>
    <s v="Watch"/>
    <s v="Accessories"/>
    <s v="Fossil"/>
    <n v="5"/>
    <n v="13270"/>
    <n v="0"/>
    <n v="66350"/>
    <n v="7050.64"/>
    <s v="Net Banking"/>
    <s v="Chennai"/>
    <s v="Tamil Nadu"/>
    <s v="Priya"/>
    <s v="Delivered"/>
    <n v="3"/>
  </r>
  <r>
    <s v="O00184"/>
    <d v="2025-09-17T00:00:00"/>
    <s v="C00184"/>
    <s v="Customer 184"/>
    <s v="Watch"/>
    <s v="Accessories"/>
    <s v="Fossil"/>
    <n v="5"/>
    <n v="11747"/>
    <n v="0.15"/>
    <n v="49924.75"/>
    <n v="14541.83"/>
    <s v="Net Banking"/>
    <s v="Delhi"/>
    <s v="Delhi"/>
    <s v="Priya"/>
    <s v="Delivered"/>
    <n v="2"/>
  </r>
  <r>
    <s v="O00185"/>
    <d v="2025-05-11T00:00:00"/>
    <s v="C00185"/>
    <s v="Customer 185"/>
    <s v="Headphones"/>
    <s v="Electronics"/>
    <s v="Sony"/>
    <n v="3"/>
    <n v="3678"/>
    <n v="0.15"/>
    <n v="9378.9"/>
    <n v="1332.31"/>
    <s v="Net Banking"/>
    <s v="Chennai"/>
    <s v="Tamil Nadu"/>
    <s v="Asha"/>
    <s v="Cancelled"/>
    <n v="3"/>
  </r>
  <r>
    <s v="O00186"/>
    <d v="2025-12-31T00:00:00"/>
    <s v="C00186"/>
    <s v="Customer 186"/>
    <s v="Shoes"/>
    <s v="Fashion"/>
    <s v="Nike"/>
    <n v="3"/>
    <n v="5074"/>
    <n v="0.1"/>
    <n v="13699.8"/>
    <n v="2723.76"/>
    <s v="COD"/>
    <s v="Bengaluru"/>
    <s v="Karnataka"/>
    <s v="Anil"/>
    <s v="Shipped"/>
    <n v="1"/>
  </r>
  <r>
    <s v="O00187"/>
    <d v="2025-11-13T00:00:00"/>
    <s v="C00187"/>
    <s v="Customer 187"/>
    <s v="Laptop"/>
    <s v="Electronics"/>
    <s v="Dell"/>
    <n v="1"/>
    <n v="12209"/>
    <n v="0.05"/>
    <n v="11598.55"/>
    <n v="1014.26"/>
    <s v="Net Banking"/>
    <s v="Mumbai"/>
    <s v="Maharashtra"/>
    <s v="Anil"/>
    <s v="Returned"/>
    <n v="4"/>
  </r>
  <r>
    <s v="O00188"/>
    <d v="2025-07-13T00:00:00"/>
    <s v="C00188"/>
    <s v="Customer 188"/>
    <s v="Shoes"/>
    <s v="Fashion"/>
    <s v="Nike"/>
    <n v="5"/>
    <n v="3120"/>
    <n v="0.05"/>
    <n v="14820"/>
    <n v="3736.19"/>
    <s v="Card"/>
    <s v="Delhi"/>
    <s v="Delhi"/>
    <s v="Asha"/>
    <s v="Returned"/>
    <n v="1"/>
  </r>
  <r>
    <s v="O00189"/>
    <d v="2025-01-28T00:00:00"/>
    <s v="C00189"/>
    <s v="Customer 189"/>
    <s v="Watch"/>
    <s v="Accessories"/>
    <s v="Fossil"/>
    <n v="5"/>
    <n v="9971"/>
    <n v="0.1"/>
    <n v="44869.5"/>
    <n v="6526.18"/>
    <s v="Wallet"/>
    <s v="Bengaluru"/>
    <s v="Karnataka"/>
    <s v="John"/>
    <s v="Cancelled"/>
    <n v="2"/>
  </r>
  <r>
    <s v="O00190"/>
    <d v="2025-07-06T00:00:00"/>
    <s v="C00190"/>
    <s v="Customer 190"/>
    <s v="Phone"/>
    <s v="Electronics"/>
    <s v="Samsung"/>
    <n v="4"/>
    <n v="3633"/>
    <n v="0.1"/>
    <n v="13078.8"/>
    <n v="1390.37"/>
    <s v="Card"/>
    <s v="Kochi"/>
    <s v="Kerala"/>
    <s v="Priya"/>
    <s v="Shipped"/>
    <n v="4"/>
  </r>
  <r>
    <s v="O00191"/>
    <d v="2025-06-29T00:00:00"/>
    <s v="C00191"/>
    <s v="Customer 191"/>
    <s v="Watch"/>
    <s v="Accessories"/>
    <s v="Fossil"/>
    <n v="1"/>
    <n v="10535"/>
    <n v="0.2"/>
    <n v="8428"/>
    <n v="1135.54"/>
    <s v="Wallet"/>
    <s v="Hyderabad"/>
    <s v="Telangana"/>
    <s v="Priya"/>
    <s v="Returned"/>
    <n v="5"/>
  </r>
  <r>
    <s v="O00192"/>
    <d v="2025-06-09T00:00:00"/>
    <s v="C00192"/>
    <s v="Customer 192"/>
    <s v="Laptop"/>
    <s v="Electronics"/>
    <s v="Dell"/>
    <n v="4"/>
    <n v="8365"/>
    <n v="0.15"/>
    <n v="28441"/>
    <n v="4624.5600000000004"/>
    <s v="Card"/>
    <s v="Mumbai"/>
    <s v="Maharashtra"/>
    <s v="Priya"/>
    <s v="Shipped"/>
    <n v="5"/>
  </r>
  <r>
    <s v="O00193"/>
    <d v="2025-01-27T00:00:00"/>
    <s v="C00193"/>
    <s v="Customer 193"/>
    <s v="Laptop"/>
    <s v="Electronics"/>
    <s v="Dell"/>
    <n v="3"/>
    <n v="2160"/>
    <n v="0.2"/>
    <n v="5184"/>
    <n v="1281.3"/>
    <s v="Wallet"/>
    <s v="Chennai"/>
    <s v="Tamil Nadu"/>
    <s v="Anil"/>
    <s v="Returned"/>
    <n v="3"/>
  </r>
  <r>
    <s v="O00194"/>
    <d v="2025-11-17T00:00:00"/>
    <s v="C00194"/>
    <s v="Customer 194"/>
    <s v="Shoes"/>
    <s v="Fashion"/>
    <s v="Nike"/>
    <n v="4"/>
    <n v="606"/>
    <n v="0.05"/>
    <n v="2302.8000000000002"/>
    <n v="443.79"/>
    <s v="UPI"/>
    <s v="Bengaluru"/>
    <s v="Karnataka"/>
    <s v="Rahul"/>
    <s v="Shipped"/>
    <n v="1"/>
  </r>
  <r>
    <s v="O00195"/>
    <d v="2025-12-06T00:00:00"/>
    <s v="C00195"/>
    <s v="Customer 195"/>
    <s v="Mixer"/>
    <s v="Home"/>
    <s v="Philips"/>
    <n v="5"/>
    <n v="5527"/>
    <n v="0.15"/>
    <n v="23489.75"/>
    <n v="4495.6099999999997"/>
    <s v="Wallet"/>
    <s v="Mumbai"/>
    <s v="Maharashtra"/>
    <s v="Anil"/>
    <s v="Cancelled"/>
    <n v="3"/>
  </r>
  <r>
    <s v="O00196"/>
    <d v="2025-04-29T00:00:00"/>
    <s v="C00196"/>
    <s v="Customer 196"/>
    <s v="Headphones"/>
    <s v="Electronics"/>
    <s v="Sony"/>
    <n v="3"/>
    <n v="12984"/>
    <n v="0.2"/>
    <n v="31161.599999999999"/>
    <n v="2733.75"/>
    <s v="Wallet"/>
    <s v="Chennai"/>
    <s v="Tamil Nadu"/>
    <s v="Priya"/>
    <s v="Returned"/>
    <n v="1"/>
  </r>
  <r>
    <s v="O00197"/>
    <d v="2025-12-29T00:00:00"/>
    <s v="C00197"/>
    <s v="Customer 197"/>
    <s v="Shoes"/>
    <s v="Fashion"/>
    <s v="Nike"/>
    <n v="4"/>
    <n v="1922"/>
    <n v="0.15"/>
    <n v="6534.8"/>
    <n v="1636.24"/>
    <s v="COD"/>
    <s v="Chennai"/>
    <s v="Tamil Nadu"/>
    <s v="Anil"/>
    <s v="Returned"/>
    <n v="2"/>
  </r>
  <r>
    <s v="O00198"/>
    <d v="2025-07-18T00:00:00"/>
    <s v="C00198"/>
    <s v="Customer 198"/>
    <s v="Phone"/>
    <s v="Electronics"/>
    <s v="Samsung"/>
    <n v="5"/>
    <n v="13939"/>
    <n v="0"/>
    <n v="69695"/>
    <n v="8672.67"/>
    <s v="COD"/>
    <s v="Kochi"/>
    <s v="Kerala"/>
    <s v="Asha"/>
    <s v="Shipped"/>
    <n v="1"/>
  </r>
  <r>
    <s v="O00199"/>
    <d v="2025-08-16T00:00:00"/>
    <s v="C00199"/>
    <s v="Customer 199"/>
    <s v="Chair"/>
    <s v="Furniture"/>
    <s v="Ikea"/>
    <n v="2"/>
    <n v="10562"/>
    <n v="0.2"/>
    <n v="16899.2"/>
    <n v="2597.39"/>
    <s v="Card"/>
    <s v="Delhi"/>
    <s v="Delhi"/>
    <s v="Rahul"/>
    <s v="Returned"/>
    <n v="4"/>
  </r>
  <r>
    <s v="O00200"/>
    <d v="2025-07-15T00:00:00"/>
    <s v="C00200"/>
    <s v="Customer 200"/>
    <s v="Shoes"/>
    <s v="Fashion"/>
    <s v="Nike"/>
    <n v="4"/>
    <n v="5189"/>
    <n v="0.2"/>
    <n v="16604.8"/>
    <n v="3213.64"/>
    <s v="Wallet"/>
    <s v="Hyderabad"/>
    <s v="Telangana"/>
    <s v="Priya"/>
    <s v="Cancelled"/>
    <n v="1"/>
  </r>
  <r>
    <s v="O00201"/>
    <d v="2025-03-23T00:00:00"/>
    <s v="C00201"/>
    <s v="Customer 201"/>
    <s v="Phone"/>
    <s v="Electronics"/>
    <s v="Samsung"/>
    <n v="4"/>
    <n v="11640"/>
    <n v="0.1"/>
    <n v="41904"/>
    <n v="5295.93"/>
    <s v="Card"/>
    <s v="Kochi"/>
    <s v="Kerala"/>
    <s v="Rahul"/>
    <s v="Returned"/>
    <n v="1"/>
  </r>
  <r>
    <s v="O00202"/>
    <d v="2025-03-04T00:00:00"/>
    <s v="C00202"/>
    <s v="Customer 202"/>
    <s v="Headphones"/>
    <s v="Electronics"/>
    <s v="Sony"/>
    <n v="1"/>
    <n v="4350"/>
    <n v="0.15"/>
    <n v="3697.5"/>
    <n v="897.21"/>
    <s v="Wallet"/>
    <s v="Chennai"/>
    <s v="Tamil Nadu"/>
    <s v="Priya"/>
    <s v="Delivered"/>
    <n v="4"/>
  </r>
  <r>
    <s v="O00203"/>
    <d v="2025-04-15T00:00:00"/>
    <s v="C00203"/>
    <s v="Customer 203"/>
    <s v="Phone"/>
    <s v="Electronics"/>
    <s v="Samsung"/>
    <n v="4"/>
    <n v="10174"/>
    <n v="0.1"/>
    <n v="36626.400000000001"/>
    <n v="3454.35"/>
    <s v="UPI"/>
    <s v="Delhi"/>
    <s v="Delhi"/>
    <s v="Asha"/>
    <s v="Returned"/>
    <n v="5"/>
  </r>
  <r>
    <s v="O00204"/>
    <d v="2025-04-30T00:00:00"/>
    <s v="C00204"/>
    <s v="Customer 204"/>
    <s v="Phone"/>
    <s v="Electronics"/>
    <s v="Samsung"/>
    <n v="5"/>
    <n v="6746"/>
    <n v="0"/>
    <n v="33730"/>
    <n v="7073.23"/>
    <s v="UPI"/>
    <s v="Mumbai"/>
    <s v="Maharashtra"/>
    <s v="Priya"/>
    <s v="Returned"/>
    <n v="2"/>
  </r>
  <r>
    <s v="O00205"/>
    <d v="2025-03-27T00:00:00"/>
    <s v="C00205"/>
    <s v="Customer 205"/>
    <s v="Shoes"/>
    <s v="Fashion"/>
    <s v="Nike"/>
    <n v="4"/>
    <n v="7646"/>
    <n v="0.05"/>
    <n v="29054.799999999999"/>
    <n v="6762.95"/>
    <s v="Net Banking"/>
    <s v="Hyderabad"/>
    <s v="Telangana"/>
    <s v="Anil"/>
    <s v="Cancelled"/>
    <n v="4"/>
  </r>
  <r>
    <s v="O00206"/>
    <d v="2025-11-26T00:00:00"/>
    <s v="C00206"/>
    <s v="Customer 206"/>
    <s v="Headphones"/>
    <s v="Electronics"/>
    <s v="Sony"/>
    <n v="5"/>
    <n v="12130"/>
    <n v="0.2"/>
    <n v="48520"/>
    <n v="5209.79"/>
    <s v="UPI"/>
    <s v="Hyderabad"/>
    <s v="Telangana"/>
    <s v="John"/>
    <s v="Cancelled"/>
    <n v="3"/>
  </r>
  <r>
    <s v="O00207"/>
    <d v="2025-09-28T00:00:00"/>
    <s v="C00207"/>
    <s v="Customer 207"/>
    <s v="Shoes"/>
    <s v="Fashion"/>
    <s v="Nike"/>
    <n v="4"/>
    <n v="10760"/>
    <n v="0.1"/>
    <n v="38736"/>
    <n v="5141.83"/>
    <s v="Wallet"/>
    <s v="Bengaluru"/>
    <s v="Karnataka"/>
    <s v="Anil"/>
    <s v="Returned"/>
    <n v="1"/>
  </r>
  <r>
    <s v="O00208"/>
    <d v="2025-08-09T00:00:00"/>
    <s v="C00208"/>
    <s v="Customer 208"/>
    <s v="Headphones"/>
    <s v="Electronics"/>
    <s v="Sony"/>
    <n v="3"/>
    <n v="6666"/>
    <n v="0.15"/>
    <n v="16998.3"/>
    <n v="3700.33"/>
    <s v="Net Banking"/>
    <s v="Mumbai"/>
    <s v="Maharashtra"/>
    <s v="Asha"/>
    <s v="Cancelled"/>
    <n v="4"/>
  </r>
  <r>
    <s v="O00209"/>
    <d v="2025-10-16T00:00:00"/>
    <s v="C00209"/>
    <s v="Customer 209"/>
    <s v="Phone"/>
    <s v="Electronics"/>
    <s v="Samsung"/>
    <n v="3"/>
    <n v="9040"/>
    <n v="0"/>
    <n v="27120"/>
    <n v="7055.73"/>
    <s v="Card"/>
    <s v="Chennai"/>
    <s v="Tamil Nadu"/>
    <s v="Rahul"/>
    <s v="Delivered"/>
    <n v="2"/>
  </r>
  <r>
    <s v="O00210"/>
    <d v="2025-08-19T00:00:00"/>
    <s v="C00210"/>
    <s v="Customer 210"/>
    <s v="Watch"/>
    <s v="Accessories"/>
    <s v="Fossil"/>
    <n v="2"/>
    <n v="11919"/>
    <n v="0"/>
    <n v="23838"/>
    <n v="4956.34"/>
    <s v="Wallet"/>
    <s v="Bengaluru"/>
    <s v="Karnataka"/>
    <s v="Asha"/>
    <s v="Shipped"/>
    <n v="5"/>
  </r>
  <r>
    <s v="O00211"/>
    <d v="2025-09-15T00:00:00"/>
    <s v="C00211"/>
    <s v="Customer 211"/>
    <s v="Watch"/>
    <s v="Accessories"/>
    <s v="Fossil"/>
    <n v="4"/>
    <n v="11897"/>
    <n v="0"/>
    <n v="47588"/>
    <n v="6895.07"/>
    <s v="Card"/>
    <s v="Bengaluru"/>
    <s v="Karnataka"/>
    <s v="Asha"/>
    <s v="Delivered"/>
    <n v="4"/>
  </r>
  <r>
    <s v="O00212"/>
    <d v="2025-04-06T00:00:00"/>
    <s v="C00212"/>
    <s v="Customer 212"/>
    <s v="Phone"/>
    <s v="Electronics"/>
    <s v="Samsung"/>
    <n v="2"/>
    <n v="14943"/>
    <n v="0.2"/>
    <n v="23908.799999999999"/>
    <n v="5173.87"/>
    <s v="Net Banking"/>
    <s v="Mumbai"/>
    <s v="Maharashtra"/>
    <s v="Anil"/>
    <s v="Returned"/>
    <n v="2"/>
  </r>
  <r>
    <s v="O00213"/>
    <d v="2025-12-04T00:00:00"/>
    <s v="C00213"/>
    <s v="Customer 213"/>
    <s v="Mixer"/>
    <s v="Home"/>
    <s v="Philips"/>
    <n v="4"/>
    <n v="14258"/>
    <n v="0.05"/>
    <n v="54180.4"/>
    <n v="15197.36"/>
    <s v="Card"/>
    <s v="Mumbai"/>
    <s v="Maharashtra"/>
    <s v="Anil"/>
    <s v="Delivered"/>
    <n v="3"/>
  </r>
  <r>
    <s v="O00214"/>
    <d v="2025-01-13T00:00:00"/>
    <s v="C00214"/>
    <s v="Customer 214"/>
    <s v="Mixer"/>
    <s v="Home"/>
    <s v="Philips"/>
    <n v="3"/>
    <n v="10372"/>
    <n v="0.05"/>
    <n v="29560.2"/>
    <n v="5914.12"/>
    <s v="COD"/>
    <s v="Mumbai"/>
    <s v="Maharashtra"/>
    <s v="John"/>
    <s v="Cancelled"/>
    <n v="2"/>
  </r>
  <r>
    <s v="O00215"/>
    <d v="2025-07-28T00:00:00"/>
    <s v="C00215"/>
    <s v="Customer 215"/>
    <s v="Laptop"/>
    <s v="Electronics"/>
    <s v="Dell"/>
    <n v="5"/>
    <n v="10317"/>
    <n v="0.1"/>
    <n v="46426.5"/>
    <n v="5520.09"/>
    <s v="UPI"/>
    <s v="Kochi"/>
    <s v="Kerala"/>
    <s v="Asha"/>
    <s v="Returned"/>
    <n v="5"/>
  </r>
  <r>
    <s v="O00216"/>
    <d v="2025-10-05T00:00:00"/>
    <s v="C00216"/>
    <s v="Customer 216"/>
    <s v="Chair"/>
    <s v="Furniture"/>
    <s v="Ikea"/>
    <n v="2"/>
    <n v="14581"/>
    <n v="0.1"/>
    <n v="26245.8"/>
    <n v="7067.37"/>
    <s v="UPI"/>
    <s v="Chennai"/>
    <s v="Tamil Nadu"/>
    <s v="Priya"/>
    <s v="Delivered"/>
    <n v="4"/>
  </r>
  <r>
    <s v="O00217"/>
    <d v="2025-04-21T00:00:00"/>
    <s v="C00217"/>
    <s v="Customer 217"/>
    <s v="Chair"/>
    <s v="Furniture"/>
    <s v="Ikea"/>
    <n v="1"/>
    <n v="14815"/>
    <n v="0.05"/>
    <n v="14074.25"/>
    <n v="1494.97"/>
    <s v="UPI"/>
    <s v="Bengaluru"/>
    <s v="Karnataka"/>
    <s v="Rahul"/>
    <s v="Delivered"/>
    <n v="1"/>
  </r>
  <r>
    <s v="O00218"/>
    <d v="2025-06-19T00:00:00"/>
    <s v="C00218"/>
    <s v="Customer 218"/>
    <s v="Phone"/>
    <s v="Electronics"/>
    <s v="Samsung"/>
    <n v="4"/>
    <n v="12923"/>
    <n v="0.2"/>
    <n v="41353.599999999999"/>
    <n v="11946.05"/>
    <s v="Net Banking"/>
    <s v="Kochi"/>
    <s v="Kerala"/>
    <s v="John"/>
    <s v="Cancelled"/>
    <n v="4"/>
  </r>
  <r>
    <s v="O00219"/>
    <d v="2025-01-04T00:00:00"/>
    <s v="C00219"/>
    <s v="Customer 219"/>
    <s v="Phone"/>
    <s v="Electronics"/>
    <s v="Samsung"/>
    <n v="3"/>
    <n v="14517"/>
    <n v="0.05"/>
    <n v="41373.449999999997"/>
    <n v="5703.93"/>
    <s v="Card"/>
    <s v="Chennai"/>
    <s v="Tamil Nadu"/>
    <s v="Asha"/>
    <s v="Shipped"/>
    <n v="4"/>
  </r>
  <r>
    <s v="O00220"/>
    <d v="2025-07-25T00:00:00"/>
    <s v="C00220"/>
    <s v="Customer 220"/>
    <s v="Shoes"/>
    <s v="Fashion"/>
    <s v="Nike"/>
    <n v="2"/>
    <n v="1057"/>
    <n v="0.2"/>
    <n v="1691.2"/>
    <n v="411.6"/>
    <s v="COD"/>
    <s v="Bengaluru"/>
    <s v="Karnataka"/>
    <s v="Priya"/>
    <s v="Cancelled"/>
    <n v="3"/>
  </r>
  <r>
    <s v="O00221"/>
    <d v="2025-08-30T00:00:00"/>
    <s v="C00221"/>
    <s v="Customer 221"/>
    <s v="Laptop"/>
    <s v="Electronics"/>
    <s v="Dell"/>
    <n v="3"/>
    <n v="2034"/>
    <n v="0.15"/>
    <n v="5186.7"/>
    <n v="1008.02"/>
    <s v="UPI"/>
    <s v="Bengaluru"/>
    <s v="Karnataka"/>
    <s v="Asha"/>
    <s v="Cancelled"/>
    <n v="2"/>
  </r>
  <r>
    <s v="O00222"/>
    <d v="2025-01-09T00:00:00"/>
    <s v="C00222"/>
    <s v="Customer 222"/>
    <s v="Watch"/>
    <s v="Accessories"/>
    <s v="Fossil"/>
    <n v="5"/>
    <n v="1313"/>
    <n v="0.2"/>
    <n v="5252"/>
    <n v="566.15"/>
    <s v="COD"/>
    <s v="Kochi"/>
    <s v="Kerala"/>
    <s v="Asha"/>
    <s v="Returned"/>
    <n v="3"/>
  </r>
  <r>
    <s v="O00223"/>
    <d v="2025-11-15T00:00:00"/>
    <s v="C00223"/>
    <s v="Customer 223"/>
    <s v="Book"/>
    <s v="Books"/>
    <s v="Penguin"/>
    <n v="1"/>
    <n v="4185"/>
    <n v="0.05"/>
    <n v="3975.75"/>
    <n v="834.46"/>
    <s v="Net Banking"/>
    <s v="Mumbai"/>
    <s v="Maharashtra"/>
    <s v="John"/>
    <s v="Delivered"/>
    <n v="2"/>
  </r>
  <r>
    <s v="O00224"/>
    <d v="2025-09-10T00:00:00"/>
    <s v="C00224"/>
    <s v="Customer 224"/>
    <s v="Book"/>
    <s v="Books"/>
    <s v="Penguin"/>
    <n v="1"/>
    <n v="770"/>
    <n v="0.05"/>
    <n v="731.5"/>
    <n v="68.67"/>
    <s v="Card"/>
    <s v="Hyderabad"/>
    <s v="Telangana"/>
    <s v="John"/>
    <s v="Shipped"/>
    <n v="3"/>
  </r>
  <r>
    <s v="O00225"/>
    <d v="2025-01-23T00:00:00"/>
    <s v="C00225"/>
    <s v="Customer 225"/>
    <s v="Chair"/>
    <s v="Furniture"/>
    <s v="Ikea"/>
    <n v="5"/>
    <n v="4634"/>
    <n v="0.1"/>
    <n v="20853"/>
    <n v="2627.6"/>
    <s v="Net Banking"/>
    <s v="Delhi"/>
    <s v="Delhi"/>
    <s v="Anil"/>
    <s v="Returned"/>
    <n v="5"/>
  </r>
  <r>
    <s v="O00226"/>
    <d v="2025-04-24T00:00:00"/>
    <s v="C00226"/>
    <s v="Customer 226"/>
    <s v="Chair"/>
    <s v="Furniture"/>
    <s v="Ikea"/>
    <n v="1"/>
    <n v="3577"/>
    <n v="0.2"/>
    <n v="2861.6"/>
    <n v="479.96"/>
    <s v="COD"/>
    <s v="Bengaluru"/>
    <s v="Karnataka"/>
    <s v="John"/>
    <s v="Shipped"/>
    <n v="5"/>
  </r>
  <r>
    <s v="O00227"/>
    <d v="2025-11-24T00:00:00"/>
    <s v="C00227"/>
    <s v="Customer 227"/>
    <s v="Mixer"/>
    <s v="Home"/>
    <s v="Philips"/>
    <n v="3"/>
    <n v="12975"/>
    <n v="0.15"/>
    <n v="33086.25"/>
    <n v="7395.83"/>
    <s v="UPI"/>
    <s v="Delhi"/>
    <s v="Delhi"/>
    <s v="Asha"/>
    <s v="Returned"/>
    <n v="3"/>
  </r>
  <r>
    <s v="O00228"/>
    <d v="2025-11-03T00:00:00"/>
    <s v="C00228"/>
    <s v="Customer 228"/>
    <s v="Book"/>
    <s v="Books"/>
    <s v="Penguin"/>
    <n v="3"/>
    <n v="3261"/>
    <n v="0.15"/>
    <n v="8315.5499999999993"/>
    <n v="1479.97"/>
    <s v="Wallet"/>
    <s v="Mumbai"/>
    <s v="Maharashtra"/>
    <s v="Priya"/>
    <s v="Cancelled"/>
    <n v="1"/>
  </r>
  <r>
    <s v="O00229"/>
    <d v="2025-04-29T00:00:00"/>
    <s v="C00229"/>
    <s v="Customer 229"/>
    <s v="Headphones"/>
    <s v="Electronics"/>
    <s v="Sony"/>
    <n v="2"/>
    <n v="3597"/>
    <n v="0.2"/>
    <n v="5755.2"/>
    <n v="640.92999999999995"/>
    <s v="UPI"/>
    <s v="Mumbai"/>
    <s v="Maharashtra"/>
    <s v="John"/>
    <s v="Returned"/>
    <n v="2"/>
  </r>
  <r>
    <s v="O00230"/>
    <d v="2025-07-14T00:00:00"/>
    <s v="C00230"/>
    <s v="Customer 230"/>
    <s v="Phone"/>
    <s v="Electronics"/>
    <s v="Samsung"/>
    <n v="5"/>
    <n v="9443"/>
    <n v="0"/>
    <n v="47215"/>
    <n v="10267.18"/>
    <s v="Net Banking"/>
    <s v="Hyderabad"/>
    <s v="Telangana"/>
    <s v="Rahul"/>
    <s v="Delivered"/>
    <n v="2"/>
  </r>
  <r>
    <s v="O00231"/>
    <d v="2025-08-13T00:00:00"/>
    <s v="C00231"/>
    <s v="Customer 231"/>
    <s v="Phone"/>
    <s v="Electronics"/>
    <s v="Samsung"/>
    <n v="2"/>
    <n v="5823"/>
    <n v="0.2"/>
    <n v="9316.7999999999993"/>
    <n v="1522.44"/>
    <s v="UPI"/>
    <s v="Bengaluru"/>
    <s v="Karnataka"/>
    <s v="Priya"/>
    <s v="Cancelled"/>
    <n v="4"/>
  </r>
  <r>
    <s v="O00232"/>
    <d v="2025-02-26T00:00:00"/>
    <s v="C00232"/>
    <s v="Customer 232"/>
    <s v="Headphones"/>
    <s v="Electronics"/>
    <s v="Sony"/>
    <n v="3"/>
    <n v="13899"/>
    <n v="0"/>
    <n v="41697"/>
    <n v="6693.78"/>
    <s v="Net Banking"/>
    <s v="Bengaluru"/>
    <s v="Karnataka"/>
    <s v="Anil"/>
    <s v="Returned"/>
    <n v="3"/>
  </r>
  <r>
    <s v="O00233"/>
    <d v="2025-07-29T00:00:00"/>
    <s v="C00233"/>
    <s v="Customer 233"/>
    <s v="Phone"/>
    <s v="Electronics"/>
    <s v="Samsung"/>
    <n v="5"/>
    <n v="11102"/>
    <n v="0"/>
    <n v="55510"/>
    <n v="11846.25"/>
    <s v="UPI"/>
    <s v="Delhi"/>
    <s v="Delhi"/>
    <s v="Anil"/>
    <s v="Returned"/>
    <n v="5"/>
  </r>
  <r>
    <s v="O00234"/>
    <d v="2025-01-24T00:00:00"/>
    <s v="C00234"/>
    <s v="Customer 234"/>
    <s v="Shoes"/>
    <s v="Fashion"/>
    <s v="Nike"/>
    <n v="5"/>
    <n v="2316"/>
    <n v="0.05"/>
    <n v="11001"/>
    <n v="2640.87"/>
    <s v="Wallet"/>
    <s v="Delhi"/>
    <s v="Delhi"/>
    <s v="Rahul"/>
    <s v="Cancelled"/>
    <n v="5"/>
  </r>
  <r>
    <s v="O00235"/>
    <d v="2025-05-17T00:00:00"/>
    <s v="C00235"/>
    <s v="Customer 235"/>
    <s v="Headphones"/>
    <s v="Electronics"/>
    <s v="Sony"/>
    <n v="2"/>
    <n v="2395"/>
    <n v="0.1"/>
    <n v="4311"/>
    <n v="1282.1400000000001"/>
    <s v="Wallet"/>
    <s v="Delhi"/>
    <s v="Delhi"/>
    <s v="Rahul"/>
    <s v="Returned"/>
    <n v="5"/>
  </r>
  <r>
    <s v="O00236"/>
    <d v="2025-10-10T00:00:00"/>
    <s v="C00236"/>
    <s v="Customer 236"/>
    <s v="Book"/>
    <s v="Books"/>
    <s v="Penguin"/>
    <n v="1"/>
    <n v="4429"/>
    <n v="0.15"/>
    <n v="3764.65"/>
    <n v="325.56"/>
    <s v="Wallet"/>
    <s v="Mumbai"/>
    <s v="Maharashtra"/>
    <s v="Asha"/>
    <s v="Shipped"/>
    <n v="5"/>
  </r>
  <r>
    <s v="O00237"/>
    <d v="2025-07-15T00:00:00"/>
    <s v="C00237"/>
    <s v="Customer 237"/>
    <s v="Shoes"/>
    <s v="Fashion"/>
    <s v="Nike"/>
    <n v="2"/>
    <n v="9572"/>
    <n v="0"/>
    <n v="19144"/>
    <n v="5741.21"/>
    <s v="Card"/>
    <s v="Chennai"/>
    <s v="Tamil Nadu"/>
    <s v="Priya"/>
    <s v="Cancelled"/>
    <n v="2"/>
  </r>
  <r>
    <s v="O00238"/>
    <d v="2025-05-17T00:00:00"/>
    <s v="C00238"/>
    <s v="Customer 238"/>
    <s v="Mixer"/>
    <s v="Home"/>
    <s v="Philips"/>
    <n v="2"/>
    <n v="5614"/>
    <n v="0.1"/>
    <n v="10105.200000000001"/>
    <n v="2374.0100000000002"/>
    <s v="COD"/>
    <s v="Bengaluru"/>
    <s v="Karnataka"/>
    <s v="Anil"/>
    <s v="Cancelled"/>
    <n v="4"/>
  </r>
  <r>
    <s v="O00239"/>
    <d v="2025-01-13T00:00:00"/>
    <s v="C00239"/>
    <s v="Customer 239"/>
    <s v="Phone"/>
    <s v="Electronics"/>
    <s v="Samsung"/>
    <n v="5"/>
    <n v="13012"/>
    <n v="0.15"/>
    <n v="55301"/>
    <n v="12518.73"/>
    <s v="Net Banking"/>
    <s v="Chennai"/>
    <s v="Tamil Nadu"/>
    <s v="Rahul"/>
    <s v="Returned"/>
    <n v="3"/>
  </r>
  <r>
    <s v="O00240"/>
    <d v="2025-12-12T00:00:00"/>
    <s v="C00240"/>
    <s v="Customer 240"/>
    <s v="Phone"/>
    <s v="Electronics"/>
    <s v="Samsung"/>
    <n v="1"/>
    <n v="13761"/>
    <n v="0.15"/>
    <n v="11696.85"/>
    <n v="2305.79"/>
    <s v="Net Banking"/>
    <s v="Mumbai"/>
    <s v="Maharashtra"/>
    <s v="John"/>
    <s v="Returned"/>
    <n v="2"/>
  </r>
  <r>
    <s v="O00241"/>
    <d v="2025-03-16T00:00:00"/>
    <s v="C00241"/>
    <s v="Customer 241"/>
    <s v="Shoes"/>
    <s v="Fashion"/>
    <s v="Nike"/>
    <n v="5"/>
    <n v="11663"/>
    <n v="0.2"/>
    <n v="46652"/>
    <n v="10796.68"/>
    <s v="UPI"/>
    <s v="Chennai"/>
    <s v="Tamil Nadu"/>
    <s v="Asha"/>
    <s v="Delivered"/>
    <n v="3"/>
  </r>
  <r>
    <s v="O00242"/>
    <d v="2025-05-04T00:00:00"/>
    <s v="C00242"/>
    <s v="Customer 242"/>
    <s v="Chair"/>
    <s v="Furniture"/>
    <s v="Ikea"/>
    <n v="5"/>
    <n v="10641"/>
    <n v="0.2"/>
    <n v="42564"/>
    <n v="10366.870000000001"/>
    <s v="UPI"/>
    <s v="Kochi"/>
    <s v="Kerala"/>
    <s v="Anil"/>
    <s v="Shipped"/>
    <n v="3"/>
  </r>
  <r>
    <s v="O00243"/>
    <d v="2025-03-06T00:00:00"/>
    <s v="C00243"/>
    <s v="Customer 243"/>
    <s v="Book"/>
    <s v="Books"/>
    <s v="Penguin"/>
    <n v="3"/>
    <n v="14404"/>
    <n v="0"/>
    <n v="43212"/>
    <n v="4111.84"/>
    <s v="UPI"/>
    <s v="Kochi"/>
    <s v="Kerala"/>
    <s v="John"/>
    <s v="Delivered"/>
    <n v="1"/>
  </r>
  <r>
    <s v="O00244"/>
    <d v="2025-11-20T00:00:00"/>
    <s v="C00244"/>
    <s v="Customer 244"/>
    <s v="Laptop"/>
    <s v="Electronics"/>
    <s v="Dell"/>
    <n v="5"/>
    <n v="11267"/>
    <n v="0.05"/>
    <n v="53518.25"/>
    <n v="5760.39"/>
    <s v="Wallet"/>
    <s v="Bengaluru"/>
    <s v="Karnataka"/>
    <s v="John"/>
    <s v="Cancelled"/>
    <n v="5"/>
  </r>
  <r>
    <s v="O00245"/>
    <d v="2025-12-26T00:00:00"/>
    <s v="C00245"/>
    <s v="Customer 245"/>
    <s v="Mixer"/>
    <s v="Home"/>
    <s v="Philips"/>
    <n v="1"/>
    <n v="14913"/>
    <n v="0"/>
    <n v="14913"/>
    <n v="2862.61"/>
    <s v="UPI"/>
    <s v="Bengaluru"/>
    <s v="Karnataka"/>
    <s v="John"/>
    <s v="Cancelled"/>
    <n v="3"/>
  </r>
  <r>
    <s v="O00246"/>
    <d v="2025-11-29T00:00:00"/>
    <s v="C00246"/>
    <s v="Customer 246"/>
    <s v="Watch"/>
    <s v="Accessories"/>
    <s v="Fossil"/>
    <n v="4"/>
    <n v="10823"/>
    <n v="0.05"/>
    <n v="41127.4"/>
    <n v="9299.2800000000007"/>
    <s v="COD"/>
    <s v="Hyderabad"/>
    <s v="Telangana"/>
    <s v="Priya"/>
    <s v="Delivered"/>
    <n v="1"/>
  </r>
  <r>
    <s v="O00247"/>
    <d v="2025-06-24T00:00:00"/>
    <s v="C00247"/>
    <s v="Customer 247"/>
    <s v="Phone"/>
    <s v="Electronics"/>
    <s v="Samsung"/>
    <n v="1"/>
    <n v="13728"/>
    <n v="0.2"/>
    <n v="10982.4"/>
    <n v="3242.33"/>
    <s v="Wallet"/>
    <s v="Hyderabad"/>
    <s v="Telangana"/>
    <s v="Rahul"/>
    <s v="Cancelled"/>
    <n v="5"/>
  </r>
  <r>
    <s v="O00248"/>
    <d v="2025-12-20T00:00:00"/>
    <s v="C00248"/>
    <s v="Customer 248"/>
    <s v="Mixer"/>
    <s v="Home"/>
    <s v="Philips"/>
    <n v="2"/>
    <n v="6055"/>
    <n v="0.2"/>
    <n v="9688"/>
    <n v="1176.2"/>
    <s v="Card"/>
    <s v="Chennai"/>
    <s v="Tamil Nadu"/>
    <s v="Rahul"/>
    <s v="Cancelled"/>
    <n v="3"/>
  </r>
  <r>
    <s v="O00249"/>
    <d v="2025-03-22T00:00:00"/>
    <s v="C00249"/>
    <s v="Customer 249"/>
    <s v="Book"/>
    <s v="Books"/>
    <s v="Penguin"/>
    <n v="2"/>
    <n v="14012"/>
    <n v="0.05"/>
    <n v="26622.799999999999"/>
    <n v="5743.5"/>
    <s v="Wallet"/>
    <s v="Kochi"/>
    <s v="Kerala"/>
    <s v="Anil"/>
    <s v="Cancelled"/>
    <n v="3"/>
  </r>
  <r>
    <s v="O00250"/>
    <d v="2025-08-13T00:00:00"/>
    <s v="C00250"/>
    <s v="Customer 250"/>
    <s v="Laptop"/>
    <s v="Electronics"/>
    <s v="Dell"/>
    <n v="4"/>
    <n v="10262"/>
    <n v="0.05"/>
    <n v="38995.599999999999"/>
    <n v="3474.76"/>
    <s v="COD"/>
    <s v="Delhi"/>
    <s v="Delhi"/>
    <s v="Rahul"/>
    <s v="Delivered"/>
    <n v="4"/>
  </r>
  <r>
    <s v="O00251"/>
    <d v="2025-05-10T00:00:00"/>
    <s v="C00251"/>
    <s v="Customer 251"/>
    <s v="Laptop"/>
    <s v="Electronics"/>
    <s v="Dell"/>
    <n v="5"/>
    <n v="9139"/>
    <n v="0.05"/>
    <n v="43410.25"/>
    <n v="7633.96"/>
    <s v="Card"/>
    <s v="Chennai"/>
    <s v="Tamil Nadu"/>
    <s v="Anil"/>
    <s v="Delivered"/>
    <n v="1"/>
  </r>
  <r>
    <s v="O00252"/>
    <d v="2025-06-28T00:00:00"/>
    <s v="C00252"/>
    <s v="Customer 252"/>
    <s v="Book"/>
    <s v="Books"/>
    <s v="Penguin"/>
    <n v="2"/>
    <n v="12695"/>
    <n v="0.2"/>
    <n v="20312"/>
    <n v="3407.99"/>
    <s v="Net Banking"/>
    <s v="Kochi"/>
    <s v="Kerala"/>
    <s v="Priya"/>
    <s v="Returned"/>
    <n v="1"/>
  </r>
  <r>
    <s v="O00253"/>
    <d v="2025-12-03T00:00:00"/>
    <s v="C00253"/>
    <s v="Customer 253"/>
    <s v="Laptop"/>
    <s v="Electronics"/>
    <s v="Dell"/>
    <n v="1"/>
    <n v="14080"/>
    <n v="0.1"/>
    <n v="12672"/>
    <n v="2650.98"/>
    <s v="COD"/>
    <s v="Kochi"/>
    <s v="Kerala"/>
    <s v="Asha"/>
    <s v="Cancelled"/>
    <n v="5"/>
  </r>
  <r>
    <s v="O00254"/>
    <d v="2025-05-27T00:00:00"/>
    <s v="C00254"/>
    <s v="Customer 254"/>
    <s v="Mixer"/>
    <s v="Home"/>
    <s v="Philips"/>
    <n v="2"/>
    <n v="9226"/>
    <n v="0"/>
    <n v="18452"/>
    <n v="5501.58"/>
    <s v="UPI"/>
    <s v="Bengaluru"/>
    <s v="Karnataka"/>
    <s v="John"/>
    <s v="Cancelled"/>
    <n v="1"/>
  </r>
  <r>
    <s v="O00255"/>
    <d v="2025-11-13T00:00:00"/>
    <s v="C00255"/>
    <s v="Customer 255"/>
    <s v="Headphones"/>
    <s v="Electronics"/>
    <s v="Sony"/>
    <n v="5"/>
    <n v="1650"/>
    <n v="0.1"/>
    <n v="7425"/>
    <n v="2183.4499999999998"/>
    <s v="Wallet"/>
    <s v="Bengaluru"/>
    <s v="Karnataka"/>
    <s v="John"/>
    <s v="Delivered"/>
    <n v="3"/>
  </r>
  <r>
    <s v="O00256"/>
    <d v="2025-07-18T00:00:00"/>
    <s v="C00256"/>
    <s v="Customer 256"/>
    <s v="Phone"/>
    <s v="Electronics"/>
    <s v="Samsung"/>
    <n v="4"/>
    <n v="5443"/>
    <n v="0.1"/>
    <n v="19594.8"/>
    <n v="4395.0600000000004"/>
    <s v="UPI"/>
    <s v="Mumbai"/>
    <s v="Maharashtra"/>
    <s v="Anil"/>
    <s v="Returned"/>
    <n v="3"/>
  </r>
  <r>
    <s v="O00257"/>
    <d v="2025-03-10T00:00:00"/>
    <s v="C00257"/>
    <s v="Customer 257"/>
    <s v="Headphones"/>
    <s v="Electronics"/>
    <s v="Sony"/>
    <n v="1"/>
    <n v="9080"/>
    <n v="0.05"/>
    <n v="8626"/>
    <n v="1300.04"/>
    <s v="COD"/>
    <s v="Hyderabad"/>
    <s v="Telangana"/>
    <s v="Priya"/>
    <s v="Shipped"/>
    <n v="3"/>
  </r>
  <r>
    <s v="O00258"/>
    <d v="2025-08-13T00:00:00"/>
    <s v="C00258"/>
    <s v="Customer 258"/>
    <s v="Shoes"/>
    <s v="Fashion"/>
    <s v="Nike"/>
    <n v="2"/>
    <n v="714"/>
    <n v="0.15"/>
    <n v="1213.8"/>
    <n v="354.39"/>
    <s v="Net Banking"/>
    <s v="Mumbai"/>
    <s v="Maharashtra"/>
    <s v="John"/>
    <s v="Shipped"/>
    <n v="2"/>
  </r>
  <r>
    <s v="O00259"/>
    <d v="2025-12-06T00:00:00"/>
    <s v="C00259"/>
    <s v="Customer 259"/>
    <s v="Shoes"/>
    <s v="Fashion"/>
    <s v="Nike"/>
    <n v="2"/>
    <n v="5261"/>
    <n v="0.15"/>
    <n v="8943.7000000000007"/>
    <n v="2113.6"/>
    <s v="UPI"/>
    <s v="Bengaluru"/>
    <s v="Karnataka"/>
    <s v="Asha"/>
    <s v="Cancelled"/>
    <n v="5"/>
  </r>
  <r>
    <s v="O00260"/>
    <d v="2025-03-30T00:00:00"/>
    <s v="C00260"/>
    <s v="Customer 260"/>
    <s v="Watch"/>
    <s v="Accessories"/>
    <s v="Fossil"/>
    <n v="5"/>
    <n v="13457"/>
    <n v="0.15"/>
    <n v="57192.25"/>
    <n v="9954.7800000000007"/>
    <s v="Net Banking"/>
    <s v="Bengaluru"/>
    <s v="Karnataka"/>
    <s v="John"/>
    <s v="Cancelled"/>
    <n v="5"/>
  </r>
  <r>
    <s v="O00261"/>
    <d v="2025-07-29T00:00:00"/>
    <s v="C00261"/>
    <s v="Customer 261"/>
    <s v="Headphones"/>
    <s v="Electronics"/>
    <s v="Sony"/>
    <n v="3"/>
    <n v="14965"/>
    <n v="0.05"/>
    <n v="42650.25"/>
    <n v="10422.41"/>
    <s v="COD"/>
    <s v="Hyderabad"/>
    <s v="Telangana"/>
    <s v="John"/>
    <s v="Shipped"/>
    <n v="5"/>
  </r>
  <r>
    <s v="O00262"/>
    <d v="2025-09-10T00:00:00"/>
    <s v="C00262"/>
    <s v="Customer 262"/>
    <s v="Mixer"/>
    <s v="Home"/>
    <s v="Philips"/>
    <n v="4"/>
    <n v="12504"/>
    <n v="0"/>
    <n v="50016"/>
    <n v="6028.28"/>
    <s v="COD"/>
    <s v="Bengaluru"/>
    <s v="Karnataka"/>
    <s v="Priya"/>
    <s v="Shipped"/>
    <n v="1"/>
  </r>
  <r>
    <s v="O00263"/>
    <d v="2025-06-11T00:00:00"/>
    <s v="C00263"/>
    <s v="Customer 263"/>
    <s v="Laptop"/>
    <s v="Electronics"/>
    <s v="Dell"/>
    <n v="4"/>
    <n v="13312"/>
    <n v="0"/>
    <n v="53248"/>
    <n v="11591.84"/>
    <s v="Net Banking"/>
    <s v="Mumbai"/>
    <s v="Maharashtra"/>
    <s v="Rahul"/>
    <s v="Shipped"/>
    <n v="2"/>
  </r>
  <r>
    <s v="O00264"/>
    <d v="2025-04-23T00:00:00"/>
    <s v="C00264"/>
    <s v="Customer 264"/>
    <s v="Watch"/>
    <s v="Accessories"/>
    <s v="Fossil"/>
    <n v="3"/>
    <n v="7945"/>
    <n v="0.05"/>
    <n v="22643.25"/>
    <n v="2967.19"/>
    <s v="COD"/>
    <s v="Chennai"/>
    <s v="Tamil Nadu"/>
    <s v="Rahul"/>
    <s v="Returned"/>
    <n v="1"/>
  </r>
  <r>
    <s v="O00265"/>
    <d v="2025-10-31T00:00:00"/>
    <s v="C00265"/>
    <s v="Customer 265"/>
    <s v="Watch"/>
    <s v="Accessories"/>
    <s v="Fossil"/>
    <n v="3"/>
    <n v="10595"/>
    <n v="0.1"/>
    <n v="28606.5"/>
    <n v="7886.58"/>
    <s v="COD"/>
    <s v="Bengaluru"/>
    <s v="Karnataka"/>
    <s v="Priya"/>
    <s v="Delivered"/>
    <n v="1"/>
  </r>
  <r>
    <s v="O00266"/>
    <d v="2025-08-02T00:00:00"/>
    <s v="C00266"/>
    <s v="Customer 266"/>
    <s v="Mixer"/>
    <s v="Home"/>
    <s v="Philips"/>
    <n v="3"/>
    <n v="6901"/>
    <n v="0"/>
    <n v="20703"/>
    <n v="2619.6799999999998"/>
    <s v="Net Banking"/>
    <s v="Delhi"/>
    <s v="Delhi"/>
    <s v="Priya"/>
    <s v="Delivered"/>
    <n v="5"/>
  </r>
  <r>
    <s v="O00267"/>
    <d v="2025-04-16T00:00:00"/>
    <s v="C00267"/>
    <s v="Customer 267"/>
    <s v="Phone"/>
    <s v="Electronics"/>
    <s v="Samsung"/>
    <n v="3"/>
    <n v="4322"/>
    <n v="0.2"/>
    <n v="10372.799999999999"/>
    <n v="2890.39"/>
    <s v="UPI"/>
    <s v="Chennai"/>
    <s v="Tamil Nadu"/>
    <s v="John"/>
    <s v="Cancelled"/>
    <n v="1"/>
  </r>
  <r>
    <s v="O00268"/>
    <d v="2025-03-31T00:00:00"/>
    <s v="C00268"/>
    <s v="Customer 268"/>
    <s v="Shoes"/>
    <s v="Fashion"/>
    <s v="Nike"/>
    <n v="5"/>
    <n v="7839"/>
    <n v="0.1"/>
    <n v="35275.5"/>
    <n v="7670.27"/>
    <s v="COD"/>
    <s v="Mumbai"/>
    <s v="Maharashtra"/>
    <s v="Anil"/>
    <s v="Cancelled"/>
    <n v="1"/>
  </r>
  <r>
    <s v="O00269"/>
    <d v="2025-01-20T00:00:00"/>
    <s v="C00269"/>
    <s v="Customer 269"/>
    <s v="Laptop"/>
    <s v="Electronics"/>
    <s v="Dell"/>
    <n v="3"/>
    <n v="5209"/>
    <n v="0.1"/>
    <n v="14064.3"/>
    <n v="2567.3200000000002"/>
    <s v="COD"/>
    <s v="Chennai"/>
    <s v="Tamil Nadu"/>
    <s v="Priya"/>
    <s v="Cancelled"/>
    <n v="3"/>
  </r>
  <r>
    <s v="O00270"/>
    <d v="2025-10-30T00:00:00"/>
    <s v="C00270"/>
    <s v="Customer 270"/>
    <s v="Book"/>
    <s v="Books"/>
    <s v="Penguin"/>
    <n v="2"/>
    <n v="10260"/>
    <n v="0.15"/>
    <n v="17442"/>
    <n v="3995.11"/>
    <s v="UPI"/>
    <s v="Kochi"/>
    <s v="Kerala"/>
    <s v="Anil"/>
    <s v="Shipped"/>
    <n v="2"/>
  </r>
  <r>
    <s v="O00271"/>
    <d v="2025-02-01T00:00:00"/>
    <s v="C00271"/>
    <s v="Customer 271"/>
    <s v="Phone"/>
    <s v="Electronics"/>
    <s v="Samsung"/>
    <n v="1"/>
    <n v="7722"/>
    <n v="0.05"/>
    <n v="7335.9"/>
    <n v="1346.7"/>
    <s v="Card"/>
    <s v="Delhi"/>
    <s v="Delhi"/>
    <s v="Rahul"/>
    <s v="Delivered"/>
    <n v="2"/>
  </r>
  <r>
    <s v="O00272"/>
    <d v="2025-11-26T00:00:00"/>
    <s v="C00272"/>
    <s v="Customer 272"/>
    <s v="Book"/>
    <s v="Books"/>
    <s v="Penguin"/>
    <n v="5"/>
    <n v="5882"/>
    <n v="0.05"/>
    <n v="27939.5"/>
    <n v="7373.45"/>
    <s v="COD"/>
    <s v="Delhi"/>
    <s v="Delhi"/>
    <s v="John"/>
    <s v="Returned"/>
    <n v="2"/>
  </r>
  <r>
    <s v="O00273"/>
    <d v="2025-09-26T00:00:00"/>
    <s v="C00273"/>
    <s v="Customer 273"/>
    <s v="Watch"/>
    <s v="Accessories"/>
    <s v="Fossil"/>
    <n v="4"/>
    <n v="10301"/>
    <n v="0.05"/>
    <n v="39143.800000000003"/>
    <n v="3607.98"/>
    <s v="COD"/>
    <s v="Mumbai"/>
    <s v="Maharashtra"/>
    <s v="Rahul"/>
    <s v="Shipped"/>
    <n v="5"/>
  </r>
  <r>
    <s v="O00274"/>
    <d v="2025-05-19T00:00:00"/>
    <s v="C00274"/>
    <s v="Customer 274"/>
    <s v="Mixer"/>
    <s v="Home"/>
    <s v="Philips"/>
    <n v="2"/>
    <n v="4087"/>
    <n v="0"/>
    <n v="8174"/>
    <n v="1323.92"/>
    <s v="Card"/>
    <s v="Hyderabad"/>
    <s v="Telangana"/>
    <s v="Priya"/>
    <s v="Returned"/>
    <n v="2"/>
  </r>
  <r>
    <s v="O00275"/>
    <d v="2025-05-23T00:00:00"/>
    <s v="C00275"/>
    <s v="Customer 275"/>
    <s v="Phone"/>
    <s v="Electronics"/>
    <s v="Samsung"/>
    <n v="3"/>
    <n v="2771"/>
    <n v="0.1"/>
    <n v="7481.7"/>
    <n v="703.37"/>
    <s v="Card"/>
    <s v="Mumbai"/>
    <s v="Maharashtra"/>
    <s v="Rahul"/>
    <s v="Returned"/>
    <n v="1"/>
  </r>
  <r>
    <s v="O00276"/>
    <d v="2025-05-26T00:00:00"/>
    <s v="C00276"/>
    <s v="Customer 276"/>
    <s v="Headphones"/>
    <s v="Electronics"/>
    <s v="Sony"/>
    <n v="2"/>
    <n v="4019"/>
    <n v="0.1"/>
    <n v="7234.2"/>
    <n v="1098.18"/>
    <s v="Wallet"/>
    <s v="Bengaluru"/>
    <s v="Karnataka"/>
    <s v="John"/>
    <s v="Shipped"/>
    <n v="1"/>
  </r>
  <r>
    <s v="O00277"/>
    <d v="2025-06-24T00:00:00"/>
    <s v="C00277"/>
    <s v="Customer 277"/>
    <s v="Phone"/>
    <s v="Electronics"/>
    <s v="Samsung"/>
    <n v="4"/>
    <n v="5816"/>
    <n v="0.15"/>
    <n v="19774.400000000001"/>
    <n v="3399.88"/>
    <s v="UPI"/>
    <s v="Bengaluru"/>
    <s v="Karnataka"/>
    <s v="Anil"/>
    <s v="Delivered"/>
    <n v="1"/>
  </r>
  <r>
    <s v="O00278"/>
    <d v="2025-04-21T00:00:00"/>
    <s v="C00278"/>
    <s v="Customer 278"/>
    <s v="Book"/>
    <s v="Books"/>
    <s v="Penguin"/>
    <n v="1"/>
    <n v="11586"/>
    <n v="0.1"/>
    <n v="10427.4"/>
    <n v="2301.87"/>
    <s v="Wallet"/>
    <s v="Chennai"/>
    <s v="Tamil Nadu"/>
    <s v="Anil"/>
    <s v="Delivered"/>
    <n v="3"/>
  </r>
  <r>
    <s v="O00279"/>
    <d v="2025-09-23T00:00:00"/>
    <s v="C00279"/>
    <s v="Customer 279"/>
    <s v="Book"/>
    <s v="Books"/>
    <s v="Penguin"/>
    <n v="4"/>
    <n v="11474"/>
    <n v="0.2"/>
    <n v="36716.800000000003"/>
    <n v="4383.4799999999996"/>
    <s v="UPI"/>
    <s v="Mumbai"/>
    <s v="Maharashtra"/>
    <s v="John"/>
    <s v="Returned"/>
    <n v="4"/>
  </r>
  <r>
    <s v="O00280"/>
    <d v="2025-07-15T00:00:00"/>
    <s v="C00280"/>
    <s v="Customer 280"/>
    <s v="Watch"/>
    <s v="Accessories"/>
    <s v="Fossil"/>
    <n v="2"/>
    <n v="7611"/>
    <n v="0"/>
    <n v="15222"/>
    <n v="4186.51"/>
    <s v="Net Banking"/>
    <s v="Kochi"/>
    <s v="Kerala"/>
    <s v="Rahul"/>
    <s v="Delivered"/>
    <n v="3"/>
  </r>
  <r>
    <s v="O00281"/>
    <d v="2025-12-12T00:00:00"/>
    <s v="C00281"/>
    <s v="Customer 281"/>
    <s v="Watch"/>
    <s v="Accessories"/>
    <s v="Fossil"/>
    <n v="4"/>
    <n v="12825"/>
    <n v="0.15"/>
    <n v="43605"/>
    <n v="7267.4"/>
    <s v="Wallet"/>
    <s v="Chennai"/>
    <s v="Tamil Nadu"/>
    <s v="John"/>
    <s v="Delivered"/>
    <n v="4"/>
  </r>
  <r>
    <s v="O00282"/>
    <d v="2025-05-20T00:00:00"/>
    <s v="C00282"/>
    <s v="Customer 282"/>
    <s v="Laptop"/>
    <s v="Electronics"/>
    <s v="Dell"/>
    <n v="2"/>
    <n v="11353"/>
    <n v="0"/>
    <n v="22706"/>
    <n v="2444.42"/>
    <s v="Wallet"/>
    <s v="Bengaluru"/>
    <s v="Karnataka"/>
    <s v="Asha"/>
    <s v="Delivered"/>
    <n v="1"/>
  </r>
  <r>
    <s v="O00283"/>
    <d v="2025-05-16T00:00:00"/>
    <s v="C00283"/>
    <s v="Customer 283"/>
    <s v="Book"/>
    <s v="Books"/>
    <s v="Penguin"/>
    <n v="5"/>
    <n v="3464"/>
    <n v="0.15"/>
    <n v="14722"/>
    <n v="1612.77"/>
    <s v="UPI"/>
    <s v="Kochi"/>
    <s v="Kerala"/>
    <s v="Asha"/>
    <s v="Shipped"/>
    <n v="1"/>
  </r>
  <r>
    <s v="O00284"/>
    <d v="2025-09-04T00:00:00"/>
    <s v="C00284"/>
    <s v="Customer 284"/>
    <s v="Chair"/>
    <s v="Furniture"/>
    <s v="Ikea"/>
    <n v="5"/>
    <n v="14312"/>
    <n v="0.2"/>
    <n v="57248"/>
    <n v="5576.81"/>
    <s v="COD"/>
    <s v="Bengaluru"/>
    <s v="Karnataka"/>
    <s v="Rahul"/>
    <s v="Cancelled"/>
    <n v="2"/>
  </r>
  <r>
    <s v="O00285"/>
    <d v="2025-11-08T00:00:00"/>
    <s v="C00285"/>
    <s v="Customer 285"/>
    <s v="Book"/>
    <s v="Books"/>
    <s v="Penguin"/>
    <n v="4"/>
    <n v="4169"/>
    <n v="0.15"/>
    <n v="14174.6"/>
    <n v="1698.74"/>
    <s v="Card"/>
    <s v="Mumbai"/>
    <s v="Maharashtra"/>
    <s v="Asha"/>
    <s v="Cancelled"/>
    <n v="3"/>
  </r>
  <r>
    <s v="O00286"/>
    <d v="2025-08-04T00:00:00"/>
    <s v="C00286"/>
    <s v="Customer 286"/>
    <s v="Phone"/>
    <s v="Electronics"/>
    <s v="Samsung"/>
    <n v="4"/>
    <n v="4401"/>
    <n v="0.2"/>
    <n v="14083.2"/>
    <n v="1459.25"/>
    <s v="UPI"/>
    <s v="Kochi"/>
    <s v="Kerala"/>
    <s v="Priya"/>
    <s v="Cancelled"/>
    <n v="5"/>
  </r>
  <r>
    <s v="O00287"/>
    <d v="2025-07-17T00:00:00"/>
    <s v="C00287"/>
    <s v="Customer 287"/>
    <s v="Headphones"/>
    <s v="Electronics"/>
    <s v="Sony"/>
    <n v="4"/>
    <n v="13824"/>
    <n v="0.1"/>
    <n v="49766.400000000001"/>
    <n v="10172.19"/>
    <s v="UPI"/>
    <s v="Hyderabad"/>
    <s v="Telangana"/>
    <s v="Rahul"/>
    <s v="Delivered"/>
    <n v="3"/>
  </r>
  <r>
    <s v="O00288"/>
    <d v="2025-12-12T00:00:00"/>
    <s v="C00288"/>
    <s v="Customer 288"/>
    <s v="Book"/>
    <s v="Books"/>
    <s v="Penguin"/>
    <n v="2"/>
    <n v="9303"/>
    <n v="0.2"/>
    <n v="14884.8"/>
    <n v="2107.6799999999998"/>
    <s v="Wallet"/>
    <s v="Bengaluru"/>
    <s v="Karnataka"/>
    <s v="Priya"/>
    <s v="Cancelled"/>
    <n v="1"/>
  </r>
  <r>
    <s v="O00289"/>
    <d v="2025-01-10T00:00:00"/>
    <s v="C00289"/>
    <s v="Customer 289"/>
    <s v="Shoes"/>
    <s v="Fashion"/>
    <s v="Nike"/>
    <n v="5"/>
    <n v="354"/>
    <n v="0.1"/>
    <n v="1593"/>
    <n v="274.79000000000002"/>
    <s v="Net Banking"/>
    <s v="Chennai"/>
    <s v="Tamil Nadu"/>
    <s v="Anil"/>
    <s v="Delivered"/>
    <n v="2"/>
  </r>
  <r>
    <s v="O00290"/>
    <d v="2025-07-11T00:00:00"/>
    <s v="C00290"/>
    <s v="Customer 290"/>
    <s v="Book"/>
    <s v="Books"/>
    <s v="Penguin"/>
    <n v="2"/>
    <n v="9323"/>
    <n v="0.1"/>
    <n v="16781.400000000001"/>
    <n v="1496.58"/>
    <s v="UPI"/>
    <s v="Chennai"/>
    <s v="Tamil Nadu"/>
    <s v="Priya"/>
    <s v="Shipped"/>
    <n v="5"/>
  </r>
  <r>
    <s v="O00291"/>
    <d v="2025-10-11T00:00:00"/>
    <s v="C00291"/>
    <s v="Customer 291"/>
    <s v="Chair"/>
    <s v="Furniture"/>
    <s v="Ikea"/>
    <n v="4"/>
    <n v="13148"/>
    <n v="0.1"/>
    <n v="47332.800000000003"/>
    <n v="6890.96"/>
    <s v="Wallet"/>
    <s v="Chennai"/>
    <s v="Tamil Nadu"/>
    <s v="John"/>
    <s v="Shipped"/>
    <n v="1"/>
  </r>
  <r>
    <s v="O00292"/>
    <d v="2025-06-10T00:00:00"/>
    <s v="C00292"/>
    <s v="Customer 292"/>
    <s v="Laptop"/>
    <s v="Electronics"/>
    <s v="Dell"/>
    <n v="4"/>
    <n v="11922"/>
    <n v="0.05"/>
    <n v="45303.6"/>
    <n v="12365.66"/>
    <s v="Card"/>
    <s v="Hyderabad"/>
    <s v="Telangana"/>
    <s v="Priya"/>
    <s v="Shipped"/>
    <n v="5"/>
  </r>
  <r>
    <s v="O00293"/>
    <d v="2025-03-09T00:00:00"/>
    <s v="C00293"/>
    <s v="Customer 293"/>
    <s v="Chair"/>
    <s v="Furniture"/>
    <s v="Ikea"/>
    <n v="1"/>
    <n v="9726"/>
    <n v="0.1"/>
    <n v="8753.4"/>
    <n v="1413.87"/>
    <s v="Net Banking"/>
    <s v="Delhi"/>
    <s v="Delhi"/>
    <s v="Anil"/>
    <s v="Cancelled"/>
    <n v="5"/>
  </r>
  <r>
    <s v="O00294"/>
    <d v="2025-08-18T00:00:00"/>
    <s v="C00294"/>
    <s v="Customer 294"/>
    <s v="Headphones"/>
    <s v="Electronics"/>
    <s v="Sony"/>
    <n v="1"/>
    <n v="7950"/>
    <n v="0.1"/>
    <n v="7155"/>
    <n v="1185.6300000000001"/>
    <s v="COD"/>
    <s v="Kochi"/>
    <s v="Kerala"/>
    <s v="Asha"/>
    <s v="Delivered"/>
    <n v="5"/>
  </r>
  <r>
    <s v="O00295"/>
    <d v="2025-08-05T00:00:00"/>
    <s v="C00295"/>
    <s v="Customer 295"/>
    <s v="Watch"/>
    <s v="Accessories"/>
    <s v="Fossil"/>
    <n v="1"/>
    <n v="6621"/>
    <n v="0.2"/>
    <n v="5296.8"/>
    <n v="1372.49"/>
    <s v="Net Banking"/>
    <s v="Chennai"/>
    <s v="Tamil Nadu"/>
    <s v="Priya"/>
    <s v="Returned"/>
    <n v="3"/>
  </r>
  <r>
    <s v="O00296"/>
    <d v="2025-05-27T00:00:00"/>
    <s v="C00296"/>
    <s v="Customer 296"/>
    <s v="Laptop"/>
    <s v="Electronics"/>
    <s v="Dell"/>
    <n v="5"/>
    <n v="3395"/>
    <n v="0.15"/>
    <n v="14428.75"/>
    <n v="1756.9"/>
    <s v="UPI"/>
    <s v="Chennai"/>
    <s v="Tamil Nadu"/>
    <s v="John"/>
    <s v="Returned"/>
    <n v="5"/>
  </r>
  <r>
    <s v="O00297"/>
    <d v="2025-11-29T00:00:00"/>
    <s v="C00297"/>
    <s v="Customer 297"/>
    <s v="Chair"/>
    <s v="Furniture"/>
    <s v="Ikea"/>
    <n v="2"/>
    <n v="4727"/>
    <n v="0.05"/>
    <n v="8981.2999999999993"/>
    <n v="2155.37"/>
    <s v="Card"/>
    <s v="Mumbai"/>
    <s v="Maharashtra"/>
    <s v="Asha"/>
    <s v="Returned"/>
    <n v="2"/>
  </r>
  <r>
    <s v="O00298"/>
    <d v="2025-03-21T00:00:00"/>
    <s v="C00298"/>
    <s v="Customer 298"/>
    <s v="Mixer"/>
    <s v="Home"/>
    <s v="Philips"/>
    <n v="5"/>
    <n v="13807"/>
    <n v="0.1"/>
    <n v="62131.5"/>
    <n v="10791.39"/>
    <s v="UPI"/>
    <s v="Bengaluru"/>
    <s v="Karnataka"/>
    <s v="Anil"/>
    <s v="Returned"/>
    <n v="3"/>
  </r>
  <r>
    <s v="O00299"/>
    <d v="2025-12-09T00:00:00"/>
    <s v="C00299"/>
    <s v="Customer 299"/>
    <s v="Watch"/>
    <s v="Accessories"/>
    <s v="Fossil"/>
    <n v="3"/>
    <n v="14908"/>
    <n v="0.1"/>
    <n v="40251.599999999999"/>
    <n v="9950.17"/>
    <s v="Net Banking"/>
    <s v="Delhi"/>
    <s v="Delhi"/>
    <s v="Priya"/>
    <s v="Shipped"/>
    <n v="5"/>
  </r>
  <r>
    <s v="O00300"/>
    <d v="2025-08-30T00:00:00"/>
    <s v="C00300"/>
    <s v="Customer 300"/>
    <s v="Phone"/>
    <s v="Electronics"/>
    <s v="Samsung"/>
    <n v="2"/>
    <n v="10765"/>
    <n v="0.1"/>
    <n v="19377"/>
    <n v="3567.91"/>
    <s v="Net Banking"/>
    <s v="Mumbai"/>
    <s v="Maharashtra"/>
    <s v="Rahul"/>
    <s v="Shipped"/>
    <n v="3"/>
  </r>
  <r>
    <s v="O00301"/>
    <d v="2025-04-30T00:00:00"/>
    <s v="C00301"/>
    <s v="Customer 301"/>
    <s v="Watch"/>
    <s v="Accessories"/>
    <s v="Fossil"/>
    <n v="4"/>
    <n v="8488"/>
    <n v="0.1"/>
    <n v="30556.799999999999"/>
    <n v="6422.2"/>
    <s v="Wallet"/>
    <s v="Hyderabad"/>
    <s v="Telangana"/>
    <s v="Priya"/>
    <s v="Delivered"/>
    <n v="5"/>
  </r>
  <r>
    <s v="O00302"/>
    <d v="2025-05-17T00:00:00"/>
    <s v="C00302"/>
    <s v="Customer 302"/>
    <s v="Chair"/>
    <s v="Furniture"/>
    <s v="Ikea"/>
    <n v="5"/>
    <n v="10970"/>
    <n v="0.2"/>
    <n v="43880"/>
    <n v="4305.29"/>
    <s v="UPI"/>
    <s v="Delhi"/>
    <s v="Delhi"/>
    <s v="Priya"/>
    <s v="Shipped"/>
    <n v="4"/>
  </r>
  <r>
    <s v="O00303"/>
    <d v="2025-12-29T00:00:00"/>
    <s v="C00303"/>
    <s v="Customer 303"/>
    <s v="Laptop"/>
    <s v="Electronics"/>
    <s v="Dell"/>
    <n v="4"/>
    <n v="7457"/>
    <n v="0.1"/>
    <n v="26845.200000000001"/>
    <n v="2462.5300000000002"/>
    <s v="Wallet"/>
    <s v="Hyderabad"/>
    <s v="Telangana"/>
    <s v="John"/>
    <s v="Cancelled"/>
    <n v="5"/>
  </r>
  <r>
    <s v="O00304"/>
    <d v="2025-12-06T00:00:00"/>
    <s v="C00304"/>
    <s v="Customer 304"/>
    <s v="Chair"/>
    <s v="Furniture"/>
    <s v="Ikea"/>
    <n v="5"/>
    <n v="10275"/>
    <n v="0.1"/>
    <n v="46237.5"/>
    <n v="6670.62"/>
    <s v="Net Banking"/>
    <s v="Hyderabad"/>
    <s v="Telangana"/>
    <s v="John"/>
    <s v="Delivered"/>
    <n v="5"/>
  </r>
  <r>
    <s v="O00305"/>
    <d v="2025-11-12T00:00:00"/>
    <s v="C00305"/>
    <s v="Customer 305"/>
    <s v="Mixer"/>
    <s v="Home"/>
    <s v="Philips"/>
    <n v="3"/>
    <n v="3516"/>
    <n v="0"/>
    <n v="10548"/>
    <n v="2704.93"/>
    <s v="Card"/>
    <s v="Kochi"/>
    <s v="Kerala"/>
    <s v="John"/>
    <s v="Shipped"/>
    <n v="5"/>
  </r>
  <r>
    <s v="O00306"/>
    <d v="2025-11-29T00:00:00"/>
    <s v="C00306"/>
    <s v="Customer 306"/>
    <s v="Laptop"/>
    <s v="Electronics"/>
    <s v="Dell"/>
    <n v="5"/>
    <n v="13811"/>
    <n v="0.15"/>
    <n v="58696.75"/>
    <n v="6786.01"/>
    <s v="Net Banking"/>
    <s v="Bengaluru"/>
    <s v="Karnataka"/>
    <s v="Priya"/>
    <s v="Delivered"/>
    <n v="1"/>
  </r>
  <r>
    <s v="O00307"/>
    <d v="2025-10-14T00:00:00"/>
    <s v="C00307"/>
    <s v="Customer 307"/>
    <s v="Book"/>
    <s v="Books"/>
    <s v="Penguin"/>
    <n v="2"/>
    <n v="4839"/>
    <n v="0.1"/>
    <n v="8710.2000000000007"/>
    <n v="2170.39"/>
    <s v="Card"/>
    <s v="Chennai"/>
    <s v="Tamil Nadu"/>
    <s v="Rahul"/>
    <s v="Returned"/>
    <n v="1"/>
  </r>
  <r>
    <s v="O00308"/>
    <d v="2025-12-27T00:00:00"/>
    <s v="C00308"/>
    <s v="Customer 308"/>
    <s v="Laptop"/>
    <s v="Electronics"/>
    <s v="Dell"/>
    <n v="1"/>
    <n v="8010"/>
    <n v="0"/>
    <n v="8010"/>
    <n v="2083.77"/>
    <s v="COD"/>
    <s v="Delhi"/>
    <s v="Delhi"/>
    <s v="John"/>
    <s v="Shipped"/>
    <n v="2"/>
  </r>
  <r>
    <s v="O00309"/>
    <d v="2025-11-18T00:00:00"/>
    <s v="C00309"/>
    <s v="Customer 309"/>
    <s v="Book"/>
    <s v="Books"/>
    <s v="Penguin"/>
    <n v="5"/>
    <n v="11548"/>
    <n v="0.2"/>
    <n v="46192"/>
    <n v="6862.66"/>
    <s v="COD"/>
    <s v="Chennai"/>
    <s v="Tamil Nadu"/>
    <s v="John"/>
    <s v="Shipped"/>
    <n v="3"/>
  </r>
  <r>
    <s v="O00310"/>
    <d v="2025-12-04T00:00:00"/>
    <s v="C00310"/>
    <s v="Customer 310"/>
    <s v="Mixer"/>
    <s v="Home"/>
    <s v="Philips"/>
    <n v="4"/>
    <n v="543"/>
    <n v="0.05"/>
    <n v="2063.4"/>
    <n v="372.48"/>
    <s v="Wallet"/>
    <s v="Kochi"/>
    <s v="Kerala"/>
    <s v="Asha"/>
    <s v="Delivered"/>
    <n v="1"/>
  </r>
  <r>
    <s v="O00311"/>
    <d v="2025-11-11T00:00:00"/>
    <s v="C00311"/>
    <s v="Customer 311"/>
    <s v="Chair"/>
    <s v="Furniture"/>
    <s v="Ikea"/>
    <n v="3"/>
    <n v="10426"/>
    <n v="0.05"/>
    <n v="29714.1"/>
    <n v="8284.98"/>
    <s v="Wallet"/>
    <s v="Bengaluru"/>
    <s v="Karnataka"/>
    <s v="John"/>
    <s v="Shipped"/>
    <n v="4"/>
  </r>
  <r>
    <s v="O00312"/>
    <d v="2025-11-08T00:00:00"/>
    <s v="C00312"/>
    <s v="Customer 312"/>
    <s v="Shoes"/>
    <s v="Fashion"/>
    <s v="Nike"/>
    <n v="3"/>
    <n v="12024"/>
    <n v="0.1"/>
    <n v="32464.799999999999"/>
    <n v="4230.88"/>
    <s v="Net Banking"/>
    <s v="Chennai"/>
    <s v="Tamil Nadu"/>
    <s v="Priya"/>
    <s v="Cancelled"/>
    <n v="4"/>
  </r>
  <r>
    <s v="O00313"/>
    <d v="2025-03-16T00:00:00"/>
    <s v="C00313"/>
    <s v="Customer 313"/>
    <s v="Phone"/>
    <s v="Electronics"/>
    <s v="Samsung"/>
    <n v="4"/>
    <n v="14396"/>
    <n v="0.15"/>
    <n v="48946.400000000001"/>
    <n v="6349.45"/>
    <s v="Card"/>
    <s v="Chennai"/>
    <s v="Tamil Nadu"/>
    <s v="Rahul"/>
    <s v="Returned"/>
    <n v="3"/>
  </r>
  <r>
    <s v="O00314"/>
    <d v="2025-09-17T00:00:00"/>
    <s v="C00314"/>
    <s v="Customer 314"/>
    <s v="Phone"/>
    <s v="Electronics"/>
    <s v="Samsung"/>
    <n v="4"/>
    <n v="1949"/>
    <n v="0.2"/>
    <n v="6236.8"/>
    <n v="1425.93"/>
    <s v="COD"/>
    <s v="Delhi"/>
    <s v="Delhi"/>
    <s v="John"/>
    <s v="Returned"/>
    <n v="5"/>
  </r>
  <r>
    <s v="O00315"/>
    <d v="2025-06-04T00:00:00"/>
    <s v="C00315"/>
    <s v="Customer 315"/>
    <s v="Shoes"/>
    <s v="Fashion"/>
    <s v="Nike"/>
    <n v="3"/>
    <n v="293"/>
    <n v="0.05"/>
    <n v="835.05"/>
    <n v="81.28"/>
    <s v="COD"/>
    <s v="Bengaluru"/>
    <s v="Karnataka"/>
    <s v="Rahul"/>
    <s v="Cancelled"/>
    <n v="5"/>
  </r>
  <r>
    <s v="O00316"/>
    <d v="2025-09-10T00:00:00"/>
    <s v="C00316"/>
    <s v="Customer 316"/>
    <s v="Mixer"/>
    <s v="Home"/>
    <s v="Philips"/>
    <n v="1"/>
    <n v="1020"/>
    <n v="0.05"/>
    <n v="969"/>
    <n v="221.48"/>
    <s v="COD"/>
    <s v="Delhi"/>
    <s v="Delhi"/>
    <s v="Priya"/>
    <s v="Cancelled"/>
    <n v="1"/>
  </r>
  <r>
    <s v="O00317"/>
    <d v="2025-10-28T00:00:00"/>
    <s v="C00317"/>
    <s v="Customer 317"/>
    <s v="Laptop"/>
    <s v="Electronics"/>
    <s v="Dell"/>
    <n v="1"/>
    <n v="12049"/>
    <n v="0.15"/>
    <n v="10241.65"/>
    <n v="2748.29"/>
    <s v="Net Banking"/>
    <s v="Delhi"/>
    <s v="Delhi"/>
    <s v="John"/>
    <s v="Delivered"/>
    <n v="3"/>
  </r>
  <r>
    <s v="O00318"/>
    <d v="2025-03-18T00:00:00"/>
    <s v="C00318"/>
    <s v="Customer 318"/>
    <s v="Headphones"/>
    <s v="Electronics"/>
    <s v="Sony"/>
    <n v="2"/>
    <n v="13112"/>
    <n v="0.2"/>
    <n v="20979.200000000001"/>
    <n v="2891.91"/>
    <s v="COD"/>
    <s v="Hyderabad"/>
    <s v="Telangana"/>
    <s v="Rahul"/>
    <s v="Returned"/>
    <n v="4"/>
  </r>
  <r>
    <s v="O00319"/>
    <d v="2025-01-01T00:00:00"/>
    <s v="C00319"/>
    <s v="Customer 319"/>
    <s v="Book"/>
    <s v="Books"/>
    <s v="Penguin"/>
    <n v="3"/>
    <n v="3683"/>
    <n v="0.1"/>
    <n v="9944.1"/>
    <n v="1135.5"/>
    <s v="Wallet"/>
    <s v="Mumbai"/>
    <s v="Maharashtra"/>
    <s v="Anil"/>
    <s v="Delivered"/>
    <n v="1"/>
  </r>
  <r>
    <s v="O00320"/>
    <d v="2025-06-30T00:00:00"/>
    <s v="C00320"/>
    <s v="Customer 320"/>
    <s v="Shoes"/>
    <s v="Fashion"/>
    <s v="Nike"/>
    <n v="1"/>
    <n v="11976"/>
    <n v="0"/>
    <n v="11976"/>
    <n v="2251.12"/>
    <s v="Net Banking"/>
    <s v="Mumbai"/>
    <s v="Maharashtra"/>
    <s v="Asha"/>
    <s v="Returned"/>
    <n v="4"/>
  </r>
  <r>
    <s v="O00321"/>
    <d v="2025-08-12T00:00:00"/>
    <s v="C00321"/>
    <s v="Customer 321"/>
    <s v="Watch"/>
    <s v="Accessories"/>
    <s v="Fossil"/>
    <n v="2"/>
    <n v="10406"/>
    <n v="0.05"/>
    <n v="19771.400000000001"/>
    <n v="3555.99"/>
    <s v="Wallet"/>
    <s v="Bengaluru"/>
    <s v="Karnataka"/>
    <s v="Asha"/>
    <s v="Cancelled"/>
    <n v="4"/>
  </r>
  <r>
    <s v="O00322"/>
    <d v="2025-08-14T00:00:00"/>
    <s v="C00322"/>
    <s v="Customer 322"/>
    <s v="Watch"/>
    <s v="Accessories"/>
    <s v="Fossil"/>
    <n v="2"/>
    <n v="9377"/>
    <n v="0.05"/>
    <n v="17816.3"/>
    <n v="4080.99"/>
    <s v="Net Banking"/>
    <s v="Bengaluru"/>
    <s v="Karnataka"/>
    <s v="Asha"/>
    <s v="Shipped"/>
    <n v="2"/>
  </r>
  <r>
    <s v="O00323"/>
    <d v="2025-06-26T00:00:00"/>
    <s v="C00323"/>
    <s v="Customer 323"/>
    <s v="Watch"/>
    <s v="Accessories"/>
    <s v="Fossil"/>
    <n v="5"/>
    <n v="8274"/>
    <n v="0.15"/>
    <n v="35164.5"/>
    <n v="9765"/>
    <s v="UPI"/>
    <s v="Mumbai"/>
    <s v="Maharashtra"/>
    <s v="Rahul"/>
    <s v="Delivered"/>
    <n v="1"/>
  </r>
  <r>
    <s v="O00324"/>
    <d v="2025-03-08T00:00:00"/>
    <s v="C00324"/>
    <s v="Customer 324"/>
    <s v="Headphones"/>
    <s v="Electronics"/>
    <s v="Sony"/>
    <n v="4"/>
    <n v="1767"/>
    <n v="0.05"/>
    <n v="6714.6"/>
    <n v="931.72"/>
    <s v="Card"/>
    <s v="Hyderabad"/>
    <s v="Telangana"/>
    <s v="Asha"/>
    <s v="Returned"/>
    <n v="3"/>
  </r>
  <r>
    <s v="O00325"/>
    <d v="2025-12-31T00:00:00"/>
    <s v="C00325"/>
    <s v="Customer 325"/>
    <s v="Headphones"/>
    <s v="Electronics"/>
    <s v="Sony"/>
    <n v="4"/>
    <n v="7070"/>
    <n v="0"/>
    <n v="28280"/>
    <n v="4031.18"/>
    <s v="Net Banking"/>
    <s v="Hyderabad"/>
    <s v="Telangana"/>
    <s v="John"/>
    <s v="Returned"/>
    <n v="3"/>
  </r>
  <r>
    <s v="O00326"/>
    <d v="2025-06-27T00:00:00"/>
    <s v="C00326"/>
    <s v="Customer 326"/>
    <s v="Chair"/>
    <s v="Furniture"/>
    <s v="Ikea"/>
    <n v="3"/>
    <n v="5561"/>
    <n v="0.15"/>
    <n v="14180.55"/>
    <n v="3739.92"/>
    <s v="COD"/>
    <s v="Delhi"/>
    <s v="Delhi"/>
    <s v="Rahul"/>
    <s v="Returned"/>
    <n v="1"/>
  </r>
  <r>
    <s v="O00327"/>
    <d v="2025-01-26T00:00:00"/>
    <s v="C00327"/>
    <s v="Customer 327"/>
    <s v="Laptop"/>
    <s v="Electronics"/>
    <s v="Dell"/>
    <n v="4"/>
    <n v="10328"/>
    <n v="0"/>
    <n v="41312"/>
    <n v="6684.54"/>
    <s v="Net Banking"/>
    <s v="Hyderabad"/>
    <s v="Telangana"/>
    <s v="Priya"/>
    <s v="Shipped"/>
    <n v="2"/>
  </r>
  <r>
    <s v="O00328"/>
    <d v="2025-09-10T00:00:00"/>
    <s v="C00328"/>
    <s v="Customer 328"/>
    <s v="Shoes"/>
    <s v="Fashion"/>
    <s v="Nike"/>
    <n v="4"/>
    <n v="4131"/>
    <n v="0.15"/>
    <n v="14045.4"/>
    <n v="1535.07"/>
    <s v="Card"/>
    <s v="Chennai"/>
    <s v="Tamil Nadu"/>
    <s v="Rahul"/>
    <s v="Shipped"/>
    <n v="4"/>
  </r>
  <r>
    <s v="O00329"/>
    <d v="2025-11-17T00:00:00"/>
    <s v="C00329"/>
    <s v="Customer 329"/>
    <s v="Chair"/>
    <s v="Furniture"/>
    <s v="Ikea"/>
    <n v="5"/>
    <n v="6287"/>
    <n v="0.2"/>
    <n v="25148"/>
    <n v="3193.85"/>
    <s v="COD"/>
    <s v="Kochi"/>
    <s v="Kerala"/>
    <s v="Priya"/>
    <s v="Cancelled"/>
    <n v="2"/>
  </r>
  <r>
    <s v="O00330"/>
    <d v="2025-04-26T00:00:00"/>
    <s v="C00330"/>
    <s v="Customer 330"/>
    <s v="Mixer"/>
    <s v="Home"/>
    <s v="Philips"/>
    <n v="5"/>
    <n v="13227"/>
    <n v="0.2"/>
    <n v="52908"/>
    <n v="5773.23"/>
    <s v="UPI"/>
    <s v="Chennai"/>
    <s v="Tamil Nadu"/>
    <s v="Asha"/>
    <s v="Shipped"/>
    <n v="4"/>
  </r>
  <r>
    <s v="O00331"/>
    <d v="2025-01-12T00:00:00"/>
    <s v="C00331"/>
    <s v="Customer 331"/>
    <s v="Book"/>
    <s v="Books"/>
    <s v="Penguin"/>
    <n v="1"/>
    <n v="8487"/>
    <n v="0.05"/>
    <n v="8062.65"/>
    <n v="1511.33"/>
    <s v="Wallet"/>
    <s v="Delhi"/>
    <s v="Delhi"/>
    <s v="John"/>
    <s v="Cancelled"/>
    <n v="2"/>
  </r>
  <r>
    <s v="O00332"/>
    <d v="2025-07-16T00:00:00"/>
    <s v="C00332"/>
    <s v="Customer 332"/>
    <s v="Shoes"/>
    <s v="Fashion"/>
    <s v="Nike"/>
    <n v="5"/>
    <n v="2492"/>
    <n v="0.2"/>
    <n v="9968"/>
    <n v="1534.63"/>
    <s v="Card"/>
    <s v="Bengaluru"/>
    <s v="Karnataka"/>
    <s v="Rahul"/>
    <s v="Delivered"/>
    <n v="2"/>
  </r>
  <r>
    <s v="O00333"/>
    <d v="2025-10-09T00:00:00"/>
    <s v="C00333"/>
    <s v="Customer 333"/>
    <s v="Shoes"/>
    <s v="Fashion"/>
    <s v="Nike"/>
    <n v="2"/>
    <n v="3007"/>
    <n v="0"/>
    <n v="6014"/>
    <n v="1369.5"/>
    <s v="COD"/>
    <s v="Chennai"/>
    <s v="Tamil Nadu"/>
    <s v="Priya"/>
    <s v="Delivered"/>
    <n v="5"/>
  </r>
  <r>
    <s v="O00334"/>
    <d v="2025-06-21T00:00:00"/>
    <s v="C00334"/>
    <s v="Customer 334"/>
    <s v="Laptop"/>
    <s v="Electronics"/>
    <s v="Dell"/>
    <n v="3"/>
    <n v="13956"/>
    <n v="0.2"/>
    <n v="33494.400000000001"/>
    <n v="3925.84"/>
    <s v="Wallet"/>
    <s v="Hyderabad"/>
    <s v="Telangana"/>
    <s v="Rahul"/>
    <s v="Shipped"/>
    <n v="1"/>
  </r>
  <r>
    <s v="O00335"/>
    <d v="2025-06-03T00:00:00"/>
    <s v="C00335"/>
    <s v="Customer 335"/>
    <s v="Watch"/>
    <s v="Accessories"/>
    <s v="Fossil"/>
    <n v="2"/>
    <n v="1368"/>
    <n v="0.15"/>
    <n v="2325.6"/>
    <n v="214.8"/>
    <s v="UPI"/>
    <s v="Delhi"/>
    <s v="Delhi"/>
    <s v="Asha"/>
    <s v="Cancelled"/>
    <n v="2"/>
  </r>
  <r>
    <s v="O00336"/>
    <d v="2025-01-12T00:00:00"/>
    <s v="C00336"/>
    <s v="Customer 336"/>
    <s v="Watch"/>
    <s v="Accessories"/>
    <s v="Fossil"/>
    <n v="1"/>
    <n v="7392"/>
    <n v="0.1"/>
    <n v="6652.8"/>
    <n v="1213.6199999999999"/>
    <s v="Net Banking"/>
    <s v="Kochi"/>
    <s v="Kerala"/>
    <s v="Anil"/>
    <s v="Shipped"/>
    <n v="5"/>
  </r>
  <r>
    <s v="O00337"/>
    <d v="2025-02-03T00:00:00"/>
    <s v="C00337"/>
    <s v="Customer 337"/>
    <s v="Chair"/>
    <s v="Furniture"/>
    <s v="Ikea"/>
    <n v="3"/>
    <n v="3682"/>
    <n v="0.1"/>
    <n v="9941.4"/>
    <n v="1241.7"/>
    <s v="Net Banking"/>
    <s v="Kochi"/>
    <s v="Kerala"/>
    <s v="Anil"/>
    <s v="Shipped"/>
    <n v="5"/>
  </r>
  <r>
    <s v="O00338"/>
    <d v="2025-06-24T00:00:00"/>
    <s v="C00338"/>
    <s v="Customer 338"/>
    <s v="Shoes"/>
    <s v="Fashion"/>
    <s v="Nike"/>
    <n v="5"/>
    <n v="11922"/>
    <n v="0.15"/>
    <n v="50668.5"/>
    <n v="8335.7900000000009"/>
    <s v="Card"/>
    <s v="Mumbai"/>
    <s v="Maharashtra"/>
    <s v="Asha"/>
    <s v="Shipped"/>
    <n v="4"/>
  </r>
  <r>
    <s v="O00339"/>
    <d v="2025-03-13T00:00:00"/>
    <s v="C00339"/>
    <s v="Customer 339"/>
    <s v="Watch"/>
    <s v="Accessories"/>
    <s v="Fossil"/>
    <n v="5"/>
    <n v="11800"/>
    <n v="0.1"/>
    <n v="53100"/>
    <n v="9790.23"/>
    <s v="Wallet"/>
    <s v="Delhi"/>
    <s v="Delhi"/>
    <s v="Anil"/>
    <s v="Returned"/>
    <n v="5"/>
  </r>
  <r>
    <s v="O00340"/>
    <d v="2025-10-28T00:00:00"/>
    <s v="C00340"/>
    <s v="Customer 340"/>
    <s v="Mixer"/>
    <s v="Home"/>
    <s v="Philips"/>
    <n v="1"/>
    <n v="9740"/>
    <n v="0"/>
    <n v="9740"/>
    <n v="1966.84"/>
    <s v="UPI"/>
    <s v="Hyderabad"/>
    <s v="Telangana"/>
    <s v="Rahul"/>
    <s v="Cancelled"/>
    <n v="3"/>
  </r>
  <r>
    <s v="O00341"/>
    <d v="2025-01-04T00:00:00"/>
    <s v="C00341"/>
    <s v="Customer 341"/>
    <s v="Chair"/>
    <s v="Furniture"/>
    <s v="Ikea"/>
    <n v="4"/>
    <n v="9127"/>
    <n v="0.15"/>
    <n v="31031.8"/>
    <n v="3329.55"/>
    <s v="Card"/>
    <s v="Mumbai"/>
    <s v="Maharashtra"/>
    <s v="Asha"/>
    <s v="Cancelled"/>
    <n v="1"/>
  </r>
  <r>
    <s v="O00342"/>
    <d v="2025-07-27T00:00:00"/>
    <s v="C00342"/>
    <s v="Customer 342"/>
    <s v="Watch"/>
    <s v="Accessories"/>
    <s v="Fossil"/>
    <n v="3"/>
    <n v="10810"/>
    <n v="0.15"/>
    <n v="27565.5"/>
    <n v="5408.49"/>
    <s v="Card"/>
    <s v="Delhi"/>
    <s v="Delhi"/>
    <s v="Anil"/>
    <s v="Shipped"/>
    <n v="5"/>
  </r>
  <r>
    <s v="O00343"/>
    <d v="2025-01-19T00:00:00"/>
    <s v="C00343"/>
    <s v="Customer 343"/>
    <s v="Laptop"/>
    <s v="Electronics"/>
    <s v="Dell"/>
    <n v="2"/>
    <n v="4384"/>
    <n v="0.2"/>
    <n v="7014.4"/>
    <n v="1750.26"/>
    <s v="Wallet"/>
    <s v="Hyderabad"/>
    <s v="Telangana"/>
    <s v="Asha"/>
    <s v="Delivered"/>
    <n v="4"/>
  </r>
  <r>
    <s v="O00344"/>
    <d v="2025-05-26T00:00:00"/>
    <s v="C00344"/>
    <s v="Customer 344"/>
    <s v="Chair"/>
    <s v="Furniture"/>
    <s v="Ikea"/>
    <n v="4"/>
    <n v="7635"/>
    <n v="0.15"/>
    <n v="25959"/>
    <n v="5660.58"/>
    <s v="Wallet"/>
    <s v="Bengaluru"/>
    <s v="Karnataka"/>
    <s v="Rahul"/>
    <s v="Shipped"/>
    <n v="2"/>
  </r>
  <r>
    <s v="O00345"/>
    <d v="2025-07-29T00:00:00"/>
    <s v="C00345"/>
    <s v="Customer 345"/>
    <s v="Mixer"/>
    <s v="Home"/>
    <s v="Philips"/>
    <n v="1"/>
    <n v="3775"/>
    <n v="0.15"/>
    <n v="3208.75"/>
    <n v="606.36"/>
    <s v="UPI"/>
    <s v="Bengaluru"/>
    <s v="Karnataka"/>
    <s v="Asha"/>
    <s v="Shipped"/>
    <n v="4"/>
  </r>
  <r>
    <s v="O00346"/>
    <d v="2025-08-29T00:00:00"/>
    <s v="C00346"/>
    <s v="Customer 346"/>
    <s v="Laptop"/>
    <s v="Electronics"/>
    <s v="Dell"/>
    <n v="3"/>
    <n v="1048"/>
    <n v="0"/>
    <n v="3144"/>
    <n v="539.63"/>
    <s v="UPI"/>
    <s v="Delhi"/>
    <s v="Delhi"/>
    <s v="John"/>
    <s v="Shipped"/>
    <n v="4"/>
  </r>
  <r>
    <s v="O00347"/>
    <d v="2025-06-13T00:00:00"/>
    <s v="C00347"/>
    <s v="Customer 347"/>
    <s v="Chair"/>
    <s v="Furniture"/>
    <s v="Ikea"/>
    <n v="5"/>
    <n v="14284"/>
    <n v="0.1"/>
    <n v="64278"/>
    <n v="10438.25"/>
    <s v="Net Banking"/>
    <s v="Chennai"/>
    <s v="Tamil Nadu"/>
    <s v="John"/>
    <s v="Shipped"/>
    <n v="3"/>
  </r>
  <r>
    <s v="O00348"/>
    <d v="2025-08-25T00:00:00"/>
    <s v="C00348"/>
    <s v="Customer 348"/>
    <s v="Headphones"/>
    <s v="Electronics"/>
    <s v="Sony"/>
    <n v="5"/>
    <n v="12527"/>
    <n v="0.05"/>
    <n v="59503.25"/>
    <n v="11303.12"/>
    <s v="Net Banking"/>
    <s v="Kochi"/>
    <s v="Kerala"/>
    <s v="Asha"/>
    <s v="Cancelled"/>
    <n v="4"/>
  </r>
  <r>
    <s v="O00349"/>
    <d v="2025-05-17T00:00:00"/>
    <s v="C00349"/>
    <s v="Customer 349"/>
    <s v="Laptop"/>
    <s v="Electronics"/>
    <s v="Dell"/>
    <n v="5"/>
    <n v="6363"/>
    <n v="0.05"/>
    <n v="30224.25"/>
    <n v="8118.19"/>
    <s v="UPI"/>
    <s v="Bengaluru"/>
    <s v="Karnataka"/>
    <s v="Priya"/>
    <s v="Cancelled"/>
    <n v="1"/>
  </r>
  <r>
    <s v="O00350"/>
    <d v="2025-07-05T00:00:00"/>
    <s v="C00350"/>
    <s v="Customer 350"/>
    <s v="Shoes"/>
    <s v="Fashion"/>
    <s v="Nike"/>
    <n v="4"/>
    <n v="2036"/>
    <n v="0"/>
    <n v="8144"/>
    <n v="2277.1999999999998"/>
    <s v="COD"/>
    <s v="Bengaluru"/>
    <s v="Karnataka"/>
    <s v="John"/>
    <s v="Delivered"/>
    <n v="2"/>
  </r>
  <r>
    <s v="O00351"/>
    <d v="2025-05-22T00:00:00"/>
    <s v="C00351"/>
    <s v="Customer 351"/>
    <s v="Book"/>
    <s v="Books"/>
    <s v="Penguin"/>
    <n v="3"/>
    <n v="13418"/>
    <n v="0.15"/>
    <n v="34215.9"/>
    <n v="7558.51"/>
    <s v="Wallet"/>
    <s v="Kochi"/>
    <s v="Kerala"/>
    <s v="Anil"/>
    <s v="Delivered"/>
    <n v="2"/>
  </r>
  <r>
    <s v="O00352"/>
    <d v="2025-04-04T00:00:00"/>
    <s v="C00352"/>
    <s v="Customer 352"/>
    <s v="Chair"/>
    <s v="Furniture"/>
    <s v="Ikea"/>
    <n v="4"/>
    <n v="13865"/>
    <n v="0.05"/>
    <n v="52687"/>
    <n v="6434.95"/>
    <s v="Card"/>
    <s v="Bengaluru"/>
    <s v="Karnataka"/>
    <s v="Anil"/>
    <s v="Returned"/>
    <n v="1"/>
  </r>
  <r>
    <s v="O00353"/>
    <d v="2025-06-16T00:00:00"/>
    <s v="C00353"/>
    <s v="Customer 353"/>
    <s v="Shoes"/>
    <s v="Fashion"/>
    <s v="Nike"/>
    <n v="2"/>
    <n v="8051"/>
    <n v="0.15"/>
    <n v="13686.7"/>
    <n v="1754.76"/>
    <s v="Card"/>
    <s v="Mumbai"/>
    <s v="Maharashtra"/>
    <s v="John"/>
    <s v="Returned"/>
    <n v="1"/>
  </r>
  <r>
    <s v="O00354"/>
    <d v="2025-06-15T00:00:00"/>
    <s v="C00354"/>
    <s v="Customer 354"/>
    <s v="Laptop"/>
    <s v="Electronics"/>
    <s v="Dell"/>
    <n v="5"/>
    <n v="7416"/>
    <n v="0.2"/>
    <n v="29664"/>
    <n v="4311.42"/>
    <s v="Card"/>
    <s v="Hyderabad"/>
    <s v="Telangana"/>
    <s v="Priya"/>
    <s v="Cancelled"/>
    <n v="3"/>
  </r>
  <r>
    <s v="O00355"/>
    <d v="2025-04-18T00:00:00"/>
    <s v="C00355"/>
    <s v="Customer 355"/>
    <s v="Chair"/>
    <s v="Furniture"/>
    <s v="Ikea"/>
    <n v="2"/>
    <n v="11184"/>
    <n v="0.05"/>
    <n v="21249.599999999999"/>
    <n v="3721.28"/>
    <s v="UPI"/>
    <s v="Kochi"/>
    <s v="Kerala"/>
    <s v="Rahul"/>
    <s v="Delivered"/>
    <n v="5"/>
  </r>
  <r>
    <s v="O00356"/>
    <d v="2025-06-23T00:00:00"/>
    <s v="C00356"/>
    <s v="Customer 356"/>
    <s v="Shoes"/>
    <s v="Fashion"/>
    <s v="Nike"/>
    <n v="5"/>
    <n v="10157"/>
    <n v="0.05"/>
    <n v="48245.75"/>
    <n v="10274.19"/>
    <s v="Net Banking"/>
    <s v="Hyderabad"/>
    <s v="Telangana"/>
    <s v="Anil"/>
    <s v="Delivered"/>
    <n v="4"/>
  </r>
  <r>
    <s v="O00357"/>
    <d v="2025-11-26T00:00:00"/>
    <s v="C00357"/>
    <s v="Customer 357"/>
    <s v="Phone"/>
    <s v="Electronics"/>
    <s v="Samsung"/>
    <n v="3"/>
    <n v="3260"/>
    <n v="0.05"/>
    <n v="9291"/>
    <n v="1443.34"/>
    <s v="Net Banking"/>
    <s v="Mumbai"/>
    <s v="Maharashtra"/>
    <s v="Anil"/>
    <s v="Delivered"/>
    <n v="5"/>
  </r>
  <r>
    <s v="O00358"/>
    <d v="2025-12-28T00:00:00"/>
    <s v="C00358"/>
    <s v="Customer 358"/>
    <s v="Headphones"/>
    <s v="Electronics"/>
    <s v="Sony"/>
    <n v="2"/>
    <n v="9365"/>
    <n v="0.15"/>
    <n v="15920.5"/>
    <n v="1290.9000000000001"/>
    <s v="Card"/>
    <s v="Chennai"/>
    <s v="Tamil Nadu"/>
    <s v="Anil"/>
    <s v="Delivered"/>
    <n v="2"/>
  </r>
  <r>
    <s v="O00359"/>
    <d v="2025-07-06T00:00:00"/>
    <s v="C00359"/>
    <s v="Customer 359"/>
    <s v="Headphones"/>
    <s v="Electronics"/>
    <s v="Sony"/>
    <n v="2"/>
    <n v="14506"/>
    <n v="0.15"/>
    <n v="24660.2"/>
    <n v="5951.69"/>
    <s v="Card"/>
    <s v="Hyderabad"/>
    <s v="Telangana"/>
    <s v="John"/>
    <s v="Returned"/>
    <n v="4"/>
  </r>
  <r>
    <s v="O00360"/>
    <d v="2025-07-13T00:00:00"/>
    <s v="C00360"/>
    <s v="Customer 360"/>
    <s v="Watch"/>
    <s v="Accessories"/>
    <s v="Fossil"/>
    <n v="2"/>
    <n v="11071"/>
    <n v="0.05"/>
    <n v="21034.9"/>
    <n v="6248.7"/>
    <s v="UPI"/>
    <s v="Mumbai"/>
    <s v="Maharashtra"/>
    <s v="Rahul"/>
    <s v="Delivered"/>
    <n v="4"/>
  </r>
  <r>
    <s v="O00361"/>
    <d v="2025-07-10T00:00:00"/>
    <s v="C00361"/>
    <s v="Customer 361"/>
    <s v="Book"/>
    <s v="Books"/>
    <s v="Penguin"/>
    <n v="4"/>
    <n v="13189"/>
    <n v="0.1"/>
    <n v="47480.4"/>
    <n v="8054.57"/>
    <s v="UPI"/>
    <s v="Chennai"/>
    <s v="Tamil Nadu"/>
    <s v="Rahul"/>
    <s v="Shipped"/>
    <n v="3"/>
  </r>
  <r>
    <s v="O00362"/>
    <d v="2025-07-27T00:00:00"/>
    <s v="C00362"/>
    <s v="Customer 362"/>
    <s v="Shoes"/>
    <s v="Fashion"/>
    <s v="Nike"/>
    <n v="4"/>
    <n v="8619"/>
    <n v="0.2"/>
    <n v="27580.799999999999"/>
    <n v="2427.13"/>
    <s v="Card"/>
    <s v="Hyderabad"/>
    <s v="Telangana"/>
    <s v="John"/>
    <s v="Returned"/>
    <n v="2"/>
  </r>
  <r>
    <s v="O00363"/>
    <d v="2025-03-28T00:00:00"/>
    <s v="C00363"/>
    <s v="Customer 363"/>
    <s v="Mixer"/>
    <s v="Home"/>
    <s v="Philips"/>
    <n v="5"/>
    <n v="6921"/>
    <n v="0.1"/>
    <n v="31144.5"/>
    <n v="7408.72"/>
    <s v="UPI"/>
    <s v="Chennai"/>
    <s v="Tamil Nadu"/>
    <s v="Rahul"/>
    <s v="Returned"/>
    <n v="5"/>
  </r>
  <r>
    <s v="O00364"/>
    <d v="2025-03-22T00:00:00"/>
    <s v="C00364"/>
    <s v="Customer 364"/>
    <s v="Watch"/>
    <s v="Accessories"/>
    <s v="Fossil"/>
    <n v="5"/>
    <n v="13164"/>
    <n v="0"/>
    <n v="65820"/>
    <n v="17194.7"/>
    <s v="COD"/>
    <s v="Delhi"/>
    <s v="Delhi"/>
    <s v="Priya"/>
    <s v="Delivered"/>
    <n v="5"/>
  </r>
  <r>
    <s v="O00365"/>
    <d v="2025-04-20T00:00:00"/>
    <s v="C00365"/>
    <s v="Customer 365"/>
    <s v="Chair"/>
    <s v="Furniture"/>
    <s v="Ikea"/>
    <n v="2"/>
    <n v="3455"/>
    <n v="0"/>
    <n v="6910"/>
    <n v="1070.8499999999999"/>
    <s v="Card"/>
    <s v="Kochi"/>
    <s v="Kerala"/>
    <s v="Anil"/>
    <s v="Shipped"/>
    <n v="4"/>
  </r>
  <r>
    <s v="O00366"/>
    <d v="2025-08-09T00:00:00"/>
    <s v="C00366"/>
    <s v="Customer 366"/>
    <s v="Book"/>
    <s v="Books"/>
    <s v="Penguin"/>
    <n v="4"/>
    <n v="13169"/>
    <n v="0"/>
    <n v="52676"/>
    <n v="14716.54"/>
    <s v="Card"/>
    <s v="Delhi"/>
    <s v="Delhi"/>
    <s v="Rahul"/>
    <s v="Delivered"/>
    <n v="3"/>
  </r>
  <r>
    <s v="O00367"/>
    <d v="2025-05-11T00:00:00"/>
    <s v="C00367"/>
    <s v="Customer 367"/>
    <s v="Chair"/>
    <s v="Furniture"/>
    <s v="Ikea"/>
    <n v="2"/>
    <n v="8993"/>
    <n v="0"/>
    <n v="17986"/>
    <n v="4616.07"/>
    <s v="Card"/>
    <s v="Hyderabad"/>
    <s v="Telangana"/>
    <s v="Asha"/>
    <s v="Shipped"/>
    <n v="5"/>
  </r>
  <r>
    <s v="O00368"/>
    <d v="2025-07-17T00:00:00"/>
    <s v="C00368"/>
    <s v="Customer 368"/>
    <s v="Chair"/>
    <s v="Furniture"/>
    <s v="Ikea"/>
    <n v="1"/>
    <n v="12506"/>
    <n v="0.1"/>
    <n v="11255.4"/>
    <n v="3122.97"/>
    <s v="Net Banking"/>
    <s v="Delhi"/>
    <s v="Delhi"/>
    <s v="Rahul"/>
    <s v="Shipped"/>
    <n v="1"/>
  </r>
  <r>
    <s v="O00369"/>
    <d v="2025-01-15T00:00:00"/>
    <s v="C00369"/>
    <s v="Customer 369"/>
    <s v="Watch"/>
    <s v="Accessories"/>
    <s v="Fossil"/>
    <n v="3"/>
    <n v="2749"/>
    <n v="0.15"/>
    <n v="7009.95"/>
    <n v="1117.93"/>
    <s v="UPI"/>
    <s v="Delhi"/>
    <s v="Delhi"/>
    <s v="Priya"/>
    <s v="Shipped"/>
    <n v="1"/>
  </r>
  <r>
    <s v="O00370"/>
    <d v="2025-09-04T00:00:00"/>
    <s v="C00370"/>
    <s v="Customer 370"/>
    <s v="Laptop"/>
    <s v="Electronics"/>
    <s v="Dell"/>
    <n v="5"/>
    <n v="4419"/>
    <n v="0.05"/>
    <n v="20990.25"/>
    <n v="6041.04"/>
    <s v="UPI"/>
    <s v="Kochi"/>
    <s v="Kerala"/>
    <s v="John"/>
    <s v="Cancelled"/>
    <n v="3"/>
  </r>
  <r>
    <s v="O00371"/>
    <d v="2025-04-22T00:00:00"/>
    <s v="C00371"/>
    <s v="Customer 371"/>
    <s v="Phone"/>
    <s v="Electronics"/>
    <s v="Samsung"/>
    <n v="1"/>
    <n v="10101"/>
    <n v="0.2"/>
    <n v="8080.8"/>
    <n v="1755.33"/>
    <s v="Wallet"/>
    <s v="Kochi"/>
    <s v="Kerala"/>
    <s v="Priya"/>
    <s v="Cancelled"/>
    <n v="1"/>
  </r>
  <r>
    <s v="O00372"/>
    <d v="2025-12-28T00:00:00"/>
    <s v="C00372"/>
    <s v="Customer 372"/>
    <s v="Chair"/>
    <s v="Furniture"/>
    <s v="Ikea"/>
    <n v="5"/>
    <n v="4831"/>
    <n v="0.15"/>
    <n v="20531.75"/>
    <n v="3493.3"/>
    <s v="COD"/>
    <s v="Hyderabad"/>
    <s v="Telangana"/>
    <s v="John"/>
    <s v="Shipped"/>
    <n v="4"/>
  </r>
  <r>
    <s v="O00373"/>
    <d v="2025-02-24T00:00:00"/>
    <s v="C00373"/>
    <s v="Customer 373"/>
    <s v="Laptop"/>
    <s v="Electronics"/>
    <s v="Dell"/>
    <n v="5"/>
    <n v="6454"/>
    <n v="0.05"/>
    <n v="30656.5"/>
    <n v="7665.31"/>
    <s v="UPI"/>
    <s v="Chennai"/>
    <s v="Tamil Nadu"/>
    <s v="Rahul"/>
    <s v="Delivered"/>
    <n v="4"/>
  </r>
  <r>
    <s v="O00374"/>
    <d v="2025-06-09T00:00:00"/>
    <s v="C00374"/>
    <s v="Customer 374"/>
    <s v="Headphones"/>
    <s v="Electronics"/>
    <s v="Sony"/>
    <n v="4"/>
    <n v="1435"/>
    <n v="0"/>
    <n v="5740"/>
    <n v="591.41999999999996"/>
    <s v="UPI"/>
    <s v="Kochi"/>
    <s v="Kerala"/>
    <s v="Rahul"/>
    <s v="Delivered"/>
    <n v="2"/>
  </r>
  <r>
    <s v="O00375"/>
    <d v="2025-06-30T00:00:00"/>
    <s v="C00375"/>
    <s v="Customer 375"/>
    <s v="Laptop"/>
    <s v="Electronics"/>
    <s v="Dell"/>
    <n v="4"/>
    <n v="6148"/>
    <n v="0.05"/>
    <n v="23362.400000000001"/>
    <n v="6397.41"/>
    <s v="Card"/>
    <s v="Bengaluru"/>
    <s v="Karnataka"/>
    <s v="Priya"/>
    <s v="Cancelled"/>
    <n v="2"/>
  </r>
  <r>
    <s v="O00376"/>
    <d v="2025-04-29T00:00:00"/>
    <s v="C00376"/>
    <s v="Customer 376"/>
    <s v="Phone"/>
    <s v="Electronics"/>
    <s v="Samsung"/>
    <n v="3"/>
    <n v="9385"/>
    <n v="0.05"/>
    <n v="26747.25"/>
    <n v="6257.25"/>
    <s v="UPI"/>
    <s v="Kochi"/>
    <s v="Kerala"/>
    <s v="Rahul"/>
    <s v="Shipped"/>
    <n v="3"/>
  </r>
  <r>
    <s v="O00377"/>
    <d v="2025-06-23T00:00:00"/>
    <s v="C00377"/>
    <s v="Customer 377"/>
    <s v="Watch"/>
    <s v="Accessories"/>
    <s v="Fossil"/>
    <n v="4"/>
    <n v="3562"/>
    <n v="0.15"/>
    <n v="12110.8"/>
    <n v="3003.45"/>
    <s v="Card"/>
    <s v="Hyderabad"/>
    <s v="Telangana"/>
    <s v="Asha"/>
    <s v="Cancelled"/>
    <n v="2"/>
  </r>
  <r>
    <s v="O00378"/>
    <d v="2025-05-26T00:00:00"/>
    <s v="C00378"/>
    <s v="Customer 378"/>
    <s v="Laptop"/>
    <s v="Electronics"/>
    <s v="Dell"/>
    <n v="5"/>
    <n v="11902"/>
    <n v="0.05"/>
    <n v="56534.5"/>
    <n v="10361.879999999999"/>
    <s v="Wallet"/>
    <s v="Kochi"/>
    <s v="Kerala"/>
    <s v="Asha"/>
    <s v="Cancelled"/>
    <n v="3"/>
  </r>
  <r>
    <s v="O00379"/>
    <d v="2025-09-12T00:00:00"/>
    <s v="C00379"/>
    <s v="Customer 379"/>
    <s v="Mixer"/>
    <s v="Home"/>
    <s v="Philips"/>
    <n v="4"/>
    <n v="12187"/>
    <n v="0.1"/>
    <n v="43873.2"/>
    <n v="6082.3"/>
    <s v="COD"/>
    <s v="Bengaluru"/>
    <s v="Karnataka"/>
    <s v="Anil"/>
    <s v="Cancelled"/>
    <n v="2"/>
  </r>
  <r>
    <s v="O00380"/>
    <d v="2025-04-02T00:00:00"/>
    <s v="C00380"/>
    <s v="Customer 380"/>
    <s v="Headphones"/>
    <s v="Electronics"/>
    <s v="Sony"/>
    <n v="5"/>
    <n v="2831"/>
    <n v="0.1"/>
    <n v="12739.5"/>
    <n v="1345.81"/>
    <s v="Card"/>
    <s v="Mumbai"/>
    <s v="Maharashtra"/>
    <s v="Rahul"/>
    <s v="Returned"/>
    <n v="2"/>
  </r>
  <r>
    <s v="O00381"/>
    <d v="2025-01-12T00:00:00"/>
    <s v="C00381"/>
    <s v="Customer 381"/>
    <s v="Phone"/>
    <s v="Electronics"/>
    <s v="Samsung"/>
    <n v="2"/>
    <n v="12550"/>
    <n v="0.1"/>
    <n v="22590"/>
    <n v="3270.09"/>
    <s v="COD"/>
    <s v="Hyderabad"/>
    <s v="Telangana"/>
    <s v="Anil"/>
    <s v="Returned"/>
    <n v="1"/>
  </r>
  <r>
    <s v="O00382"/>
    <d v="2025-06-10T00:00:00"/>
    <s v="C00382"/>
    <s v="Customer 382"/>
    <s v="Mixer"/>
    <s v="Home"/>
    <s v="Philips"/>
    <n v="4"/>
    <n v="11245"/>
    <n v="0.1"/>
    <n v="40482"/>
    <n v="12040.73"/>
    <s v="Net Banking"/>
    <s v="Delhi"/>
    <s v="Delhi"/>
    <s v="Rahul"/>
    <s v="Returned"/>
    <n v="5"/>
  </r>
  <r>
    <s v="O00383"/>
    <d v="2025-07-15T00:00:00"/>
    <s v="C00383"/>
    <s v="Customer 383"/>
    <s v="Headphones"/>
    <s v="Electronics"/>
    <s v="Sony"/>
    <n v="5"/>
    <n v="5175"/>
    <n v="0.15"/>
    <n v="21993.75"/>
    <n v="4579.97"/>
    <s v="Wallet"/>
    <s v="Mumbai"/>
    <s v="Maharashtra"/>
    <s v="Asha"/>
    <s v="Delivered"/>
    <n v="1"/>
  </r>
  <r>
    <s v="O00384"/>
    <d v="2025-01-10T00:00:00"/>
    <s v="C00384"/>
    <s v="Customer 384"/>
    <s v="Laptop"/>
    <s v="Electronics"/>
    <s v="Dell"/>
    <n v="2"/>
    <n v="7848"/>
    <n v="0"/>
    <n v="15696"/>
    <n v="3775.64"/>
    <s v="COD"/>
    <s v="Delhi"/>
    <s v="Delhi"/>
    <s v="John"/>
    <s v="Delivered"/>
    <n v="3"/>
  </r>
  <r>
    <s v="O00385"/>
    <d v="2025-08-31T00:00:00"/>
    <s v="C00385"/>
    <s v="Customer 385"/>
    <s v="Laptop"/>
    <s v="Electronics"/>
    <s v="Dell"/>
    <n v="3"/>
    <n v="14247"/>
    <n v="0.2"/>
    <n v="34192.800000000003"/>
    <n v="7610.53"/>
    <s v="Card"/>
    <s v="Bengaluru"/>
    <s v="Karnataka"/>
    <s v="Anil"/>
    <s v="Returned"/>
    <n v="1"/>
  </r>
  <r>
    <s v="O00386"/>
    <d v="2025-06-28T00:00:00"/>
    <s v="C00386"/>
    <s v="Customer 386"/>
    <s v="Shoes"/>
    <s v="Fashion"/>
    <s v="Nike"/>
    <n v="5"/>
    <n v="14250"/>
    <n v="0.1"/>
    <n v="64125"/>
    <n v="8539.66"/>
    <s v="Net Banking"/>
    <s v="Delhi"/>
    <s v="Delhi"/>
    <s v="Asha"/>
    <s v="Shipped"/>
    <n v="2"/>
  </r>
  <r>
    <s v="O00387"/>
    <d v="2025-11-07T00:00:00"/>
    <s v="C00387"/>
    <s v="Customer 387"/>
    <s v="Book"/>
    <s v="Books"/>
    <s v="Penguin"/>
    <n v="5"/>
    <n v="7885"/>
    <n v="0"/>
    <n v="39425"/>
    <n v="9125.17"/>
    <s v="UPI"/>
    <s v="Hyderabad"/>
    <s v="Telangana"/>
    <s v="Anil"/>
    <s v="Returned"/>
    <n v="3"/>
  </r>
  <r>
    <s v="O00388"/>
    <d v="2025-08-11T00:00:00"/>
    <s v="C00388"/>
    <s v="Customer 388"/>
    <s v="Headphones"/>
    <s v="Electronics"/>
    <s v="Sony"/>
    <n v="4"/>
    <n v="1933"/>
    <n v="0"/>
    <n v="7732"/>
    <n v="1574.19"/>
    <s v="Card"/>
    <s v="Hyderabad"/>
    <s v="Telangana"/>
    <s v="Rahul"/>
    <s v="Cancelled"/>
    <n v="1"/>
  </r>
  <r>
    <s v="O00389"/>
    <d v="2025-05-04T00:00:00"/>
    <s v="C00389"/>
    <s v="Customer 389"/>
    <s v="Mixer"/>
    <s v="Home"/>
    <s v="Philips"/>
    <n v="4"/>
    <n v="2169"/>
    <n v="0.15"/>
    <n v="7374.6"/>
    <n v="988.02"/>
    <s v="Net Banking"/>
    <s v="Kochi"/>
    <s v="Kerala"/>
    <s v="Priya"/>
    <s v="Cancelled"/>
    <n v="3"/>
  </r>
  <r>
    <s v="O00390"/>
    <d v="2025-08-12T00:00:00"/>
    <s v="C00390"/>
    <s v="Customer 390"/>
    <s v="Watch"/>
    <s v="Accessories"/>
    <s v="Fossil"/>
    <n v="5"/>
    <n v="9751"/>
    <n v="0"/>
    <n v="48755"/>
    <n v="9584.06"/>
    <s v="COD"/>
    <s v="Mumbai"/>
    <s v="Maharashtra"/>
    <s v="John"/>
    <s v="Shipped"/>
    <n v="5"/>
  </r>
  <r>
    <s v="O00391"/>
    <d v="2025-10-16T00:00:00"/>
    <s v="C00391"/>
    <s v="Customer 391"/>
    <s v="Headphones"/>
    <s v="Electronics"/>
    <s v="Sony"/>
    <n v="5"/>
    <n v="3102"/>
    <n v="0"/>
    <n v="15510"/>
    <n v="1442.27"/>
    <s v="Wallet"/>
    <s v="Delhi"/>
    <s v="Delhi"/>
    <s v="Anil"/>
    <s v="Delivered"/>
    <n v="3"/>
  </r>
  <r>
    <s v="O00392"/>
    <d v="2025-01-10T00:00:00"/>
    <s v="C00392"/>
    <s v="Customer 392"/>
    <s v="Headphones"/>
    <s v="Electronics"/>
    <s v="Sony"/>
    <n v="2"/>
    <n v="11101"/>
    <n v="0"/>
    <n v="22202"/>
    <n v="3499.35"/>
    <s v="COD"/>
    <s v="Hyderabad"/>
    <s v="Telangana"/>
    <s v="John"/>
    <s v="Shipped"/>
    <n v="1"/>
  </r>
  <r>
    <s v="O00393"/>
    <d v="2025-05-03T00:00:00"/>
    <s v="C00393"/>
    <s v="Customer 393"/>
    <s v="Shoes"/>
    <s v="Fashion"/>
    <s v="Nike"/>
    <n v="3"/>
    <n v="14801"/>
    <n v="0.2"/>
    <n v="35522.400000000001"/>
    <n v="5083.93"/>
    <s v="UPI"/>
    <s v="Kochi"/>
    <s v="Kerala"/>
    <s v="John"/>
    <s v="Shipped"/>
    <n v="1"/>
  </r>
  <r>
    <s v="O00394"/>
    <d v="2025-12-09T00:00:00"/>
    <s v="C00394"/>
    <s v="Customer 394"/>
    <s v="Shoes"/>
    <s v="Fashion"/>
    <s v="Nike"/>
    <n v="3"/>
    <n v="2695"/>
    <n v="0.1"/>
    <n v="7276.5"/>
    <n v="1163.98"/>
    <s v="Wallet"/>
    <s v="Bengaluru"/>
    <s v="Karnataka"/>
    <s v="Asha"/>
    <s v="Cancelled"/>
    <n v="2"/>
  </r>
  <r>
    <s v="O00395"/>
    <d v="2025-01-02T00:00:00"/>
    <s v="C00395"/>
    <s v="Customer 395"/>
    <s v="Book"/>
    <s v="Books"/>
    <s v="Penguin"/>
    <n v="2"/>
    <n v="11052"/>
    <n v="0.1"/>
    <n v="19893.599999999999"/>
    <n v="2781.27"/>
    <s v="Net Banking"/>
    <s v="Chennai"/>
    <s v="Tamil Nadu"/>
    <s v="John"/>
    <s v="Returned"/>
    <n v="3"/>
  </r>
  <r>
    <s v="O00396"/>
    <d v="2025-06-28T00:00:00"/>
    <s v="C00396"/>
    <s v="Customer 396"/>
    <s v="Book"/>
    <s v="Books"/>
    <s v="Penguin"/>
    <n v="5"/>
    <n v="270"/>
    <n v="0.2"/>
    <n v="1080"/>
    <n v="317.66000000000003"/>
    <s v="COD"/>
    <s v="Bengaluru"/>
    <s v="Karnataka"/>
    <s v="Rahul"/>
    <s v="Delivered"/>
    <n v="1"/>
  </r>
  <r>
    <s v="O00397"/>
    <d v="2025-07-10T00:00:00"/>
    <s v="C00397"/>
    <s v="Customer 397"/>
    <s v="Shoes"/>
    <s v="Fashion"/>
    <s v="Nike"/>
    <n v="5"/>
    <n v="221"/>
    <n v="0"/>
    <n v="1105"/>
    <n v="106.59"/>
    <s v="Card"/>
    <s v="Hyderabad"/>
    <s v="Telangana"/>
    <s v="Asha"/>
    <s v="Delivered"/>
    <n v="2"/>
  </r>
  <r>
    <s v="O00398"/>
    <d v="2025-05-27T00:00:00"/>
    <s v="C00398"/>
    <s v="Customer 398"/>
    <s v="Headphones"/>
    <s v="Electronics"/>
    <s v="Sony"/>
    <n v="2"/>
    <n v="7670"/>
    <n v="0.1"/>
    <n v="13806"/>
    <n v="3981.92"/>
    <s v="COD"/>
    <s v="Bengaluru"/>
    <s v="Karnataka"/>
    <s v="Priya"/>
    <s v="Delivered"/>
    <n v="2"/>
  </r>
  <r>
    <s v="O00399"/>
    <d v="2025-10-06T00:00:00"/>
    <s v="C00399"/>
    <s v="Customer 399"/>
    <s v="Chair"/>
    <s v="Furniture"/>
    <s v="Ikea"/>
    <n v="1"/>
    <n v="13526"/>
    <n v="0.05"/>
    <n v="12849.7"/>
    <n v="2325.41"/>
    <s v="Card"/>
    <s v="Hyderabad"/>
    <s v="Telangana"/>
    <s v="Anil"/>
    <s v="Delivered"/>
    <n v="1"/>
  </r>
  <r>
    <s v="O00400"/>
    <d v="2025-05-20T00:00:00"/>
    <s v="C00400"/>
    <s v="Customer 400"/>
    <s v="Book"/>
    <s v="Books"/>
    <s v="Penguin"/>
    <n v="1"/>
    <n v="2520"/>
    <n v="0.2"/>
    <n v="2016"/>
    <n v="390.66"/>
    <s v="Net Banking"/>
    <s v="Delhi"/>
    <s v="Delhi"/>
    <s v="Priya"/>
    <s v="Cancelled"/>
    <n v="5"/>
  </r>
  <r>
    <s v="O00401"/>
    <d v="2025-10-28T00:00:00"/>
    <s v="C00401"/>
    <s v="Customer 401"/>
    <s v="Book"/>
    <s v="Books"/>
    <s v="Penguin"/>
    <n v="2"/>
    <n v="12838"/>
    <n v="0.05"/>
    <n v="24392.2"/>
    <n v="2154.2199999999998"/>
    <s v="Wallet"/>
    <s v="Chennai"/>
    <s v="Tamil Nadu"/>
    <s v="Asha"/>
    <s v="Returned"/>
    <n v="3"/>
  </r>
  <r>
    <s v="O00402"/>
    <d v="2025-08-25T00:00:00"/>
    <s v="C00402"/>
    <s v="Customer 402"/>
    <s v="Chair"/>
    <s v="Furniture"/>
    <s v="Ikea"/>
    <n v="4"/>
    <n v="7205"/>
    <n v="0.2"/>
    <n v="23056"/>
    <n v="1983.31"/>
    <s v="UPI"/>
    <s v="Delhi"/>
    <s v="Delhi"/>
    <s v="Asha"/>
    <s v="Delivered"/>
    <n v="3"/>
  </r>
  <r>
    <s v="O00403"/>
    <d v="2025-09-30T00:00:00"/>
    <s v="C00403"/>
    <s v="Customer 403"/>
    <s v="Headphones"/>
    <s v="Electronics"/>
    <s v="Sony"/>
    <n v="5"/>
    <n v="12488"/>
    <n v="0"/>
    <n v="62440"/>
    <n v="13507.83"/>
    <s v="UPI"/>
    <s v="Kochi"/>
    <s v="Kerala"/>
    <s v="Priya"/>
    <s v="Returned"/>
    <n v="4"/>
  </r>
  <r>
    <s v="O00404"/>
    <d v="2025-03-08T00:00:00"/>
    <s v="C00404"/>
    <s v="Customer 404"/>
    <s v="Headphones"/>
    <s v="Electronics"/>
    <s v="Sony"/>
    <n v="2"/>
    <n v="12481"/>
    <n v="0.15"/>
    <n v="21217.7"/>
    <n v="2360.46"/>
    <s v="Net Banking"/>
    <s v="Delhi"/>
    <s v="Delhi"/>
    <s v="Priya"/>
    <s v="Returned"/>
    <n v="2"/>
  </r>
  <r>
    <s v="O00405"/>
    <d v="2025-11-13T00:00:00"/>
    <s v="C00405"/>
    <s v="Customer 405"/>
    <s v="Shoes"/>
    <s v="Fashion"/>
    <s v="Nike"/>
    <n v="5"/>
    <n v="12950"/>
    <n v="0.2"/>
    <n v="51800"/>
    <n v="9148.83"/>
    <s v="Card"/>
    <s v="Mumbai"/>
    <s v="Maharashtra"/>
    <s v="Asha"/>
    <s v="Shipped"/>
    <n v="1"/>
  </r>
  <r>
    <s v="O00406"/>
    <d v="2025-07-13T00:00:00"/>
    <s v="C00406"/>
    <s v="Customer 406"/>
    <s v="Phone"/>
    <s v="Electronics"/>
    <s v="Samsung"/>
    <n v="2"/>
    <n v="2828"/>
    <n v="0.1"/>
    <n v="5090.3999999999996"/>
    <n v="527.30999999999995"/>
    <s v="UPI"/>
    <s v="Kochi"/>
    <s v="Kerala"/>
    <s v="Asha"/>
    <s v="Delivered"/>
    <n v="3"/>
  </r>
  <r>
    <s v="O00407"/>
    <d v="2025-01-18T00:00:00"/>
    <s v="C00407"/>
    <s v="Customer 407"/>
    <s v="Watch"/>
    <s v="Accessories"/>
    <s v="Fossil"/>
    <n v="1"/>
    <n v="13424"/>
    <n v="0"/>
    <n v="13424"/>
    <n v="1526.27"/>
    <s v="COD"/>
    <s v="Mumbai"/>
    <s v="Maharashtra"/>
    <s v="Priya"/>
    <s v="Returned"/>
    <n v="4"/>
  </r>
  <r>
    <s v="O00408"/>
    <d v="2025-03-08T00:00:00"/>
    <s v="C00408"/>
    <s v="Customer 408"/>
    <s v="Laptop"/>
    <s v="Electronics"/>
    <s v="Dell"/>
    <n v="3"/>
    <n v="13397"/>
    <n v="0"/>
    <n v="40191"/>
    <n v="4515.83"/>
    <s v="Net Banking"/>
    <s v="Delhi"/>
    <s v="Delhi"/>
    <s v="Priya"/>
    <s v="Shipped"/>
    <n v="3"/>
  </r>
  <r>
    <s v="O00409"/>
    <d v="2025-02-10T00:00:00"/>
    <s v="C00409"/>
    <s v="Customer 409"/>
    <s v="Watch"/>
    <s v="Accessories"/>
    <s v="Fossil"/>
    <n v="2"/>
    <n v="4009"/>
    <n v="0.15"/>
    <n v="6815.3"/>
    <n v="1569.5"/>
    <s v="COD"/>
    <s v="Chennai"/>
    <s v="Tamil Nadu"/>
    <s v="Asha"/>
    <s v="Returned"/>
    <n v="1"/>
  </r>
  <r>
    <s v="O00410"/>
    <d v="2025-02-13T00:00:00"/>
    <s v="C00410"/>
    <s v="Customer 410"/>
    <s v="Laptop"/>
    <s v="Electronics"/>
    <s v="Dell"/>
    <n v="4"/>
    <n v="7361"/>
    <n v="0.1"/>
    <n v="26499.599999999999"/>
    <n v="3583.36"/>
    <s v="Card"/>
    <s v="Chennai"/>
    <s v="Tamil Nadu"/>
    <s v="Anil"/>
    <s v="Cancelled"/>
    <n v="1"/>
  </r>
  <r>
    <s v="O00411"/>
    <d v="2025-08-10T00:00:00"/>
    <s v="C00411"/>
    <s v="Customer 411"/>
    <s v="Phone"/>
    <s v="Electronics"/>
    <s v="Samsung"/>
    <n v="4"/>
    <n v="5440"/>
    <n v="0.05"/>
    <n v="20672"/>
    <n v="4755.09"/>
    <s v="Net Banking"/>
    <s v="Hyderabad"/>
    <s v="Telangana"/>
    <s v="John"/>
    <s v="Returned"/>
    <n v="4"/>
  </r>
  <r>
    <s v="O00412"/>
    <d v="2025-10-23T00:00:00"/>
    <s v="C00412"/>
    <s v="Customer 412"/>
    <s v="Phone"/>
    <s v="Electronics"/>
    <s v="Samsung"/>
    <n v="1"/>
    <n v="2979"/>
    <n v="0.15"/>
    <n v="2532.15"/>
    <n v="365.66"/>
    <s v="COD"/>
    <s v="Delhi"/>
    <s v="Delhi"/>
    <s v="Priya"/>
    <s v="Returned"/>
    <n v="1"/>
  </r>
  <r>
    <s v="O00413"/>
    <d v="2025-10-02T00:00:00"/>
    <s v="C00413"/>
    <s v="Customer 413"/>
    <s v="Mixer"/>
    <s v="Home"/>
    <s v="Philips"/>
    <n v="3"/>
    <n v="10033"/>
    <n v="0.05"/>
    <n v="28594.05"/>
    <n v="3692.41"/>
    <s v="Card"/>
    <s v="Hyderabad"/>
    <s v="Telangana"/>
    <s v="John"/>
    <s v="Delivered"/>
    <n v="4"/>
  </r>
  <r>
    <s v="O00414"/>
    <d v="2025-01-17T00:00:00"/>
    <s v="C00414"/>
    <s v="Customer 414"/>
    <s v="Headphones"/>
    <s v="Electronics"/>
    <s v="Sony"/>
    <n v="3"/>
    <n v="6306"/>
    <n v="0.05"/>
    <n v="17972.099999999999"/>
    <n v="4996.32"/>
    <s v="Wallet"/>
    <s v="Delhi"/>
    <s v="Delhi"/>
    <s v="Priya"/>
    <s v="Cancelled"/>
    <n v="3"/>
  </r>
  <r>
    <s v="O00415"/>
    <d v="2025-04-09T00:00:00"/>
    <s v="C00415"/>
    <s v="Customer 415"/>
    <s v="Shoes"/>
    <s v="Fashion"/>
    <s v="Nike"/>
    <n v="4"/>
    <n v="1560"/>
    <n v="0.05"/>
    <n v="5928"/>
    <n v="1688.54"/>
    <s v="Net Banking"/>
    <s v="Mumbai"/>
    <s v="Maharashtra"/>
    <s v="John"/>
    <s v="Cancelled"/>
    <n v="1"/>
  </r>
  <r>
    <s v="O00416"/>
    <d v="2025-04-15T00:00:00"/>
    <s v="C00416"/>
    <s v="Customer 416"/>
    <s v="Laptop"/>
    <s v="Electronics"/>
    <s v="Dell"/>
    <n v="2"/>
    <n v="14511"/>
    <n v="0.1"/>
    <n v="26119.8"/>
    <n v="3279.74"/>
    <s v="Net Banking"/>
    <s v="Chennai"/>
    <s v="Tamil Nadu"/>
    <s v="Anil"/>
    <s v="Returned"/>
    <n v="3"/>
  </r>
  <r>
    <s v="O00417"/>
    <d v="2025-06-14T00:00:00"/>
    <s v="C00417"/>
    <s v="Customer 417"/>
    <s v="Watch"/>
    <s v="Accessories"/>
    <s v="Fossil"/>
    <n v="1"/>
    <n v="14441"/>
    <n v="0.1"/>
    <n v="12996.9"/>
    <n v="2073.34"/>
    <s v="Net Banking"/>
    <s v="Bengaluru"/>
    <s v="Karnataka"/>
    <s v="Rahul"/>
    <s v="Returned"/>
    <n v="3"/>
  </r>
  <r>
    <s v="O00418"/>
    <d v="2025-10-12T00:00:00"/>
    <s v="C00418"/>
    <s v="Customer 418"/>
    <s v="Headphones"/>
    <s v="Electronics"/>
    <s v="Sony"/>
    <n v="2"/>
    <n v="1728"/>
    <n v="0.1"/>
    <n v="3110.4"/>
    <n v="392.38"/>
    <s v="UPI"/>
    <s v="Delhi"/>
    <s v="Delhi"/>
    <s v="Asha"/>
    <s v="Cancelled"/>
    <n v="2"/>
  </r>
  <r>
    <s v="O00419"/>
    <d v="2025-02-17T00:00:00"/>
    <s v="C00419"/>
    <s v="Customer 419"/>
    <s v="Headphones"/>
    <s v="Electronics"/>
    <s v="Sony"/>
    <n v="5"/>
    <n v="1863"/>
    <n v="0.15"/>
    <n v="7917.75"/>
    <n v="1718.45"/>
    <s v="UPI"/>
    <s v="Delhi"/>
    <s v="Delhi"/>
    <s v="Anil"/>
    <s v="Returned"/>
    <n v="5"/>
  </r>
  <r>
    <s v="O00420"/>
    <d v="2025-11-09T00:00:00"/>
    <s v="C00420"/>
    <s v="Customer 420"/>
    <s v="Chair"/>
    <s v="Furniture"/>
    <s v="Ikea"/>
    <n v="1"/>
    <n v="12801"/>
    <n v="0.2"/>
    <n v="10240.799999999999"/>
    <n v="1867.12"/>
    <s v="COD"/>
    <s v="Chennai"/>
    <s v="Tamil Nadu"/>
    <s v="Asha"/>
    <s v="Returned"/>
    <n v="3"/>
  </r>
  <r>
    <s v="O00421"/>
    <d v="2025-03-14T00:00:00"/>
    <s v="C00421"/>
    <s v="Customer 421"/>
    <s v="Headphones"/>
    <s v="Electronics"/>
    <s v="Sony"/>
    <n v="3"/>
    <n v="12847"/>
    <n v="0.1"/>
    <n v="34686.9"/>
    <n v="8592.34"/>
    <s v="Card"/>
    <s v="Hyderabad"/>
    <s v="Telangana"/>
    <s v="Priya"/>
    <s v="Cancelled"/>
    <n v="3"/>
  </r>
  <r>
    <s v="O00422"/>
    <d v="2025-05-18T00:00:00"/>
    <s v="C00422"/>
    <s v="Customer 422"/>
    <s v="Laptop"/>
    <s v="Electronics"/>
    <s v="Dell"/>
    <n v="2"/>
    <n v="11233"/>
    <n v="0.05"/>
    <n v="21342.7"/>
    <n v="6182.12"/>
    <s v="Net Banking"/>
    <s v="Kochi"/>
    <s v="Kerala"/>
    <s v="Asha"/>
    <s v="Cancelled"/>
    <n v="4"/>
  </r>
  <r>
    <s v="O00423"/>
    <d v="2025-11-18T00:00:00"/>
    <s v="C00423"/>
    <s v="Customer 423"/>
    <s v="Headphones"/>
    <s v="Electronics"/>
    <s v="Sony"/>
    <n v="1"/>
    <n v="4058"/>
    <n v="0"/>
    <n v="4058"/>
    <n v="1041.8599999999999"/>
    <s v="COD"/>
    <s v="Delhi"/>
    <s v="Delhi"/>
    <s v="Priya"/>
    <s v="Cancelled"/>
    <n v="3"/>
  </r>
  <r>
    <s v="O00424"/>
    <d v="2025-04-14T00:00:00"/>
    <s v="C00424"/>
    <s v="Customer 424"/>
    <s v="Chair"/>
    <s v="Furniture"/>
    <s v="Ikea"/>
    <n v="4"/>
    <n v="4573"/>
    <n v="0.05"/>
    <n v="17377.400000000001"/>
    <n v="1948.13"/>
    <s v="Card"/>
    <s v="Hyderabad"/>
    <s v="Telangana"/>
    <s v="Anil"/>
    <s v="Cancelled"/>
    <n v="1"/>
  </r>
  <r>
    <s v="O00425"/>
    <d v="2025-04-25T00:00:00"/>
    <s v="C00425"/>
    <s v="Customer 425"/>
    <s v="Shoes"/>
    <s v="Fashion"/>
    <s v="Nike"/>
    <n v="4"/>
    <n v="9723"/>
    <n v="0.15"/>
    <n v="33058.199999999997"/>
    <n v="4857.5"/>
    <s v="UPI"/>
    <s v="Kochi"/>
    <s v="Kerala"/>
    <s v="Anil"/>
    <s v="Delivered"/>
    <n v="2"/>
  </r>
  <r>
    <s v="O00426"/>
    <d v="2025-12-13T00:00:00"/>
    <s v="C00426"/>
    <s v="Customer 426"/>
    <s v="Laptop"/>
    <s v="Electronics"/>
    <s v="Dell"/>
    <n v="1"/>
    <n v="7819"/>
    <n v="0.05"/>
    <n v="7428.05"/>
    <n v="1627.22"/>
    <s v="Wallet"/>
    <s v="Mumbai"/>
    <s v="Maharashtra"/>
    <s v="Rahul"/>
    <s v="Shipped"/>
    <n v="5"/>
  </r>
  <r>
    <s v="O00427"/>
    <d v="2025-03-23T00:00:00"/>
    <s v="C00427"/>
    <s v="Customer 427"/>
    <s v="Shoes"/>
    <s v="Fashion"/>
    <s v="Nike"/>
    <n v="2"/>
    <n v="7245"/>
    <n v="0.1"/>
    <n v="13041"/>
    <n v="2950.18"/>
    <s v="Net Banking"/>
    <s v="Bengaluru"/>
    <s v="Karnataka"/>
    <s v="Priya"/>
    <s v="Shipped"/>
    <n v="5"/>
  </r>
  <r>
    <s v="O00428"/>
    <d v="2025-05-24T00:00:00"/>
    <s v="C00428"/>
    <s v="Customer 428"/>
    <s v="Shoes"/>
    <s v="Fashion"/>
    <s v="Nike"/>
    <n v="2"/>
    <n v="13679"/>
    <n v="0.05"/>
    <n v="25990.1"/>
    <n v="3660.76"/>
    <s v="Wallet"/>
    <s v="Bengaluru"/>
    <s v="Karnataka"/>
    <s v="Anil"/>
    <s v="Cancelled"/>
    <n v="5"/>
  </r>
  <r>
    <s v="O00429"/>
    <d v="2025-08-04T00:00:00"/>
    <s v="C00429"/>
    <s v="Customer 429"/>
    <s v="Chair"/>
    <s v="Furniture"/>
    <s v="Ikea"/>
    <n v="1"/>
    <n v="4641"/>
    <n v="0.2"/>
    <n v="3712.8"/>
    <n v="329.52"/>
    <s v="Wallet"/>
    <s v="Delhi"/>
    <s v="Delhi"/>
    <s v="John"/>
    <s v="Cancelled"/>
    <n v="1"/>
  </r>
  <r>
    <s v="O00430"/>
    <d v="2025-02-22T00:00:00"/>
    <s v="C00430"/>
    <s v="Customer 430"/>
    <s v="Mixer"/>
    <s v="Home"/>
    <s v="Philips"/>
    <n v="5"/>
    <n v="2176"/>
    <n v="0.2"/>
    <n v="8704"/>
    <n v="1831.52"/>
    <s v="Net Banking"/>
    <s v="Kochi"/>
    <s v="Kerala"/>
    <s v="Rahul"/>
    <s v="Shipped"/>
    <n v="4"/>
  </r>
  <r>
    <s v="O00431"/>
    <d v="2025-09-21T00:00:00"/>
    <s v="C00431"/>
    <s v="Customer 431"/>
    <s v="Chair"/>
    <s v="Furniture"/>
    <s v="Ikea"/>
    <n v="2"/>
    <n v="1700"/>
    <n v="0.15"/>
    <n v="2890"/>
    <n v="579.27"/>
    <s v="Net Banking"/>
    <s v="Chennai"/>
    <s v="Tamil Nadu"/>
    <s v="Anil"/>
    <s v="Returned"/>
    <n v="2"/>
  </r>
  <r>
    <s v="O00432"/>
    <d v="2025-10-27T00:00:00"/>
    <s v="C00432"/>
    <s v="Customer 432"/>
    <s v="Chair"/>
    <s v="Furniture"/>
    <s v="Ikea"/>
    <n v="3"/>
    <n v="2953"/>
    <n v="0.1"/>
    <n v="7973.1"/>
    <n v="739.61"/>
    <s v="UPI"/>
    <s v="Chennai"/>
    <s v="Tamil Nadu"/>
    <s v="Rahul"/>
    <s v="Returned"/>
    <n v="1"/>
  </r>
  <r>
    <s v="O00433"/>
    <d v="2025-08-18T00:00:00"/>
    <s v="C00433"/>
    <s v="Customer 433"/>
    <s v="Chair"/>
    <s v="Furniture"/>
    <s v="Ikea"/>
    <n v="4"/>
    <n v="2782"/>
    <n v="0.1"/>
    <n v="10015.200000000001"/>
    <n v="1752.42"/>
    <s v="UPI"/>
    <s v="Kochi"/>
    <s v="Kerala"/>
    <s v="Priya"/>
    <s v="Returned"/>
    <n v="2"/>
  </r>
  <r>
    <s v="O00434"/>
    <d v="2025-01-02T00:00:00"/>
    <s v="C00434"/>
    <s v="Customer 434"/>
    <s v="Shoes"/>
    <s v="Fashion"/>
    <s v="Nike"/>
    <n v="4"/>
    <n v="3915"/>
    <n v="0.2"/>
    <n v="12528"/>
    <n v="3436.09"/>
    <s v="Net Banking"/>
    <s v="Hyderabad"/>
    <s v="Telangana"/>
    <s v="Asha"/>
    <s v="Delivered"/>
    <n v="2"/>
  </r>
  <r>
    <s v="O00435"/>
    <d v="2025-08-18T00:00:00"/>
    <s v="C00435"/>
    <s v="Customer 435"/>
    <s v="Phone"/>
    <s v="Electronics"/>
    <s v="Samsung"/>
    <n v="1"/>
    <n v="10034"/>
    <n v="0"/>
    <n v="10034"/>
    <n v="2910.5"/>
    <s v="Card"/>
    <s v="Bengaluru"/>
    <s v="Karnataka"/>
    <s v="Rahul"/>
    <s v="Delivered"/>
    <n v="2"/>
  </r>
  <r>
    <s v="O00436"/>
    <d v="2025-02-01T00:00:00"/>
    <s v="C00436"/>
    <s v="Customer 436"/>
    <s v="Headphones"/>
    <s v="Electronics"/>
    <s v="Sony"/>
    <n v="4"/>
    <n v="313"/>
    <n v="0.15"/>
    <n v="1064.2"/>
    <n v="148.26"/>
    <s v="COD"/>
    <s v="Mumbai"/>
    <s v="Maharashtra"/>
    <s v="Priya"/>
    <s v="Cancelled"/>
    <n v="3"/>
  </r>
  <r>
    <s v="O00437"/>
    <d v="2025-01-27T00:00:00"/>
    <s v="C00437"/>
    <s v="Customer 437"/>
    <s v="Laptop"/>
    <s v="Electronics"/>
    <s v="Dell"/>
    <n v="1"/>
    <n v="3565"/>
    <n v="0"/>
    <n v="3565"/>
    <n v="935.94"/>
    <s v="UPI"/>
    <s v="Bengaluru"/>
    <s v="Karnataka"/>
    <s v="Asha"/>
    <s v="Delivered"/>
    <n v="2"/>
  </r>
  <r>
    <s v="O00438"/>
    <d v="2025-11-09T00:00:00"/>
    <s v="C00438"/>
    <s v="Customer 438"/>
    <s v="Laptop"/>
    <s v="Electronics"/>
    <s v="Dell"/>
    <n v="3"/>
    <n v="9244"/>
    <n v="0.15"/>
    <n v="23572.2"/>
    <n v="6131.27"/>
    <s v="Net Banking"/>
    <s v="Mumbai"/>
    <s v="Maharashtra"/>
    <s v="Asha"/>
    <s v="Delivered"/>
    <n v="4"/>
  </r>
  <r>
    <s v="O00439"/>
    <d v="2025-03-26T00:00:00"/>
    <s v="C00439"/>
    <s v="Customer 439"/>
    <s v="Book"/>
    <s v="Books"/>
    <s v="Penguin"/>
    <n v="3"/>
    <n v="4794"/>
    <n v="0.15"/>
    <n v="12224.7"/>
    <n v="3080.19"/>
    <s v="Net Banking"/>
    <s v="Hyderabad"/>
    <s v="Telangana"/>
    <s v="Rahul"/>
    <s v="Shipped"/>
    <n v="1"/>
  </r>
  <r>
    <s v="O00440"/>
    <d v="2025-11-03T00:00:00"/>
    <s v="C00440"/>
    <s v="Customer 440"/>
    <s v="Phone"/>
    <s v="Electronics"/>
    <s v="Samsung"/>
    <n v="2"/>
    <n v="7407"/>
    <n v="0.15"/>
    <n v="12591.9"/>
    <n v="2521.9899999999998"/>
    <s v="Card"/>
    <s v="Delhi"/>
    <s v="Delhi"/>
    <s v="John"/>
    <s v="Shipped"/>
    <n v="2"/>
  </r>
  <r>
    <s v="O00441"/>
    <d v="2025-07-04T00:00:00"/>
    <s v="C00441"/>
    <s v="Customer 441"/>
    <s v="Headphones"/>
    <s v="Electronics"/>
    <s v="Sony"/>
    <n v="4"/>
    <n v="7306"/>
    <n v="0.1"/>
    <n v="26301.599999999999"/>
    <n v="7860.25"/>
    <s v="Card"/>
    <s v="Delhi"/>
    <s v="Delhi"/>
    <s v="Rahul"/>
    <s v="Cancelled"/>
    <n v="2"/>
  </r>
  <r>
    <s v="O00442"/>
    <d v="2025-07-09T00:00:00"/>
    <s v="C00442"/>
    <s v="Customer 442"/>
    <s v="Laptop"/>
    <s v="Electronics"/>
    <s v="Dell"/>
    <n v="3"/>
    <n v="14306"/>
    <n v="0.15"/>
    <n v="36480.300000000003"/>
    <n v="8721.91"/>
    <s v="Net Banking"/>
    <s v="Chennai"/>
    <s v="Tamil Nadu"/>
    <s v="John"/>
    <s v="Shipped"/>
    <n v="4"/>
  </r>
  <r>
    <s v="O00443"/>
    <d v="2025-07-01T00:00:00"/>
    <s v="C00443"/>
    <s v="Customer 443"/>
    <s v="Mixer"/>
    <s v="Home"/>
    <s v="Philips"/>
    <n v="1"/>
    <n v="384"/>
    <n v="0"/>
    <n v="384"/>
    <n v="97.66"/>
    <s v="Card"/>
    <s v="Bengaluru"/>
    <s v="Karnataka"/>
    <s v="Priya"/>
    <s v="Returned"/>
    <n v="1"/>
  </r>
  <r>
    <s v="O00444"/>
    <d v="2025-09-30T00:00:00"/>
    <s v="C00444"/>
    <s v="Customer 444"/>
    <s v="Shoes"/>
    <s v="Fashion"/>
    <s v="Nike"/>
    <n v="4"/>
    <n v="1379"/>
    <n v="0.2"/>
    <n v="4412.8"/>
    <n v="1004.39"/>
    <s v="COD"/>
    <s v="Chennai"/>
    <s v="Tamil Nadu"/>
    <s v="Anil"/>
    <s v="Cancelled"/>
    <n v="2"/>
  </r>
  <r>
    <s v="O00445"/>
    <d v="2025-04-24T00:00:00"/>
    <s v="C00445"/>
    <s v="Customer 445"/>
    <s v="Shoes"/>
    <s v="Fashion"/>
    <s v="Nike"/>
    <n v="3"/>
    <n v="11733"/>
    <n v="0.1"/>
    <n v="31679.1"/>
    <n v="4337.72"/>
    <s v="Net Banking"/>
    <s v="Bengaluru"/>
    <s v="Karnataka"/>
    <s v="Rahul"/>
    <s v="Returned"/>
    <n v="2"/>
  </r>
  <r>
    <s v="O00446"/>
    <d v="2025-02-09T00:00:00"/>
    <s v="C00446"/>
    <s v="Customer 446"/>
    <s v="Phone"/>
    <s v="Electronics"/>
    <s v="Samsung"/>
    <n v="3"/>
    <n v="2439"/>
    <n v="0"/>
    <n v="7317"/>
    <n v="1227.79"/>
    <s v="Wallet"/>
    <s v="Chennai"/>
    <s v="Tamil Nadu"/>
    <s v="Anil"/>
    <s v="Shipped"/>
    <n v="1"/>
  </r>
  <r>
    <s v="O00447"/>
    <d v="2025-12-05T00:00:00"/>
    <s v="C00447"/>
    <s v="Customer 447"/>
    <s v="Mixer"/>
    <s v="Home"/>
    <s v="Philips"/>
    <n v="2"/>
    <n v="1859"/>
    <n v="0.2"/>
    <n v="2974.4"/>
    <n v="240.78"/>
    <s v="UPI"/>
    <s v="Bengaluru"/>
    <s v="Karnataka"/>
    <s v="Priya"/>
    <s v="Returned"/>
    <n v="1"/>
  </r>
  <r>
    <s v="O00448"/>
    <d v="2025-11-10T00:00:00"/>
    <s v="C00448"/>
    <s v="Customer 448"/>
    <s v="Shoes"/>
    <s v="Fashion"/>
    <s v="Nike"/>
    <n v="3"/>
    <n v="8811"/>
    <n v="0.2"/>
    <n v="21146.400000000001"/>
    <n v="2159.12"/>
    <s v="Wallet"/>
    <s v="Hyderabad"/>
    <s v="Telangana"/>
    <s v="Priya"/>
    <s v="Cancelled"/>
    <n v="1"/>
  </r>
  <r>
    <s v="O00449"/>
    <d v="2025-08-28T00:00:00"/>
    <s v="C00449"/>
    <s v="Customer 449"/>
    <s v="Chair"/>
    <s v="Furniture"/>
    <s v="Ikea"/>
    <n v="1"/>
    <n v="13330"/>
    <n v="0.15"/>
    <n v="11330.5"/>
    <n v="2206.14"/>
    <s v="UPI"/>
    <s v="Bengaluru"/>
    <s v="Karnataka"/>
    <s v="Rahul"/>
    <s v="Returned"/>
    <n v="2"/>
  </r>
  <r>
    <s v="O00450"/>
    <d v="2025-05-02T00:00:00"/>
    <s v="C00450"/>
    <s v="Customer 450"/>
    <s v="Shoes"/>
    <s v="Fashion"/>
    <s v="Nike"/>
    <n v="4"/>
    <n v="12835"/>
    <n v="0"/>
    <n v="51340"/>
    <n v="5503.77"/>
    <s v="COD"/>
    <s v="Kochi"/>
    <s v="Kerala"/>
    <s v="Anil"/>
    <s v="Returned"/>
    <n v="5"/>
  </r>
  <r>
    <s v="O00451"/>
    <d v="2025-07-28T00:00:00"/>
    <s v="C00451"/>
    <s v="Customer 451"/>
    <s v="Headphones"/>
    <s v="Electronics"/>
    <s v="Sony"/>
    <n v="5"/>
    <n v="2116"/>
    <n v="0.2"/>
    <n v="8464"/>
    <n v="754.65"/>
    <s v="Net Banking"/>
    <s v="Delhi"/>
    <s v="Delhi"/>
    <s v="Priya"/>
    <s v="Shipped"/>
    <n v="4"/>
  </r>
  <r>
    <s v="O00452"/>
    <d v="2025-09-19T00:00:00"/>
    <s v="C00452"/>
    <s v="Customer 452"/>
    <s v="Book"/>
    <s v="Books"/>
    <s v="Penguin"/>
    <n v="4"/>
    <n v="6807"/>
    <n v="0.15"/>
    <n v="23143.8"/>
    <n v="3932.7"/>
    <s v="UPI"/>
    <s v="Hyderabad"/>
    <s v="Telangana"/>
    <s v="Rahul"/>
    <s v="Returned"/>
    <n v="2"/>
  </r>
  <r>
    <s v="O00453"/>
    <d v="2025-12-14T00:00:00"/>
    <s v="C00453"/>
    <s v="Customer 453"/>
    <s v="Headphones"/>
    <s v="Electronics"/>
    <s v="Sony"/>
    <n v="1"/>
    <n v="3614"/>
    <n v="0.2"/>
    <n v="2891.2"/>
    <n v="271.58999999999997"/>
    <s v="Wallet"/>
    <s v="Hyderabad"/>
    <s v="Telangana"/>
    <s v="Rahul"/>
    <s v="Cancelled"/>
    <n v="3"/>
  </r>
  <r>
    <s v="O00454"/>
    <d v="2025-08-13T00:00:00"/>
    <s v="C00454"/>
    <s v="Customer 454"/>
    <s v="Chair"/>
    <s v="Furniture"/>
    <s v="Ikea"/>
    <n v="2"/>
    <n v="11286"/>
    <n v="0.15"/>
    <n v="19186.2"/>
    <n v="4407.1899999999996"/>
    <s v="Net Banking"/>
    <s v="Chennai"/>
    <s v="Tamil Nadu"/>
    <s v="Anil"/>
    <s v="Shipped"/>
    <n v="1"/>
  </r>
  <r>
    <s v="O00455"/>
    <d v="2025-12-18T00:00:00"/>
    <s v="C00455"/>
    <s v="Customer 455"/>
    <s v="Phone"/>
    <s v="Electronics"/>
    <s v="Samsung"/>
    <n v="2"/>
    <n v="8793"/>
    <n v="0.15"/>
    <n v="14948.1"/>
    <n v="1346.26"/>
    <s v="Card"/>
    <s v="Hyderabad"/>
    <s v="Telangana"/>
    <s v="Anil"/>
    <s v="Returned"/>
    <n v="5"/>
  </r>
  <r>
    <s v="O00456"/>
    <d v="2025-06-20T00:00:00"/>
    <s v="C00456"/>
    <s v="Customer 456"/>
    <s v="Book"/>
    <s v="Books"/>
    <s v="Penguin"/>
    <n v="3"/>
    <n v="11302"/>
    <n v="0"/>
    <n v="33906"/>
    <n v="5231.8100000000004"/>
    <s v="COD"/>
    <s v="Bengaluru"/>
    <s v="Karnataka"/>
    <s v="John"/>
    <s v="Returned"/>
    <n v="1"/>
  </r>
  <r>
    <s v="O00457"/>
    <d v="2025-02-06T00:00:00"/>
    <s v="C00457"/>
    <s v="Customer 457"/>
    <s v="Book"/>
    <s v="Books"/>
    <s v="Penguin"/>
    <n v="5"/>
    <n v="14729"/>
    <n v="0.1"/>
    <n v="66280.5"/>
    <n v="9522"/>
    <s v="Card"/>
    <s v="Kochi"/>
    <s v="Kerala"/>
    <s v="John"/>
    <s v="Cancelled"/>
    <n v="4"/>
  </r>
  <r>
    <s v="O00458"/>
    <d v="2025-11-17T00:00:00"/>
    <s v="C00458"/>
    <s v="Customer 458"/>
    <s v="Phone"/>
    <s v="Electronics"/>
    <s v="Samsung"/>
    <n v="2"/>
    <n v="8601"/>
    <n v="0.1"/>
    <n v="15481.8"/>
    <n v="4156.08"/>
    <s v="COD"/>
    <s v="Delhi"/>
    <s v="Delhi"/>
    <s v="Anil"/>
    <s v="Cancelled"/>
    <n v="2"/>
  </r>
  <r>
    <s v="O00459"/>
    <d v="2025-06-03T00:00:00"/>
    <s v="C00459"/>
    <s v="Customer 459"/>
    <s v="Shoes"/>
    <s v="Fashion"/>
    <s v="Nike"/>
    <n v="4"/>
    <n v="12017"/>
    <n v="0.05"/>
    <n v="45664.6"/>
    <n v="5522.95"/>
    <s v="Card"/>
    <s v="Hyderabad"/>
    <s v="Telangana"/>
    <s v="Asha"/>
    <s v="Returned"/>
    <n v="1"/>
  </r>
  <r>
    <s v="O00460"/>
    <d v="2025-09-10T00:00:00"/>
    <s v="C00460"/>
    <s v="Customer 460"/>
    <s v="Book"/>
    <s v="Books"/>
    <s v="Penguin"/>
    <n v="2"/>
    <n v="6284"/>
    <n v="0.2"/>
    <n v="10054.4"/>
    <n v="2584.75"/>
    <s v="UPI"/>
    <s v="Mumbai"/>
    <s v="Maharashtra"/>
    <s v="Rahul"/>
    <s v="Delivered"/>
    <n v="4"/>
  </r>
  <r>
    <s v="O00461"/>
    <d v="2025-12-21T00:00:00"/>
    <s v="C00461"/>
    <s v="Customer 461"/>
    <s v="Chair"/>
    <s v="Furniture"/>
    <s v="Ikea"/>
    <n v="1"/>
    <n v="7502"/>
    <n v="0.15"/>
    <n v="6376.7"/>
    <n v="1756.26"/>
    <s v="Card"/>
    <s v="Bengaluru"/>
    <s v="Karnataka"/>
    <s v="Rahul"/>
    <s v="Cancelled"/>
    <n v="2"/>
  </r>
  <r>
    <s v="O00462"/>
    <d v="2025-02-03T00:00:00"/>
    <s v="C00462"/>
    <s v="Customer 462"/>
    <s v="Watch"/>
    <s v="Accessories"/>
    <s v="Fossil"/>
    <n v="3"/>
    <n v="924"/>
    <n v="0.05"/>
    <n v="2633.4"/>
    <n v="308.85000000000002"/>
    <s v="Wallet"/>
    <s v="Bengaluru"/>
    <s v="Karnataka"/>
    <s v="Rahul"/>
    <s v="Delivered"/>
    <n v="4"/>
  </r>
  <r>
    <s v="O00463"/>
    <d v="2025-08-18T00:00:00"/>
    <s v="C00463"/>
    <s v="Customer 463"/>
    <s v="Book"/>
    <s v="Books"/>
    <s v="Penguin"/>
    <n v="2"/>
    <n v="14334"/>
    <n v="0"/>
    <n v="28668"/>
    <n v="7838.15"/>
    <s v="Net Banking"/>
    <s v="Chennai"/>
    <s v="Tamil Nadu"/>
    <s v="Anil"/>
    <s v="Cancelled"/>
    <n v="3"/>
  </r>
  <r>
    <s v="O00464"/>
    <d v="2025-07-24T00:00:00"/>
    <s v="C00464"/>
    <s v="Customer 464"/>
    <s v="Headphones"/>
    <s v="Electronics"/>
    <s v="Sony"/>
    <n v="4"/>
    <n v="7157"/>
    <n v="0"/>
    <n v="28628"/>
    <n v="7462.53"/>
    <s v="COD"/>
    <s v="Bengaluru"/>
    <s v="Karnataka"/>
    <s v="Rahul"/>
    <s v="Delivered"/>
    <n v="1"/>
  </r>
  <r>
    <s v="O00465"/>
    <d v="2025-03-27T00:00:00"/>
    <s v="C00465"/>
    <s v="Customer 465"/>
    <s v="Chair"/>
    <s v="Furniture"/>
    <s v="Ikea"/>
    <n v="5"/>
    <n v="13739"/>
    <n v="0.1"/>
    <n v="61825.5"/>
    <n v="12556.59"/>
    <s v="Wallet"/>
    <s v="Hyderabad"/>
    <s v="Telangana"/>
    <s v="Asha"/>
    <s v="Cancelled"/>
    <n v="1"/>
  </r>
  <r>
    <s v="O00466"/>
    <d v="2025-12-25T00:00:00"/>
    <s v="C00466"/>
    <s v="Customer 466"/>
    <s v="Mixer"/>
    <s v="Home"/>
    <s v="Philips"/>
    <n v="3"/>
    <n v="12228"/>
    <n v="0.15"/>
    <n v="31181.4"/>
    <n v="4681.8100000000004"/>
    <s v="Net Banking"/>
    <s v="Kochi"/>
    <s v="Kerala"/>
    <s v="Anil"/>
    <s v="Returned"/>
    <n v="3"/>
  </r>
  <r>
    <s v="O00467"/>
    <d v="2025-06-08T00:00:00"/>
    <s v="C00467"/>
    <s v="Customer 467"/>
    <s v="Watch"/>
    <s v="Accessories"/>
    <s v="Fossil"/>
    <n v="4"/>
    <n v="1010"/>
    <n v="0"/>
    <n v="4040"/>
    <n v="376.13"/>
    <s v="UPI"/>
    <s v="Delhi"/>
    <s v="Delhi"/>
    <s v="Anil"/>
    <s v="Delivered"/>
    <n v="2"/>
  </r>
  <r>
    <s v="O00468"/>
    <d v="2025-06-14T00:00:00"/>
    <s v="C00468"/>
    <s v="Customer 468"/>
    <s v="Mixer"/>
    <s v="Home"/>
    <s v="Philips"/>
    <n v="1"/>
    <n v="11662"/>
    <n v="0"/>
    <n v="11662"/>
    <n v="1477.03"/>
    <s v="Wallet"/>
    <s v="Kochi"/>
    <s v="Kerala"/>
    <s v="Priya"/>
    <s v="Cancelled"/>
    <n v="4"/>
  </r>
  <r>
    <s v="O00469"/>
    <d v="2025-07-22T00:00:00"/>
    <s v="C00469"/>
    <s v="Customer 469"/>
    <s v="Headphones"/>
    <s v="Electronics"/>
    <s v="Sony"/>
    <n v="2"/>
    <n v="5393"/>
    <n v="0.05"/>
    <n v="10246.700000000001"/>
    <n v="2685.47"/>
    <s v="Card"/>
    <s v="Bengaluru"/>
    <s v="Karnataka"/>
    <s v="Asha"/>
    <s v="Returned"/>
    <n v="1"/>
  </r>
  <r>
    <s v="O00470"/>
    <d v="2025-09-01T00:00:00"/>
    <s v="C00470"/>
    <s v="Customer 470"/>
    <s v="Chair"/>
    <s v="Furniture"/>
    <s v="Ikea"/>
    <n v="5"/>
    <n v="8173"/>
    <n v="0.05"/>
    <n v="38821.75"/>
    <n v="5260.39"/>
    <s v="COD"/>
    <s v="Mumbai"/>
    <s v="Maharashtra"/>
    <s v="Rahul"/>
    <s v="Cancelled"/>
    <n v="2"/>
  </r>
  <r>
    <s v="O00471"/>
    <d v="2025-09-18T00:00:00"/>
    <s v="C00471"/>
    <s v="Customer 471"/>
    <s v="Mixer"/>
    <s v="Home"/>
    <s v="Philips"/>
    <n v="1"/>
    <n v="1854"/>
    <n v="0.2"/>
    <n v="1483.2"/>
    <n v="434.25"/>
    <s v="UPI"/>
    <s v="Delhi"/>
    <s v="Delhi"/>
    <s v="Priya"/>
    <s v="Delivered"/>
    <n v="5"/>
  </r>
  <r>
    <s v="O00472"/>
    <d v="2025-10-16T00:00:00"/>
    <s v="C00472"/>
    <s v="Customer 472"/>
    <s v="Book"/>
    <s v="Books"/>
    <s v="Penguin"/>
    <n v="1"/>
    <n v="11729"/>
    <n v="0.05"/>
    <n v="11142.55"/>
    <n v="2402.79"/>
    <s v="Net Banking"/>
    <s v="Mumbai"/>
    <s v="Maharashtra"/>
    <s v="Asha"/>
    <s v="Shipped"/>
    <n v="2"/>
  </r>
  <r>
    <s v="O00473"/>
    <d v="2025-09-19T00:00:00"/>
    <s v="C00473"/>
    <s v="Customer 473"/>
    <s v="Chair"/>
    <s v="Furniture"/>
    <s v="Ikea"/>
    <n v="4"/>
    <n v="1663"/>
    <n v="0"/>
    <n v="6652"/>
    <n v="1711.24"/>
    <s v="Net Banking"/>
    <s v="Chennai"/>
    <s v="Tamil Nadu"/>
    <s v="John"/>
    <s v="Delivered"/>
    <n v="5"/>
  </r>
  <r>
    <s v="O00474"/>
    <d v="2025-02-22T00:00:00"/>
    <s v="C00474"/>
    <s v="Customer 474"/>
    <s v="Shoes"/>
    <s v="Fashion"/>
    <s v="Nike"/>
    <n v="4"/>
    <n v="14380"/>
    <n v="0"/>
    <n v="57520"/>
    <n v="14000.67"/>
    <s v="Net Banking"/>
    <s v="Hyderabad"/>
    <s v="Telangana"/>
    <s v="Asha"/>
    <s v="Delivered"/>
    <n v="4"/>
  </r>
  <r>
    <s v="O00475"/>
    <d v="2025-03-27T00:00:00"/>
    <s v="C00475"/>
    <s v="Customer 475"/>
    <s v="Headphones"/>
    <s v="Electronics"/>
    <s v="Sony"/>
    <n v="4"/>
    <n v="10497"/>
    <n v="0.2"/>
    <n v="33590.400000000001"/>
    <n v="3072.76"/>
    <s v="UPI"/>
    <s v="Chennai"/>
    <s v="Tamil Nadu"/>
    <s v="Anil"/>
    <s v="Returned"/>
    <n v="1"/>
  </r>
  <r>
    <s v="O00476"/>
    <d v="2025-01-16T00:00:00"/>
    <s v="C00476"/>
    <s v="Customer 476"/>
    <s v="Shoes"/>
    <s v="Fashion"/>
    <s v="Nike"/>
    <n v="4"/>
    <n v="3985"/>
    <n v="0.1"/>
    <n v="14346"/>
    <n v="2079.1799999999998"/>
    <s v="COD"/>
    <s v="Chennai"/>
    <s v="Tamil Nadu"/>
    <s v="John"/>
    <s v="Returned"/>
    <n v="3"/>
  </r>
  <r>
    <s v="O00477"/>
    <d v="2025-06-19T00:00:00"/>
    <s v="C00477"/>
    <s v="Customer 477"/>
    <s v="Mixer"/>
    <s v="Home"/>
    <s v="Philips"/>
    <n v="2"/>
    <n v="7638"/>
    <n v="0.15"/>
    <n v="12984.6"/>
    <n v="3481.67"/>
    <s v="UPI"/>
    <s v="Chennai"/>
    <s v="Tamil Nadu"/>
    <s v="Priya"/>
    <s v="Returned"/>
    <n v="1"/>
  </r>
  <r>
    <s v="O00478"/>
    <d v="2025-06-15T00:00:00"/>
    <s v="C00478"/>
    <s v="Customer 478"/>
    <s v="Book"/>
    <s v="Books"/>
    <s v="Penguin"/>
    <n v="5"/>
    <n v="14918"/>
    <n v="0"/>
    <n v="74590"/>
    <n v="20310.45"/>
    <s v="Wallet"/>
    <s v="Chennai"/>
    <s v="Tamil Nadu"/>
    <s v="Anil"/>
    <s v="Delivered"/>
    <n v="2"/>
  </r>
  <r>
    <s v="O00479"/>
    <d v="2025-11-03T00:00:00"/>
    <s v="C00479"/>
    <s v="Customer 479"/>
    <s v="Mixer"/>
    <s v="Home"/>
    <s v="Philips"/>
    <n v="4"/>
    <n v="4350"/>
    <n v="0.1"/>
    <n v="15660"/>
    <n v="2732.28"/>
    <s v="Card"/>
    <s v="Chennai"/>
    <s v="Tamil Nadu"/>
    <s v="Priya"/>
    <s v="Delivered"/>
    <n v="2"/>
  </r>
  <r>
    <s v="O00480"/>
    <d v="2025-12-05T00:00:00"/>
    <s v="C00480"/>
    <s v="Customer 480"/>
    <s v="Watch"/>
    <s v="Accessories"/>
    <s v="Fossil"/>
    <n v="5"/>
    <n v="4742"/>
    <n v="0.05"/>
    <n v="22524.5"/>
    <n v="3885.85"/>
    <s v="UPI"/>
    <s v="Chennai"/>
    <s v="Tamil Nadu"/>
    <s v="Anil"/>
    <s v="Delivered"/>
    <n v="5"/>
  </r>
  <r>
    <s v="O00481"/>
    <d v="2025-01-22T00:00:00"/>
    <s v="C00481"/>
    <s v="Customer 481"/>
    <s v="Chair"/>
    <s v="Furniture"/>
    <s v="Ikea"/>
    <n v="2"/>
    <n v="4802"/>
    <n v="0.1"/>
    <n v="8643.6"/>
    <n v="2159.6"/>
    <s v="COD"/>
    <s v="Mumbai"/>
    <s v="Maharashtra"/>
    <s v="Rahul"/>
    <s v="Shipped"/>
    <n v="1"/>
  </r>
  <r>
    <s v="O00482"/>
    <d v="2025-03-07T00:00:00"/>
    <s v="C00482"/>
    <s v="Customer 482"/>
    <s v="Shoes"/>
    <s v="Fashion"/>
    <s v="Nike"/>
    <n v="1"/>
    <n v="8290"/>
    <n v="0.15"/>
    <n v="7046.5"/>
    <n v="1828.69"/>
    <s v="Wallet"/>
    <s v="Chennai"/>
    <s v="Tamil Nadu"/>
    <s v="Priya"/>
    <s v="Returned"/>
    <n v="1"/>
  </r>
  <r>
    <s v="O00483"/>
    <d v="2025-07-02T00:00:00"/>
    <s v="C00483"/>
    <s v="Customer 483"/>
    <s v="Chair"/>
    <s v="Furniture"/>
    <s v="Ikea"/>
    <n v="5"/>
    <n v="1554"/>
    <n v="0.1"/>
    <n v="6993"/>
    <n v="1043.81"/>
    <s v="UPI"/>
    <s v="Delhi"/>
    <s v="Delhi"/>
    <s v="Rahul"/>
    <s v="Shipped"/>
    <n v="4"/>
  </r>
  <r>
    <s v="O00484"/>
    <d v="2025-08-07T00:00:00"/>
    <s v="C00484"/>
    <s v="Customer 484"/>
    <s v="Shoes"/>
    <s v="Fashion"/>
    <s v="Nike"/>
    <n v="4"/>
    <n v="9213"/>
    <n v="0.1"/>
    <n v="33166.800000000003"/>
    <n v="6568.84"/>
    <s v="Card"/>
    <s v="Hyderabad"/>
    <s v="Telangana"/>
    <s v="Priya"/>
    <s v="Returned"/>
    <n v="3"/>
  </r>
  <r>
    <s v="O00485"/>
    <d v="2025-03-10T00:00:00"/>
    <s v="C00485"/>
    <s v="Customer 485"/>
    <s v="Shoes"/>
    <s v="Fashion"/>
    <s v="Nike"/>
    <n v="5"/>
    <n v="12792"/>
    <n v="0.05"/>
    <n v="60762"/>
    <n v="14715.91"/>
    <s v="COD"/>
    <s v="Mumbai"/>
    <s v="Maharashtra"/>
    <s v="John"/>
    <s v="Shipped"/>
    <n v="3"/>
  </r>
  <r>
    <s v="O00486"/>
    <d v="2025-08-21T00:00:00"/>
    <s v="C00486"/>
    <s v="Customer 486"/>
    <s v="Chair"/>
    <s v="Furniture"/>
    <s v="Ikea"/>
    <n v="1"/>
    <n v="6796"/>
    <n v="0"/>
    <n v="6796"/>
    <n v="1434.85"/>
    <s v="Wallet"/>
    <s v="Kochi"/>
    <s v="Kerala"/>
    <s v="Asha"/>
    <s v="Delivered"/>
    <n v="2"/>
  </r>
  <r>
    <s v="O00487"/>
    <d v="2025-08-08T00:00:00"/>
    <s v="C00487"/>
    <s v="Customer 487"/>
    <s v="Phone"/>
    <s v="Electronics"/>
    <s v="Samsung"/>
    <n v="4"/>
    <n v="12047"/>
    <n v="0.2"/>
    <n v="38550.400000000001"/>
    <n v="5285.85"/>
    <s v="UPI"/>
    <s v="Bengaluru"/>
    <s v="Karnataka"/>
    <s v="Rahul"/>
    <s v="Shipped"/>
    <n v="4"/>
  </r>
  <r>
    <s v="O00488"/>
    <d v="2025-08-03T00:00:00"/>
    <s v="C00488"/>
    <s v="Customer 488"/>
    <s v="Book"/>
    <s v="Books"/>
    <s v="Penguin"/>
    <n v="5"/>
    <n v="1988"/>
    <n v="0.15"/>
    <n v="8449"/>
    <n v="2188.39"/>
    <s v="COD"/>
    <s v="Delhi"/>
    <s v="Delhi"/>
    <s v="Asha"/>
    <s v="Shipped"/>
    <n v="2"/>
  </r>
  <r>
    <s v="O00489"/>
    <d v="2025-05-16T00:00:00"/>
    <s v="C00489"/>
    <s v="Customer 489"/>
    <s v="Watch"/>
    <s v="Accessories"/>
    <s v="Fossil"/>
    <n v="5"/>
    <n v="13512"/>
    <n v="0.05"/>
    <n v="64182"/>
    <n v="10963.29"/>
    <s v="Card"/>
    <s v="Hyderabad"/>
    <s v="Telangana"/>
    <s v="Rahul"/>
    <s v="Returned"/>
    <n v="1"/>
  </r>
  <r>
    <s v="O00490"/>
    <d v="2025-07-12T00:00:00"/>
    <s v="C00490"/>
    <s v="Customer 490"/>
    <s v="Mixer"/>
    <s v="Home"/>
    <s v="Philips"/>
    <n v="3"/>
    <n v="9982"/>
    <n v="0.1"/>
    <n v="26951.4"/>
    <n v="3646.33"/>
    <s v="UPI"/>
    <s v="Chennai"/>
    <s v="Tamil Nadu"/>
    <s v="Priya"/>
    <s v="Cancelled"/>
    <n v="1"/>
  </r>
  <r>
    <s v="O00491"/>
    <d v="2025-07-15T00:00:00"/>
    <s v="C00491"/>
    <s v="Customer 491"/>
    <s v="Mixer"/>
    <s v="Home"/>
    <s v="Philips"/>
    <n v="1"/>
    <n v="9673"/>
    <n v="0.2"/>
    <n v="7738.4"/>
    <n v="731.22"/>
    <s v="Card"/>
    <s v="Hyderabad"/>
    <s v="Telangana"/>
    <s v="John"/>
    <s v="Cancelled"/>
    <n v="3"/>
  </r>
  <r>
    <s v="O00492"/>
    <d v="2025-04-04T00:00:00"/>
    <s v="C00492"/>
    <s v="Customer 492"/>
    <s v="Watch"/>
    <s v="Accessories"/>
    <s v="Fossil"/>
    <n v="3"/>
    <n v="9706"/>
    <n v="0"/>
    <n v="29118"/>
    <n v="2501.29"/>
    <s v="Wallet"/>
    <s v="Mumbai"/>
    <s v="Maharashtra"/>
    <s v="Anil"/>
    <s v="Cancelled"/>
    <n v="5"/>
  </r>
  <r>
    <s v="O00493"/>
    <d v="2025-06-16T00:00:00"/>
    <s v="C00493"/>
    <s v="Customer 493"/>
    <s v="Phone"/>
    <s v="Electronics"/>
    <s v="Samsung"/>
    <n v="4"/>
    <n v="3243"/>
    <n v="0.1"/>
    <n v="11674.8"/>
    <n v="1472.2"/>
    <s v="Card"/>
    <s v="Bengaluru"/>
    <s v="Karnataka"/>
    <s v="Priya"/>
    <s v="Cancelled"/>
    <n v="4"/>
  </r>
  <r>
    <s v="O00494"/>
    <d v="2025-07-04T00:00:00"/>
    <s v="C00494"/>
    <s v="Customer 494"/>
    <s v="Watch"/>
    <s v="Accessories"/>
    <s v="Fossil"/>
    <n v="3"/>
    <n v="941"/>
    <n v="0.2"/>
    <n v="2258.4"/>
    <n v="516.47"/>
    <s v="Card"/>
    <s v="Kochi"/>
    <s v="Kerala"/>
    <s v="Rahul"/>
    <s v="Returned"/>
    <n v="2"/>
  </r>
  <r>
    <s v="O00495"/>
    <d v="2025-11-17T00:00:00"/>
    <s v="C00495"/>
    <s v="Customer 495"/>
    <s v="Watch"/>
    <s v="Accessories"/>
    <s v="Fossil"/>
    <n v="3"/>
    <n v="6638"/>
    <n v="0.2"/>
    <n v="15931.2"/>
    <n v="3521.82"/>
    <s v="UPI"/>
    <s v="Delhi"/>
    <s v="Delhi"/>
    <s v="Asha"/>
    <s v="Cancelled"/>
    <n v="3"/>
  </r>
  <r>
    <s v="O00496"/>
    <d v="2025-06-07T00:00:00"/>
    <s v="C00496"/>
    <s v="Customer 496"/>
    <s v="Mixer"/>
    <s v="Home"/>
    <s v="Philips"/>
    <n v="1"/>
    <n v="5242"/>
    <n v="0.1"/>
    <n v="4717.8"/>
    <n v="967.71"/>
    <s v="UPI"/>
    <s v="Bengaluru"/>
    <s v="Karnataka"/>
    <s v="Rahul"/>
    <s v="Returned"/>
    <n v="1"/>
  </r>
  <r>
    <s v="O00497"/>
    <d v="2025-04-07T00:00:00"/>
    <s v="C00497"/>
    <s v="Customer 497"/>
    <s v="Shoes"/>
    <s v="Fashion"/>
    <s v="Nike"/>
    <n v="3"/>
    <n v="1778"/>
    <n v="0"/>
    <n v="5334"/>
    <n v="569.04999999999995"/>
    <s v="Net Banking"/>
    <s v="Mumbai"/>
    <s v="Maharashtra"/>
    <s v="Rahul"/>
    <s v="Returned"/>
    <n v="1"/>
  </r>
  <r>
    <s v="O00498"/>
    <d v="2025-09-05T00:00:00"/>
    <s v="C00498"/>
    <s v="Customer 498"/>
    <s v="Watch"/>
    <s v="Accessories"/>
    <s v="Fossil"/>
    <n v="1"/>
    <n v="13110"/>
    <n v="0.05"/>
    <n v="12454.5"/>
    <n v="1589.86"/>
    <s v="UPI"/>
    <s v="Mumbai"/>
    <s v="Maharashtra"/>
    <s v="Rahul"/>
    <s v="Shipped"/>
    <n v="3"/>
  </r>
  <r>
    <s v="O00499"/>
    <d v="2025-06-24T00:00:00"/>
    <s v="C00499"/>
    <s v="Customer 499"/>
    <s v="Shoes"/>
    <s v="Fashion"/>
    <s v="Nike"/>
    <n v="1"/>
    <n v="6277"/>
    <n v="0.15"/>
    <n v="5335.45"/>
    <n v="1354.11"/>
    <s v="Wallet"/>
    <s v="Chennai"/>
    <s v="Tamil Nadu"/>
    <s v="Anil"/>
    <s v="Shipped"/>
    <n v="5"/>
  </r>
  <r>
    <s v="O00500"/>
    <d v="2025-03-02T00:00:00"/>
    <s v="C00500"/>
    <s v="Customer 500"/>
    <s v="Headphones"/>
    <s v="Electronics"/>
    <s v="Sony"/>
    <n v="2"/>
    <n v="2504"/>
    <n v="0.2"/>
    <n v="4006.4"/>
    <n v="930.93"/>
    <s v="UPI"/>
    <s v="Kochi"/>
    <s v="Kerala"/>
    <s v="Anil"/>
    <s v="Returned"/>
    <n v="2"/>
  </r>
  <r>
    <s v="O00501"/>
    <d v="2025-01-14T00:00:00"/>
    <s v="C00501"/>
    <s v="Customer 501"/>
    <s v="Shoes"/>
    <s v="Fashion"/>
    <s v="Nike"/>
    <n v="5"/>
    <n v="12980"/>
    <n v="0"/>
    <n v="64900"/>
    <n v="17816.54"/>
    <s v="Wallet"/>
    <s v="Hyderabad"/>
    <s v="Telangana"/>
    <s v="Asha"/>
    <s v="Cancelled"/>
    <n v="3"/>
  </r>
  <r>
    <s v="O00502"/>
    <d v="2025-04-13T00:00:00"/>
    <s v="C00502"/>
    <s v="Customer 502"/>
    <s v="Laptop"/>
    <s v="Electronics"/>
    <s v="Dell"/>
    <n v="3"/>
    <n v="4466"/>
    <n v="0.15"/>
    <n v="11388.3"/>
    <n v="2856.96"/>
    <s v="Wallet"/>
    <s v="Mumbai"/>
    <s v="Maharashtra"/>
    <s v="Rahul"/>
    <s v="Cancelled"/>
    <n v="2"/>
  </r>
  <r>
    <s v="O00503"/>
    <d v="2025-10-21T00:00:00"/>
    <s v="C00503"/>
    <s v="Customer 503"/>
    <s v="Phone"/>
    <s v="Electronics"/>
    <s v="Samsung"/>
    <n v="1"/>
    <n v="3749"/>
    <n v="0"/>
    <n v="3749"/>
    <n v="1000.78"/>
    <s v="Wallet"/>
    <s v="Mumbai"/>
    <s v="Maharashtra"/>
    <s v="Priya"/>
    <s v="Shipped"/>
    <n v="3"/>
  </r>
  <r>
    <s v="O00504"/>
    <d v="2025-01-10T00:00:00"/>
    <s v="C00504"/>
    <s v="Customer 504"/>
    <s v="Headphones"/>
    <s v="Electronics"/>
    <s v="Sony"/>
    <n v="5"/>
    <n v="7505"/>
    <n v="0.1"/>
    <n v="33772.5"/>
    <n v="9468.3700000000008"/>
    <s v="Wallet"/>
    <s v="Chennai"/>
    <s v="Tamil Nadu"/>
    <s v="Rahul"/>
    <s v="Delivered"/>
    <n v="3"/>
  </r>
  <r>
    <s v="O00505"/>
    <d v="2025-09-05T00:00:00"/>
    <s v="C00505"/>
    <s v="Customer 505"/>
    <s v="Mixer"/>
    <s v="Home"/>
    <s v="Philips"/>
    <n v="4"/>
    <n v="11121"/>
    <n v="0"/>
    <n v="44484"/>
    <n v="6973.91"/>
    <s v="Wallet"/>
    <s v="Bengaluru"/>
    <s v="Karnataka"/>
    <s v="John"/>
    <s v="Delivered"/>
    <n v="3"/>
  </r>
  <r>
    <s v="O00506"/>
    <d v="2025-07-23T00:00:00"/>
    <s v="C00506"/>
    <s v="Customer 506"/>
    <s v="Book"/>
    <s v="Books"/>
    <s v="Penguin"/>
    <n v="5"/>
    <n v="1796"/>
    <n v="0"/>
    <n v="8980"/>
    <n v="778.83"/>
    <s v="Net Banking"/>
    <s v="Hyderabad"/>
    <s v="Telangana"/>
    <s v="Rahul"/>
    <s v="Returned"/>
    <n v="3"/>
  </r>
  <r>
    <s v="O00507"/>
    <d v="2025-05-10T00:00:00"/>
    <s v="C00507"/>
    <s v="Customer 507"/>
    <s v="Headphones"/>
    <s v="Electronics"/>
    <s v="Sony"/>
    <n v="4"/>
    <n v="6102"/>
    <n v="0.1"/>
    <n v="21967.200000000001"/>
    <n v="4851.1899999999996"/>
    <s v="UPI"/>
    <s v="Hyderabad"/>
    <s v="Telangana"/>
    <s v="Priya"/>
    <s v="Delivered"/>
    <n v="4"/>
  </r>
  <r>
    <s v="O00508"/>
    <d v="2025-03-02T00:00:00"/>
    <s v="C00508"/>
    <s v="Customer 508"/>
    <s v="Shoes"/>
    <s v="Fashion"/>
    <s v="Nike"/>
    <n v="4"/>
    <n v="9023"/>
    <n v="0"/>
    <n v="36092"/>
    <n v="9905.2800000000007"/>
    <s v="Net Banking"/>
    <s v="Kochi"/>
    <s v="Kerala"/>
    <s v="John"/>
    <s v="Returned"/>
    <n v="3"/>
  </r>
  <r>
    <s v="O00509"/>
    <d v="2025-09-02T00:00:00"/>
    <s v="C00509"/>
    <s v="Customer 509"/>
    <s v="Chair"/>
    <s v="Furniture"/>
    <s v="Ikea"/>
    <n v="2"/>
    <n v="11363"/>
    <n v="0.05"/>
    <n v="21589.7"/>
    <n v="4143.12"/>
    <s v="Net Banking"/>
    <s v="Mumbai"/>
    <s v="Maharashtra"/>
    <s v="John"/>
    <s v="Cancelled"/>
    <n v="1"/>
  </r>
  <r>
    <s v="O00510"/>
    <d v="2025-07-09T00:00:00"/>
    <s v="C00510"/>
    <s v="Customer 510"/>
    <s v="Chair"/>
    <s v="Furniture"/>
    <s v="Ikea"/>
    <n v="4"/>
    <n v="13628"/>
    <n v="0.1"/>
    <n v="49060.800000000003"/>
    <n v="4627.1099999999997"/>
    <s v="Wallet"/>
    <s v="Mumbai"/>
    <s v="Maharashtra"/>
    <s v="Anil"/>
    <s v="Delivered"/>
    <n v="1"/>
  </r>
  <r>
    <s v="O00511"/>
    <d v="2025-01-08T00:00:00"/>
    <s v="C00511"/>
    <s v="Customer 511"/>
    <s v="Watch"/>
    <s v="Accessories"/>
    <s v="Fossil"/>
    <n v="5"/>
    <n v="3138"/>
    <n v="0.1"/>
    <n v="14121"/>
    <n v="3112.76"/>
    <s v="Net Banking"/>
    <s v="Hyderabad"/>
    <s v="Telangana"/>
    <s v="Anil"/>
    <s v="Returned"/>
    <n v="3"/>
  </r>
  <r>
    <s v="O00512"/>
    <d v="2025-05-30T00:00:00"/>
    <s v="C00512"/>
    <s v="Customer 512"/>
    <s v="Laptop"/>
    <s v="Electronics"/>
    <s v="Dell"/>
    <n v="5"/>
    <n v="979"/>
    <n v="0"/>
    <n v="4895"/>
    <n v="681.16"/>
    <s v="Wallet"/>
    <s v="Bengaluru"/>
    <s v="Karnataka"/>
    <s v="Asha"/>
    <s v="Cancelled"/>
    <n v="1"/>
  </r>
  <r>
    <s v="O00513"/>
    <d v="2025-04-15T00:00:00"/>
    <s v="C00513"/>
    <s v="Customer 513"/>
    <s v="Laptop"/>
    <s v="Electronics"/>
    <s v="Dell"/>
    <n v="2"/>
    <n v="13473"/>
    <n v="0.05"/>
    <n v="25598.7"/>
    <n v="2535.13"/>
    <s v="UPI"/>
    <s v="Delhi"/>
    <s v="Delhi"/>
    <s v="Rahul"/>
    <s v="Returned"/>
    <n v="1"/>
  </r>
  <r>
    <s v="O00514"/>
    <d v="2025-06-14T00:00:00"/>
    <s v="C00514"/>
    <s v="Customer 514"/>
    <s v="Laptop"/>
    <s v="Electronics"/>
    <s v="Dell"/>
    <n v="2"/>
    <n v="12564"/>
    <n v="0.1"/>
    <n v="22615.200000000001"/>
    <n v="4576.5"/>
    <s v="Card"/>
    <s v="Chennai"/>
    <s v="Tamil Nadu"/>
    <s v="Rahul"/>
    <s v="Shipped"/>
    <n v="2"/>
  </r>
  <r>
    <s v="O00515"/>
    <d v="2025-02-09T00:00:00"/>
    <s v="C00515"/>
    <s v="Customer 515"/>
    <s v="Phone"/>
    <s v="Electronics"/>
    <s v="Samsung"/>
    <n v="1"/>
    <n v="13267"/>
    <n v="0.2"/>
    <n v="10613.6"/>
    <n v="1055.99"/>
    <s v="Net Banking"/>
    <s v="Chennai"/>
    <s v="Tamil Nadu"/>
    <s v="John"/>
    <s v="Returned"/>
    <n v="1"/>
  </r>
  <r>
    <s v="O00516"/>
    <d v="2025-12-15T00:00:00"/>
    <s v="C00516"/>
    <s v="Customer 516"/>
    <s v="Laptop"/>
    <s v="Electronics"/>
    <s v="Dell"/>
    <n v="2"/>
    <n v="14930"/>
    <n v="0.2"/>
    <n v="23888"/>
    <n v="5921.8"/>
    <s v="UPI"/>
    <s v="Delhi"/>
    <s v="Delhi"/>
    <s v="John"/>
    <s v="Cancelled"/>
    <n v="4"/>
  </r>
  <r>
    <s v="O00517"/>
    <d v="2025-05-14T00:00:00"/>
    <s v="C00517"/>
    <s v="Customer 517"/>
    <s v="Mixer"/>
    <s v="Home"/>
    <s v="Philips"/>
    <n v="5"/>
    <n v="13848"/>
    <n v="0.15"/>
    <n v="58854"/>
    <n v="10751.45"/>
    <s v="Card"/>
    <s v="Mumbai"/>
    <s v="Maharashtra"/>
    <s v="Rahul"/>
    <s v="Cancelled"/>
    <n v="3"/>
  </r>
  <r>
    <s v="O00518"/>
    <d v="2025-02-06T00:00:00"/>
    <s v="C00518"/>
    <s v="Customer 518"/>
    <s v="Watch"/>
    <s v="Accessories"/>
    <s v="Fossil"/>
    <n v="5"/>
    <n v="11667"/>
    <n v="0.15"/>
    <n v="49584.75"/>
    <n v="6131.72"/>
    <s v="COD"/>
    <s v="Chennai"/>
    <s v="Tamil Nadu"/>
    <s v="Priya"/>
    <s v="Shipped"/>
    <n v="3"/>
  </r>
  <r>
    <s v="O00519"/>
    <d v="2025-03-17T00:00:00"/>
    <s v="C00519"/>
    <s v="Customer 519"/>
    <s v="Headphones"/>
    <s v="Electronics"/>
    <s v="Sony"/>
    <n v="1"/>
    <n v="12019"/>
    <n v="0.15"/>
    <n v="10216.15"/>
    <n v="2853.34"/>
    <s v="UPI"/>
    <s v="Mumbai"/>
    <s v="Maharashtra"/>
    <s v="Priya"/>
    <s v="Delivered"/>
    <n v="3"/>
  </r>
  <r>
    <s v="O00520"/>
    <d v="2025-05-10T00:00:00"/>
    <s v="C00520"/>
    <s v="Customer 520"/>
    <s v="Headphones"/>
    <s v="Electronics"/>
    <s v="Sony"/>
    <n v="2"/>
    <n v="9478"/>
    <n v="0.05"/>
    <n v="18008.2"/>
    <n v="5069.17"/>
    <s v="COD"/>
    <s v="Bengaluru"/>
    <s v="Karnataka"/>
    <s v="Priya"/>
    <s v="Shipped"/>
    <n v="1"/>
  </r>
  <r>
    <s v="O00521"/>
    <d v="2025-05-09T00:00:00"/>
    <s v="C00521"/>
    <s v="Customer 521"/>
    <s v="Book"/>
    <s v="Books"/>
    <s v="Penguin"/>
    <n v="2"/>
    <n v="14026"/>
    <n v="0.05"/>
    <n v="26649.4"/>
    <n v="6994.21"/>
    <s v="Card"/>
    <s v="Kochi"/>
    <s v="Kerala"/>
    <s v="Asha"/>
    <s v="Cancelled"/>
    <n v="3"/>
  </r>
  <r>
    <s v="O00522"/>
    <d v="2025-09-01T00:00:00"/>
    <s v="C00522"/>
    <s v="Customer 522"/>
    <s v="Laptop"/>
    <s v="Electronics"/>
    <s v="Dell"/>
    <n v="2"/>
    <n v="13567"/>
    <n v="0.15"/>
    <n v="23063.9"/>
    <n v="3991.37"/>
    <s v="Net Banking"/>
    <s v="Mumbai"/>
    <s v="Maharashtra"/>
    <s v="Asha"/>
    <s v="Returned"/>
    <n v="3"/>
  </r>
  <r>
    <s v="O00523"/>
    <d v="2025-11-14T00:00:00"/>
    <s v="C00523"/>
    <s v="Customer 523"/>
    <s v="Mixer"/>
    <s v="Home"/>
    <s v="Philips"/>
    <n v="1"/>
    <n v="5025"/>
    <n v="0.05"/>
    <n v="4773.75"/>
    <n v="1401.67"/>
    <s v="Net Banking"/>
    <s v="Kochi"/>
    <s v="Kerala"/>
    <s v="Anil"/>
    <s v="Returned"/>
    <n v="5"/>
  </r>
  <r>
    <s v="O00524"/>
    <d v="2025-09-27T00:00:00"/>
    <s v="C00524"/>
    <s v="Customer 524"/>
    <s v="Shoes"/>
    <s v="Fashion"/>
    <s v="Nike"/>
    <n v="5"/>
    <n v="9380"/>
    <n v="0.2"/>
    <n v="37520"/>
    <n v="6868.97"/>
    <s v="Net Banking"/>
    <s v="Chennai"/>
    <s v="Tamil Nadu"/>
    <s v="Rahul"/>
    <s v="Shipped"/>
    <n v="5"/>
  </r>
  <r>
    <s v="O00525"/>
    <d v="2025-09-26T00:00:00"/>
    <s v="C00525"/>
    <s v="Customer 525"/>
    <s v="Phone"/>
    <s v="Electronics"/>
    <s v="Samsung"/>
    <n v="4"/>
    <n v="9615"/>
    <n v="0.1"/>
    <n v="34614"/>
    <n v="4827.3"/>
    <s v="COD"/>
    <s v="Delhi"/>
    <s v="Delhi"/>
    <s v="Anil"/>
    <s v="Delivered"/>
    <n v="5"/>
  </r>
  <r>
    <s v="O00526"/>
    <d v="2025-06-08T00:00:00"/>
    <s v="C00526"/>
    <s v="Customer 526"/>
    <s v="Shoes"/>
    <s v="Fashion"/>
    <s v="Nike"/>
    <n v="3"/>
    <n v="6122"/>
    <n v="0.2"/>
    <n v="14692.8"/>
    <n v="1556.08"/>
    <s v="Net Banking"/>
    <s v="Delhi"/>
    <s v="Delhi"/>
    <s v="John"/>
    <s v="Shipped"/>
    <n v="4"/>
  </r>
  <r>
    <s v="O00527"/>
    <d v="2025-11-20T00:00:00"/>
    <s v="C00527"/>
    <s v="Customer 527"/>
    <s v="Laptop"/>
    <s v="Electronics"/>
    <s v="Dell"/>
    <n v="3"/>
    <n v="6898"/>
    <n v="0"/>
    <n v="20694"/>
    <n v="1818.71"/>
    <s v="COD"/>
    <s v="Delhi"/>
    <s v="Delhi"/>
    <s v="Asha"/>
    <s v="Returned"/>
    <n v="4"/>
  </r>
  <r>
    <s v="O00528"/>
    <d v="2025-08-04T00:00:00"/>
    <s v="C00528"/>
    <s v="Customer 528"/>
    <s v="Phone"/>
    <s v="Electronics"/>
    <s v="Samsung"/>
    <n v="2"/>
    <n v="11575"/>
    <n v="0"/>
    <n v="23150"/>
    <n v="3991.47"/>
    <s v="UPI"/>
    <s v="Kochi"/>
    <s v="Kerala"/>
    <s v="Priya"/>
    <s v="Delivered"/>
    <n v="4"/>
  </r>
  <r>
    <s v="O00529"/>
    <d v="2025-09-18T00:00:00"/>
    <s v="C00529"/>
    <s v="Customer 529"/>
    <s v="Headphones"/>
    <s v="Electronics"/>
    <s v="Sony"/>
    <n v="3"/>
    <n v="14585"/>
    <n v="0"/>
    <n v="43755"/>
    <n v="9899.24"/>
    <s v="Net Banking"/>
    <s v="Bengaluru"/>
    <s v="Karnataka"/>
    <s v="Anil"/>
    <s v="Returned"/>
    <n v="4"/>
  </r>
  <r>
    <s v="O00530"/>
    <d v="2025-07-12T00:00:00"/>
    <s v="C00530"/>
    <s v="Customer 530"/>
    <s v="Chair"/>
    <s v="Furniture"/>
    <s v="Ikea"/>
    <n v="4"/>
    <n v="13194"/>
    <n v="0.15"/>
    <n v="44859.6"/>
    <n v="9033.23"/>
    <s v="Wallet"/>
    <s v="Chennai"/>
    <s v="Tamil Nadu"/>
    <s v="Anil"/>
    <s v="Returned"/>
    <n v="3"/>
  </r>
  <r>
    <s v="O00531"/>
    <d v="2025-08-05T00:00:00"/>
    <s v="C00531"/>
    <s v="Customer 531"/>
    <s v="Mixer"/>
    <s v="Home"/>
    <s v="Philips"/>
    <n v="4"/>
    <n v="11554"/>
    <n v="0.05"/>
    <n v="43905.2"/>
    <n v="6576.94"/>
    <s v="UPI"/>
    <s v="Kochi"/>
    <s v="Kerala"/>
    <s v="John"/>
    <s v="Shipped"/>
    <n v="3"/>
  </r>
  <r>
    <s v="O00532"/>
    <d v="2025-03-27T00:00:00"/>
    <s v="C00532"/>
    <s v="Customer 532"/>
    <s v="Mixer"/>
    <s v="Home"/>
    <s v="Philips"/>
    <n v="1"/>
    <n v="477"/>
    <n v="0.2"/>
    <n v="381.6"/>
    <n v="32.25"/>
    <s v="Net Banking"/>
    <s v="Mumbai"/>
    <s v="Maharashtra"/>
    <s v="Anil"/>
    <s v="Shipped"/>
    <n v="2"/>
  </r>
  <r>
    <s v="O00533"/>
    <d v="2025-03-24T00:00:00"/>
    <s v="C00533"/>
    <s v="Customer 533"/>
    <s v="Phone"/>
    <s v="Electronics"/>
    <s v="Samsung"/>
    <n v="2"/>
    <n v="5717"/>
    <n v="0.1"/>
    <n v="10290.6"/>
    <n v="2474.61"/>
    <s v="COD"/>
    <s v="Chennai"/>
    <s v="Tamil Nadu"/>
    <s v="Anil"/>
    <s v="Returned"/>
    <n v="2"/>
  </r>
  <r>
    <s v="O00534"/>
    <d v="2025-12-10T00:00:00"/>
    <s v="C00534"/>
    <s v="Customer 534"/>
    <s v="Book"/>
    <s v="Books"/>
    <s v="Penguin"/>
    <n v="2"/>
    <n v="6447"/>
    <n v="0.2"/>
    <n v="10315.200000000001"/>
    <n v="2060.58"/>
    <s v="UPI"/>
    <s v="Bengaluru"/>
    <s v="Karnataka"/>
    <s v="Rahul"/>
    <s v="Cancelled"/>
    <n v="4"/>
  </r>
  <r>
    <s v="O00535"/>
    <d v="2025-06-07T00:00:00"/>
    <s v="C00535"/>
    <s v="Customer 535"/>
    <s v="Phone"/>
    <s v="Electronics"/>
    <s v="Samsung"/>
    <n v="1"/>
    <n v="14599"/>
    <n v="0.15"/>
    <n v="12409.15"/>
    <n v="1587.76"/>
    <s v="UPI"/>
    <s v="Chennai"/>
    <s v="Tamil Nadu"/>
    <s v="Priya"/>
    <s v="Delivered"/>
    <n v="2"/>
  </r>
  <r>
    <s v="O00536"/>
    <d v="2025-04-23T00:00:00"/>
    <s v="C00536"/>
    <s v="Customer 536"/>
    <s v="Mixer"/>
    <s v="Home"/>
    <s v="Philips"/>
    <n v="2"/>
    <n v="9103"/>
    <n v="0"/>
    <n v="18206"/>
    <n v="4037.13"/>
    <s v="Net Banking"/>
    <s v="Delhi"/>
    <s v="Delhi"/>
    <s v="John"/>
    <s v="Cancelled"/>
    <n v="1"/>
  </r>
  <r>
    <s v="O00537"/>
    <d v="2025-06-03T00:00:00"/>
    <s v="C00537"/>
    <s v="Customer 537"/>
    <s v="Book"/>
    <s v="Books"/>
    <s v="Penguin"/>
    <n v="1"/>
    <n v="13031"/>
    <n v="0.15"/>
    <n v="11076.35"/>
    <n v="2312.6799999999998"/>
    <s v="UPI"/>
    <s v="Chennai"/>
    <s v="Tamil Nadu"/>
    <s v="Anil"/>
    <s v="Shipped"/>
    <n v="2"/>
  </r>
  <r>
    <s v="O00538"/>
    <d v="2025-05-04T00:00:00"/>
    <s v="C00538"/>
    <s v="Customer 538"/>
    <s v="Watch"/>
    <s v="Accessories"/>
    <s v="Fossil"/>
    <n v="3"/>
    <n v="4443"/>
    <n v="0.05"/>
    <n v="12662.55"/>
    <n v="2560.52"/>
    <s v="Wallet"/>
    <s v="Mumbai"/>
    <s v="Maharashtra"/>
    <s v="Priya"/>
    <s v="Returned"/>
    <n v="4"/>
  </r>
  <r>
    <s v="O00539"/>
    <d v="2025-02-09T00:00:00"/>
    <s v="C00539"/>
    <s v="Customer 539"/>
    <s v="Book"/>
    <s v="Books"/>
    <s v="Penguin"/>
    <n v="2"/>
    <n v="14820"/>
    <n v="0.2"/>
    <n v="23712"/>
    <n v="5819.66"/>
    <s v="Card"/>
    <s v="Delhi"/>
    <s v="Delhi"/>
    <s v="John"/>
    <s v="Shipped"/>
    <n v="2"/>
  </r>
  <r>
    <s v="O00540"/>
    <d v="2025-08-04T00:00:00"/>
    <s v="C00540"/>
    <s v="Customer 540"/>
    <s v="Watch"/>
    <s v="Accessories"/>
    <s v="Fossil"/>
    <n v="1"/>
    <n v="2999"/>
    <n v="0.2"/>
    <n v="2399.1999999999998"/>
    <n v="526.16"/>
    <s v="UPI"/>
    <s v="Mumbai"/>
    <s v="Maharashtra"/>
    <s v="Rahul"/>
    <s v="Delivered"/>
    <n v="3"/>
  </r>
  <r>
    <s v="O00541"/>
    <d v="2025-05-27T00:00:00"/>
    <s v="C00541"/>
    <s v="Customer 541"/>
    <s v="Phone"/>
    <s v="Electronics"/>
    <s v="Samsung"/>
    <n v="1"/>
    <n v="13607"/>
    <n v="0.15"/>
    <n v="11565.95"/>
    <n v="2860.44"/>
    <s v="Wallet"/>
    <s v="Hyderabad"/>
    <s v="Telangana"/>
    <s v="John"/>
    <s v="Returned"/>
    <n v="5"/>
  </r>
  <r>
    <s v="O00542"/>
    <d v="2025-11-28T00:00:00"/>
    <s v="C00542"/>
    <s v="Customer 542"/>
    <s v="Phone"/>
    <s v="Electronics"/>
    <s v="Samsung"/>
    <n v="5"/>
    <n v="4192"/>
    <n v="0.2"/>
    <n v="16768"/>
    <n v="4635.45"/>
    <s v="Wallet"/>
    <s v="Delhi"/>
    <s v="Delhi"/>
    <s v="Asha"/>
    <s v="Returned"/>
    <n v="5"/>
  </r>
  <r>
    <s v="O00543"/>
    <d v="2025-12-14T00:00:00"/>
    <s v="C00543"/>
    <s v="Customer 543"/>
    <s v="Chair"/>
    <s v="Furniture"/>
    <s v="Ikea"/>
    <n v="3"/>
    <n v="14037"/>
    <n v="0.15"/>
    <n v="35794.35"/>
    <n v="8603.01"/>
    <s v="UPI"/>
    <s v="Hyderabad"/>
    <s v="Telangana"/>
    <s v="Asha"/>
    <s v="Cancelled"/>
    <n v="2"/>
  </r>
  <r>
    <s v="O00544"/>
    <d v="2025-11-23T00:00:00"/>
    <s v="C00544"/>
    <s v="Customer 544"/>
    <s v="Shoes"/>
    <s v="Fashion"/>
    <s v="Nike"/>
    <n v="2"/>
    <n v="6429"/>
    <n v="0.2"/>
    <n v="10286.4"/>
    <n v="2285.83"/>
    <s v="Card"/>
    <s v="Delhi"/>
    <s v="Delhi"/>
    <s v="Anil"/>
    <s v="Returned"/>
    <n v="5"/>
  </r>
  <r>
    <s v="O00545"/>
    <d v="2025-08-16T00:00:00"/>
    <s v="C00545"/>
    <s v="Customer 545"/>
    <s v="Shoes"/>
    <s v="Fashion"/>
    <s v="Nike"/>
    <n v="5"/>
    <n v="2108"/>
    <n v="0.1"/>
    <n v="9486"/>
    <n v="970.09"/>
    <s v="Net Banking"/>
    <s v="Delhi"/>
    <s v="Delhi"/>
    <s v="Rahul"/>
    <s v="Cancelled"/>
    <n v="1"/>
  </r>
  <r>
    <s v="O00546"/>
    <d v="2025-04-10T00:00:00"/>
    <s v="C00546"/>
    <s v="Customer 546"/>
    <s v="Phone"/>
    <s v="Electronics"/>
    <s v="Samsung"/>
    <n v="1"/>
    <n v="7263"/>
    <n v="0.05"/>
    <n v="6899.85"/>
    <n v="813.02"/>
    <s v="UPI"/>
    <s v="Chennai"/>
    <s v="Tamil Nadu"/>
    <s v="Rahul"/>
    <s v="Returned"/>
    <n v="3"/>
  </r>
  <r>
    <s v="O00547"/>
    <d v="2025-04-28T00:00:00"/>
    <s v="C00547"/>
    <s v="Customer 547"/>
    <s v="Headphones"/>
    <s v="Electronics"/>
    <s v="Sony"/>
    <n v="5"/>
    <n v="4322"/>
    <n v="0.15"/>
    <n v="18368.5"/>
    <n v="4309.93"/>
    <s v="COD"/>
    <s v="Delhi"/>
    <s v="Delhi"/>
    <s v="Rahul"/>
    <s v="Shipped"/>
    <n v="5"/>
  </r>
  <r>
    <s v="O00548"/>
    <d v="2025-07-06T00:00:00"/>
    <s v="C00548"/>
    <s v="Customer 548"/>
    <s v="Mixer"/>
    <s v="Home"/>
    <s v="Philips"/>
    <n v="4"/>
    <n v="8385"/>
    <n v="0"/>
    <n v="33540"/>
    <n v="8717.68"/>
    <s v="Wallet"/>
    <s v="Delhi"/>
    <s v="Delhi"/>
    <s v="Priya"/>
    <s v="Returned"/>
    <n v="3"/>
  </r>
  <r>
    <s v="O00549"/>
    <d v="2025-10-20T00:00:00"/>
    <s v="C00549"/>
    <s v="Customer 549"/>
    <s v="Headphones"/>
    <s v="Electronics"/>
    <s v="Sony"/>
    <n v="1"/>
    <n v="5317"/>
    <n v="0.15"/>
    <n v="4519.45"/>
    <n v="362.06"/>
    <s v="Card"/>
    <s v="Mumbai"/>
    <s v="Maharashtra"/>
    <s v="Asha"/>
    <s v="Shipped"/>
    <n v="1"/>
  </r>
  <r>
    <s v="O00550"/>
    <d v="2025-02-02T00:00:00"/>
    <s v="C00550"/>
    <s v="Customer 550"/>
    <s v="Watch"/>
    <s v="Accessories"/>
    <s v="Fossil"/>
    <n v="1"/>
    <n v="10818"/>
    <n v="0"/>
    <n v="10818"/>
    <n v="2789.09"/>
    <s v="COD"/>
    <s v="Mumbai"/>
    <s v="Maharashtra"/>
    <s v="Anil"/>
    <s v="Shipped"/>
    <n v="1"/>
  </r>
  <r>
    <s v="O00551"/>
    <d v="2025-05-06T00:00:00"/>
    <s v="C00551"/>
    <s v="Customer 551"/>
    <s v="Chair"/>
    <s v="Furniture"/>
    <s v="Ikea"/>
    <n v="3"/>
    <n v="11070"/>
    <n v="0.1"/>
    <n v="29889"/>
    <n v="7155.37"/>
    <s v="COD"/>
    <s v="Mumbai"/>
    <s v="Maharashtra"/>
    <s v="John"/>
    <s v="Shipped"/>
    <n v="1"/>
  </r>
  <r>
    <s v="O00552"/>
    <d v="2025-05-29T00:00:00"/>
    <s v="C00552"/>
    <s v="Customer 552"/>
    <s v="Watch"/>
    <s v="Accessories"/>
    <s v="Fossil"/>
    <n v="1"/>
    <n v="4950"/>
    <n v="0.05"/>
    <n v="4702.5"/>
    <n v="706.64"/>
    <s v="Wallet"/>
    <s v="Delhi"/>
    <s v="Delhi"/>
    <s v="Anil"/>
    <s v="Delivered"/>
    <n v="2"/>
  </r>
  <r>
    <s v="O00553"/>
    <d v="2025-12-24T00:00:00"/>
    <s v="C00553"/>
    <s v="Customer 553"/>
    <s v="Laptop"/>
    <s v="Electronics"/>
    <s v="Dell"/>
    <n v="5"/>
    <n v="2856"/>
    <n v="0.05"/>
    <n v="13566"/>
    <n v="2290.73"/>
    <s v="Net Banking"/>
    <s v="Hyderabad"/>
    <s v="Telangana"/>
    <s v="Anil"/>
    <s v="Returned"/>
    <n v="3"/>
  </r>
  <r>
    <s v="O00554"/>
    <d v="2025-12-12T00:00:00"/>
    <s v="C00554"/>
    <s v="Customer 554"/>
    <s v="Shoes"/>
    <s v="Fashion"/>
    <s v="Nike"/>
    <n v="1"/>
    <n v="9980"/>
    <n v="0.15"/>
    <n v="8483"/>
    <n v="1098.81"/>
    <s v="Net Banking"/>
    <s v="Delhi"/>
    <s v="Delhi"/>
    <s v="John"/>
    <s v="Shipped"/>
    <n v="4"/>
  </r>
  <r>
    <s v="O00555"/>
    <d v="2025-06-16T00:00:00"/>
    <s v="C00555"/>
    <s v="Customer 555"/>
    <s v="Laptop"/>
    <s v="Electronics"/>
    <s v="Dell"/>
    <n v="4"/>
    <n v="12269"/>
    <n v="0.1"/>
    <n v="44168.4"/>
    <n v="6021.65"/>
    <s v="Net Banking"/>
    <s v="Hyderabad"/>
    <s v="Telangana"/>
    <s v="Priya"/>
    <s v="Delivered"/>
    <n v="4"/>
  </r>
  <r>
    <s v="O00556"/>
    <d v="2025-07-10T00:00:00"/>
    <s v="C00556"/>
    <s v="Customer 556"/>
    <s v="Chair"/>
    <s v="Furniture"/>
    <s v="Ikea"/>
    <n v="1"/>
    <n v="5722"/>
    <n v="0.2"/>
    <n v="4577.6000000000004"/>
    <n v="787.67"/>
    <s v="Card"/>
    <s v="Hyderabad"/>
    <s v="Telangana"/>
    <s v="Rahul"/>
    <s v="Delivered"/>
    <n v="1"/>
  </r>
  <r>
    <s v="O00557"/>
    <d v="2025-04-16T00:00:00"/>
    <s v="C00557"/>
    <s v="Customer 557"/>
    <s v="Shoes"/>
    <s v="Fashion"/>
    <s v="Nike"/>
    <n v="4"/>
    <n v="7610"/>
    <n v="0.1"/>
    <n v="27396"/>
    <n v="6495.11"/>
    <s v="Net Banking"/>
    <s v="Delhi"/>
    <s v="Delhi"/>
    <s v="John"/>
    <s v="Shipped"/>
    <n v="1"/>
  </r>
  <r>
    <s v="O00558"/>
    <d v="2025-05-13T00:00:00"/>
    <s v="C00558"/>
    <s v="Customer 558"/>
    <s v="Phone"/>
    <s v="Electronics"/>
    <s v="Samsung"/>
    <n v="1"/>
    <n v="2212"/>
    <n v="0.15"/>
    <n v="1880.2"/>
    <n v="241.02"/>
    <s v="Net Banking"/>
    <s v="Kochi"/>
    <s v="Kerala"/>
    <s v="John"/>
    <s v="Returned"/>
    <n v="3"/>
  </r>
  <r>
    <s v="O00559"/>
    <d v="2025-08-06T00:00:00"/>
    <s v="C00559"/>
    <s v="Customer 559"/>
    <s v="Headphones"/>
    <s v="Electronics"/>
    <s v="Sony"/>
    <n v="4"/>
    <n v="14241"/>
    <n v="0.2"/>
    <n v="45571.199999999997"/>
    <n v="9322.2900000000009"/>
    <s v="Net Banking"/>
    <s v="Chennai"/>
    <s v="Tamil Nadu"/>
    <s v="John"/>
    <s v="Shipped"/>
    <n v="2"/>
  </r>
  <r>
    <s v="O00560"/>
    <d v="2025-10-21T00:00:00"/>
    <s v="C00560"/>
    <s v="Customer 560"/>
    <s v="Watch"/>
    <s v="Accessories"/>
    <s v="Fossil"/>
    <n v="3"/>
    <n v="948"/>
    <n v="0.1"/>
    <n v="2559.6"/>
    <n v="219.11"/>
    <s v="COD"/>
    <s v="Hyderabad"/>
    <s v="Telangana"/>
    <s v="Priya"/>
    <s v="Shipped"/>
    <n v="1"/>
  </r>
  <r>
    <s v="O00561"/>
    <d v="2025-08-07T00:00:00"/>
    <s v="C00561"/>
    <s v="Customer 561"/>
    <s v="Chair"/>
    <s v="Furniture"/>
    <s v="Ikea"/>
    <n v="3"/>
    <n v="14054"/>
    <n v="0"/>
    <n v="42162"/>
    <n v="11154.02"/>
    <s v="Card"/>
    <s v="Hyderabad"/>
    <s v="Telangana"/>
    <s v="Asha"/>
    <s v="Delivered"/>
    <n v="5"/>
  </r>
  <r>
    <s v="O00562"/>
    <d v="2025-03-25T00:00:00"/>
    <s v="C00562"/>
    <s v="Customer 562"/>
    <s v="Headphones"/>
    <s v="Electronics"/>
    <s v="Sony"/>
    <n v="1"/>
    <n v="2086"/>
    <n v="0.1"/>
    <n v="1877.4"/>
    <n v="528.26"/>
    <s v="Wallet"/>
    <s v="Chennai"/>
    <s v="Tamil Nadu"/>
    <s v="John"/>
    <s v="Cancelled"/>
    <n v="1"/>
  </r>
  <r>
    <s v="O00563"/>
    <d v="2025-08-28T00:00:00"/>
    <s v="C00563"/>
    <s v="Customer 563"/>
    <s v="Phone"/>
    <s v="Electronics"/>
    <s v="Samsung"/>
    <n v="2"/>
    <n v="5322"/>
    <n v="0.05"/>
    <n v="10111.799999999999"/>
    <n v="1253.27"/>
    <s v="Card"/>
    <s v="Chennai"/>
    <s v="Tamil Nadu"/>
    <s v="Rahul"/>
    <s v="Cancelled"/>
    <n v="1"/>
  </r>
  <r>
    <s v="O00564"/>
    <d v="2025-12-04T00:00:00"/>
    <s v="C00564"/>
    <s v="Customer 564"/>
    <s v="Laptop"/>
    <s v="Electronics"/>
    <s v="Dell"/>
    <n v="5"/>
    <n v="2573"/>
    <n v="0.15"/>
    <n v="10935.25"/>
    <n v="3254.14"/>
    <s v="Net Banking"/>
    <s v="Kochi"/>
    <s v="Kerala"/>
    <s v="Priya"/>
    <s v="Delivered"/>
    <n v="1"/>
  </r>
  <r>
    <s v="O00565"/>
    <d v="2025-07-05T00:00:00"/>
    <s v="C00565"/>
    <s v="Customer 565"/>
    <s v="Mixer"/>
    <s v="Home"/>
    <s v="Philips"/>
    <n v="1"/>
    <n v="12093"/>
    <n v="0.1"/>
    <n v="10883.7"/>
    <n v="2622.09"/>
    <s v="Net Banking"/>
    <s v="Mumbai"/>
    <s v="Maharashtra"/>
    <s v="Priya"/>
    <s v="Shipped"/>
    <n v="5"/>
  </r>
  <r>
    <s v="O00566"/>
    <d v="2025-08-12T00:00:00"/>
    <s v="C00566"/>
    <s v="Customer 566"/>
    <s v="Chair"/>
    <s v="Furniture"/>
    <s v="Ikea"/>
    <n v="2"/>
    <n v="12080"/>
    <n v="0.15"/>
    <n v="20536"/>
    <n v="6035.46"/>
    <s v="Net Banking"/>
    <s v="Chennai"/>
    <s v="Tamil Nadu"/>
    <s v="Rahul"/>
    <s v="Shipped"/>
    <n v="4"/>
  </r>
  <r>
    <s v="O00567"/>
    <d v="2025-11-26T00:00:00"/>
    <s v="C00567"/>
    <s v="Customer 567"/>
    <s v="Book"/>
    <s v="Books"/>
    <s v="Penguin"/>
    <n v="4"/>
    <n v="12257"/>
    <n v="0"/>
    <n v="49028"/>
    <n v="6532.69"/>
    <s v="Wallet"/>
    <s v="Bengaluru"/>
    <s v="Karnataka"/>
    <s v="Rahul"/>
    <s v="Delivered"/>
    <n v="1"/>
  </r>
  <r>
    <s v="O00568"/>
    <d v="2025-07-20T00:00:00"/>
    <s v="C00568"/>
    <s v="Customer 568"/>
    <s v="Laptop"/>
    <s v="Electronics"/>
    <s v="Dell"/>
    <n v="4"/>
    <n v="7822"/>
    <n v="0.05"/>
    <n v="29723.599999999999"/>
    <n v="4832.6000000000004"/>
    <s v="Wallet"/>
    <s v="Mumbai"/>
    <s v="Maharashtra"/>
    <s v="Rahul"/>
    <s v="Delivered"/>
    <n v="3"/>
  </r>
  <r>
    <s v="O00569"/>
    <d v="2025-09-12T00:00:00"/>
    <s v="C00569"/>
    <s v="Customer 569"/>
    <s v="Laptop"/>
    <s v="Electronics"/>
    <s v="Dell"/>
    <n v="5"/>
    <n v="12931"/>
    <n v="0.15"/>
    <n v="54956.75"/>
    <n v="12623.03"/>
    <s v="Net Banking"/>
    <s v="Bengaluru"/>
    <s v="Karnataka"/>
    <s v="Rahul"/>
    <s v="Delivered"/>
    <n v="5"/>
  </r>
  <r>
    <s v="O00570"/>
    <d v="2025-03-15T00:00:00"/>
    <s v="C00570"/>
    <s v="Customer 570"/>
    <s v="Laptop"/>
    <s v="Electronics"/>
    <s v="Dell"/>
    <n v="2"/>
    <n v="8181"/>
    <n v="0.2"/>
    <n v="13089.6"/>
    <n v="3129.97"/>
    <s v="UPI"/>
    <s v="Kochi"/>
    <s v="Kerala"/>
    <s v="John"/>
    <s v="Cancelled"/>
    <n v="4"/>
  </r>
  <r>
    <s v="O00571"/>
    <d v="2025-05-02T00:00:00"/>
    <s v="C00571"/>
    <s v="Customer 571"/>
    <s v="Shoes"/>
    <s v="Fashion"/>
    <s v="Nike"/>
    <n v="4"/>
    <n v="13944"/>
    <n v="0"/>
    <n v="55776"/>
    <n v="5131.05"/>
    <s v="Net Banking"/>
    <s v="Kochi"/>
    <s v="Kerala"/>
    <s v="Anil"/>
    <s v="Delivered"/>
    <n v="3"/>
  </r>
  <r>
    <s v="O00572"/>
    <d v="2025-01-05T00:00:00"/>
    <s v="C00572"/>
    <s v="Customer 572"/>
    <s v="Headphones"/>
    <s v="Electronics"/>
    <s v="Sony"/>
    <n v="5"/>
    <n v="12750"/>
    <n v="0.1"/>
    <n v="57375"/>
    <n v="7221.65"/>
    <s v="Wallet"/>
    <s v="Hyderabad"/>
    <s v="Telangana"/>
    <s v="John"/>
    <s v="Cancelled"/>
    <n v="3"/>
  </r>
  <r>
    <s v="O00573"/>
    <d v="2025-08-16T00:00:00"/>
    <s v="C00573"/>
    <s v="Customer 573"/>
    <s v="Watch"/>
    <s v="Accessories"/>
    <s v="Fossil"/>
    <n v="3"/>
    <n v="12161"/>
    <n v="0.1"/>
    <n v="32834.699999999997"/>
    <n v="3339.95"/>
    <s v="UPI"/>
    <s v="Mumbai"/>
    <s v="Maharashtra"/>
    <s v="Priya"/>
    <s v="Shipped"/>
    <n v="5"/>
  </r>
  <r>
    <s v="O00574"/>
    <d v="2025-03-20T00:00:00"/>
    <s v="C00574"/>
    <s v="Customer 574"/>
    <s v="Phone"/>
    <s v="Electronics"/>
    <s v="Samsung"/>
    <n v="2"/>
    <n v="13407"/>
    <n v="0.15"/>
    <n v="22791.9"/>
    <n v="4365.7"/>
    <s v="Card"/>
    <s v="Chennai"/>
    <s v="Tamil Nadu"/>
    <s v="John"/>
    <s v="Shipped"/>
    <n v="1"/>
  </r>
  <r>
    <s v="O00575"/>
    <d v="2025-08-08T00:00:00"/>
    <s v="C00575"/>
    <s v="Customer 575"/>
    <s v="Watch"/>
    <s v="Accessories"/>
    <s v="Fossil"/>
    <n v="4"/>
    <n v="532"/>
    <n v="0.1"/>
    <n v="1915.2"/>
    <n v="336.57"/>
    <s v="Net Banking"/>
    <s v="Mumbai"/>
    <s v="Maharashtra"/>
    <s v="Rahul"/>
    <s v="Delivered"/>
    <n v="4"/>
  </r>
  <r>
    <s v="O00576"/>
    <d v="2025-10-13T00:00:00"/>
    <s v="C00576"/>
    <s v="Customer 576"/>
    <s v="Laptop"/>
    <s v="Electronics"/>
    <s v="Dell"/>
    <n v="3"/>
    <n v="4008"/>
    <n v="0.1"/>
    <n v="10821.6"/>
    <n v="2108.34"/>
    <s v="Net Banking"/>
    <s v="Hyderabad"/>
    <s v="Telangana"/>
    <s v="Priya"/>
    <s v="Shipped"/>
    <n v="4"/>
  </r>
  <r>
    <s v="O00577"/>
    <d v="2025-02-14T00:00:00"/>
    <s v="C00577"/>
    <s v="Customer 577"/>
    <s v="Chair"/>
    <s v="Furniture"/>
    <s v="Ikea"/>
    <n v="4"/>
    <n v="7203"/>
    <n v="0.15"/>
    <n v="24490.2"/>
    <n v="6015.24"/>
    <s v="Net Banking"/>
    <s v="Mumbai"/>
    <s v="Maharashtra"/>
    <s v="Priya"/>
    <s v="Shipped"/>
    <n v="4"/>
  </r>
  <r>
    <s v="O00578"/>
    <d v="2025-04-06T00:00:00"/>
    <s v="C00578"/>
    <s v="Customer 578"/>
    <s v="Book"/>
    <s v="Books"/>
    <s v="Penguin"/>
    <n v="4"/>
    <n v="2876"/>
    <n v="0"/>
    <n v="11504"/>
    <n v="1393.82"/>
    <s v="UPI"/>
    <s v="Bengaluru"/>
    <s v="Karnataka"/>
    <s v="Asha"/>
    <s v="Shipped"/>
    <n v="4"/>
  </r>
  <r>
    <s v="O00579"/>
    <d v="2025-07-28T00:00:00"/>
    <s v="C00579"/>
    <s v="Customer 579"/>
    <s v="Phone"/>
    <s v="Electronics"/>
    <s v="Samsung"/>
    <n v="4"/>
    <n v="12069"/>
    <n v="0"/>
    <n v="48276"/>
    <n v="6633.6"/>
    <s v="UPI"/>
    <s v="Hyderabad"/>
    <s v="Telangana"/>
    <s v="Priya"/>
    <s v="Delivered"/>
    <n v="4"/>
  </r>
  <r>
    <s v="O00580"/>
    <d v="2025-03-04T00:00:00"/>
    <s v="C00580"/>
    <s v="Customer 580"/>
    <s v="Headphones"/>
    <s v="Electronics"/>
    <s v="Sony"/>
    <n v="1"/>
    <n v="10038"/>
    <n v="0.15"/>
    <n v="8532.2999999999993"/>
    <n v="1599.92"/>
    <s v="UPI"/>
    <s v="Delhi"/>
    <s v="Delhi"/>
    <s v="Asha"/>
    <s v="Returned"/>
    <n v="5"/>
  </r>
  <r>
    <s v="O00581"/>
    <d v="2025-04-28T00:00:00"/>
    <s v="C00581"/>
    <s v="Customer 581"/>
    <s v="Watch"/>
    <s v="Accessories"/>
    <s v="Fossil"/>
    <n v="2"/>
    <n v="1364"/>
    <n v="0.2"/>
    <n v="2182.4"/>
    <n v="594.16"/>
    <s v="UPI"/>
    <s v="Bengaluru"/>
    <s v="Karnataka"/>
    <s v="Rahul"/>
    <s v="Returned"/>
    <n v="1"/>
  </r>
  <r>
    <s v="O00582"/>
    <d v="2025-03-11T00:00:00"/>
    <s v="C00582"/>
    <s v="Customer 582"/>
    <s v="Shoes"/>
    <s v="Fashion"/>
    <s v="Nike"/>
    <n v="3"/>
    <n v="4116"/>
    <n v="0.2"/>
    <n v="9878.4"/>
    <n v="1755.28"/>
    <s v="UPI"/>
    <s v="Mumbai"/>
    <s v="Maharashtra"/>
    <s v="John"/>
    <s v="Returned"/>
    <n v="1"/>
  </r>
  <r>
    <s v="O00583"/>
    <d v="2025-09-27T00:00:00"/>
    <s v="C00583"/>
    <s v="Customer 583"/>
    <s v="Phone"/>
    <s v="Electronics"/>
    <s v="Samsung"/>
    <n v="5"/>
    <n v="1038"/>
    <n v="0.1"/>
    <n v="4671"/>
    <n v="1004.43"/>
    <s v="Wallet"/>
    <s v="Chennai"/>
    <s v="Tamil Nadu"/>
    <s v="Priya"/>
    <s v="Returned"/>
    <n v="1"/>
  </r>
  <r>
    <s v="O00584"/>
    <d v="2025-05-24T00:00:00"/>
    <s v="C00584"/>
    <s v="Customer 584"/>
    <s v="Chair"/>
    <s v="Furniture"/>
    <s v="Ikea"/>
    <n v="2"/>
    <n v="4259"/>
    <n v="0.1"/>
    <n v="7666.2"/>
    <n v="1614.68"/>
    <s v="Net Banking"/>
    <s v="Hyderabad"/>
    <s v="Telangana"/>
    <s v="Rahul"/>
    <s v="Shipped"/>
    <n v="5"/>
  </r>
  <r>
    <s v="O00585"/>
    <d v="2025-03-12T00:00:00"/>
    <s v="C00585"/>
    <s v="Customer 585"/>
    <s v="Chair"/>
    <s v="Furniture"/>
    <s v="Ikea"/>
    <n v="2"/>
    <n v="4283"/>
    <n v="0.2"/>
    <n v="6852.8"/>
    <n v="2035.55"/>
    <s v="COD"/>
    <s v="Hyderabad"/>
    <s v="Telangana"/>
    <s v="Rahul"/>
    <s v="Cancelled"/>
    <n v="4"/>
  </r>
  <r>
    <s v="O00586"/>
    <d v="2025-04-15T00:00:00"/>
    <s v="C00586"/>
    <s v="Customer 586"/>
    <s v="Phone"/>
    <s v="Electronics"/>
    <s v="Samsung"/>
    <n v="4"/>
    <n v="10846"/>
    <n v="0.2"/>
    <n v="34707.199999999997"/>
    <n v="3158.4"/>
    <s v="COD"/>
    <s v="Kochi"/>
    <s v="Kerala"/>
    <s v="John"/>
    <s v="Delivered"/>
    <n v="2"/>
  </r>
  <r>
    <s v="O00587"/>
    <d v="2025-05-02T00:00:00"/>
    <s v="C00587"/>
    <s v="Customer 587"/>
    <s v="Watch"/>
    <s v="Accessories"/>
    <s v="Fossil"/>
    <n v="5"/>
    <n v="1076"/>
    <n v="0"/>
    <n v="5380"/>
    <n v="1012.39"/>
    <s v="UPI"/>
    <s v="Chennai"/>
    <s v="Tamil Nadu"/>
    <s v="John"/>
    <s v="Cancelled"/>
    <n v="1"/>
  </r>
  <r>
    <s v="O00588"/>
    <d v="2025-02-10T00:00:00"/>
    <s v="C00588"/>
    <s v="Customer 588"/>
    <s v="Watch"/>
    <s v="Accessories"/>
    <s v="Fossil"/>
    <n v="4"/>
    <n v="2413"/>
    <n v="0.2"/>
    <n v="7721.6"/>
    <n v="1181.25"/>
    <s v="COD"/>
    <s v="Mumbai"/>
    <s v="Maharashtra"/>
    <s v="Anil"/>
    <s v="Delivered"/>
    <n v="5"/>
  </r>
  <r>
    <s v="O00589"/>
    <d v="2025-11-23T00:00:00"/>
    <s v="C00589"/>
    <s v="Customer 589"/>
    <s v="Chair"/>
    <s v="Furniture"/>
    <s v="Ikea"/>
    <n v="1"/>
    <n v="12945"/>
    <n v="0.1"/>
    <n v="11650.5"/>
    <n v="2692.85"/>
    <s v="COD"/>
    <s v="Mumbai"/>
    <s v="Maharashtra"/>
    <s v="Priya"/>
    <s v="Delivered"/>
    <n v="5"/>
  </r>
  <r>
    <s v="O00590"/>
    <d v="2025-02-19T00:00:00"/>
    <s v="C00590"/>
    <s v="Customer 590"/>
    <s v="Shoes"/>
    <s v="Fashion"/>
    <s v="Nike"/>
    <n v="3"/>
    <n v="8564"/>
    <n v="0.05"/>
    <n v="24407.4"/>
    <n v="2130.89"/>
    <s v="Wallet"/>
    <s v="Delhi"/>
    <s v="Delhi"/>
    <s v="Asha"/>
    <s v="Returned"/>
    <n v="4"/>
  </r>
  <r>
    <s v="O00591"/>
    <d v="2025-05-22T00:00:00"/>
    <s v="C00591"/>
    <s v="Customer 591"/>
    <s v="Shoes"/>
    <s v="Fashion"/>
    <s v="Nike"/>
    <n v="5"/>
    <n v="12648"/>
    <n v="0"/>
    <n v="63240"/>
    <n v="16869.02"/>
    <s v="UPI"/>
    <s v="Chennai"/>
    <s v="Tamil Nadu"/>
    <s v="Anil"/>
    <s v="Shipped"/>
    <n v="4"/>
  </r>
  <r>
    <s v="O00592"/>
    <d v="2025-07-21T00:00:00"/>
    <s v="C00592"/>
    <s v="Customer 592"/>
    <s v="Headphones"/>
    <s v="Electronics"/>
    <s v="Sony"/>
    <n v="3"/>
    <n v="3773"/>
    <n v="0.05"/>
    <n v="10753.05"/>
    <n v="2954.77"/>
    <s v="Card"/>
    <s v="Chennai"/>
    <s v="Tamil Nadu"/>
    <s v="Anil"/>
    <s v="Returned"/>
    <n v="4"/>
  </r>
  <r>
    <s v="O00593"/>
    <d v="2025-07-29T00:00:00"/>
    <s v="C00593"/>
    <s v="Customer 593"/>
    <s v="Chair"/>
    <s v="Furniture"/>
    <s v="Ikea"/>
    <n v="1"/>
    <n v="3283"/>
    <n v="0.05"/>
    <n v="3118.85"/>
    <n v="771.62"/>
    <s v="Wallet"/>
    <s v="Hyderabad"/>
    <s v="Telangana"/>
    <s v="Rahul"/>
    <s v="Delivered"/>
    <n v="4"/>
  </r>
  <r>
    <s v="O00594"/>
    <d v="2025-10-21T00:00:00"/>
    <s v="C00594"/>
    <s v="Customer 594"/>
    <s v="Chair"/>
    <s v="Furniture"/>
    <s v="Ikea"/>
    <n v="1"/>
    <n v="6490"/>
    <n v="0.05"/>
    <n v="6165.5"/>
    <n v="848.3"/>
    <s v="COD"/>
    <s v="Mumbai"/>
    <s v="Maharashtra"/>
    <s v="Priya"/>
    <s v="Delivered"/>
    <n v="5"/>
  </r>
  <r>
    <s v="O00595"/>
    <d v="2025-02-10T00:00:00"/>
    <s v="C00595"/>
    <s v="Customer 595"/>
    <s v="Headphones"/>
    <s v="Electronics"/>
    <s v="Sony"/>
    <n v="3"/>
    <n v="1714"/>
    <n v="0.15"/>
    <n v="4370.7"/>
    <n v="845.75"/>
    <s v="Wallet"/>
    <s v="Hyderabad"/>
    <s v="Telangana"/>
    <s v="Asha"/>
    <s v="Returned"/>
    <n v="3"/>
  </r>
  <r>
    <s v="O00596"/>
    <d v="2025-06-07T00:00:00"/>
    <s v="C00596"/>
    <s v="Customer 596"/>
    <s v="Book"/>
    <s v="Books"/>
    <s v="Penguin"/>
    <n v="4"/>
    <n v="2883"/>
    <n v="0.1"/>
    <n v="10378.799999999999"/>
    <n v="2696.44"/>
    <s v="Wallet"/>
    <s v="Hyderabad"/>
    <s v="Telangana"/>
    <s v="Anil"/>
    <s v="Returned"/>
    <n v="5"/>
  </r>
  <r>
    <s v="O00597"/>
    <d v="2025-03-25T00:00:00"/>
    <s v="C00597"/>
    <s v="Customer 597"/>
    <s v="Book"/>
    <s v="Books"/>
    <s v="Penguin"/>
    <n v="5"/>
    <n v="1694"/>
    <n v="0.15"/>
    <n v="7199.5"/>
    <n v="993.4"/>
    <s v="Net Banking"/>
    <s v="Bengaluru"/>
    <s v="Karnataka"/>
    <s v="Asha"/>
    <s v="Delivered"/>
    <n v="4"/>
  </r>
  <r>
    <s v="O00598"/>
    <d v="2025-11-10T00:00:00"/>
    <s v="C00598"/>
    <s v="Customer 598"/>
    <s v="Shoes"/>
    <s v="Fashion"/>
    <s v="Nike"/>
    <n v="2"/>
    <n v="5903"/>
    <n v="0"/>
    <n v="11806"/>
    <n v="2544.4699999999998"/>
    <s v="Net Banking"/>
    <s v="Chennai"/>
    <s v="Tamil Nadu"/>
    <s v="Anil"/>
    <s v="Returned"/>
    <n v="5"/>
  </r>
  <r>
    <s v="O00599"/>
    <d v="2025-12-20T00:00:00"/>
    <s v="C00599"/>
    <s v="Customer 599"/>
    <s v="Book"/>
    <s v="Books"/>
    <s v="Penguin"/>
    <n v="4"/>
    <n v="6740"/>
    <n v="0"/>
    <n v="26960"/>
    <n v="8068.18"/>
    <s v="Wallet"/>
    <s v="Chennai"/>
    <s v="Tamil Nadu"/>
    <s v="Rahul"/>
    <s v="Cancelled"/>
    <n v="2"/>
  </r>
  <r>
    <s v="O00600"/>
    <d v="2025-10-13T00:00:00"/>
    <s v="C00600"/>
    <s v="Customer 600"/>
    <s v="Watch"/>
    <s v="Accessories"/>
    <s v="Fossil"/>
    <n v="3"/>
    <n v="4982"/>
    <n v="0.2"/>
    <n v="11956.8"/>
    <n v="1686.04"/>
    <s v="Card"/>
    <s v="Mumbai"/>
    <s v="Maharashtra"/>
    <s v="Rahul"/>
    <s v="Shipped"/>
    <n v="1"/>
  </r>
  <r>
    <s v="O00601"/>
    <d v="2025-01-29T00:00:00"/>
    <s v="C00601"/>
    <s v="Customer 601"/>
    <s v="Shoes"/>
    <s v="Fashion"/>
    <s v="Nike"/>
    <n v="2"/>
    <n v="13442"/>
    <n v="0.05"/>
    <n v="25539.8"/>
    <n v="4644.8500000000004"/>
    <s v="Wallet"/>
    <s v="Bengaluru"/>
    <s v="Karnataka"/>
    <s v="Anil"/>
    <s v="Delivered"/>
    <n v="1"/>
  </r>
  <r>
    <s v="O00602"/>
    <d v="2025-02-12T00:00:00"/>
    <s v="C00602"/>
    <s v="Customer 602"/>
    <s v="Shoes"/>
    <s v="Fashion"/>
    <s v="Nike"/>
    <n v="3"/>
    <n v="14242"/>
    <n v="0.05"/>
    <n v="40589.699999999997"/>
    <n v="6023.66"/>
    <s v="COD"/>
    <s v="Bengaluru"/>
    <s v="Karnataka"/>
    <s v="John"/>
    <s v="Delivered"/>
    <n v="1"/>
  </r>
  <r>
    <s v="O00603"/>
    <d v="2025-11-06T00:00:00"/>
    <s v="C00603"/>
    <s v="Customer 603"/>
    <s v="Book"/>
    <s v="Books"/>
    <s v="Penguin"/>
    <n v="3"/>
    <n v="10431"/>
    <n v="0.2"/>
    <n v="25034.400000000001"/>
    <n v="5974.33"/>
    <s v="COD"/>
    <s v="Hyderabad"/>
    <s v="Telangana"/>
    <s v="Rahul"/>
    <s v="Returned"/>
    <n v="3"/>
  </r>
  <r>
    <s v="O00604"/>
    <d v="2025-07-20T00:00:00"/>
    <s v="C00604"/>
    <s v="Customer 604"/>
    <s v="Headphones"/>
    <s v="Electronics"/>
    <s v="Sony"/>
    <n v="5"/>
    <n v="10579"/>
    <n v="0.2"/>
    <n v="42316"/>
    <n v="8590.61"/>
    <s v="Net Banking"/>
    <s v="Delhi"/>
    <s v="Delhi"/>
    <s v="John"/>
    <s v="Returned"/>
    <n v="4"/>
  </r>
  <r>
    <s v="O00605"/>
    <d v="2025-11-29T00:00:00"/>
    <s v="C00605"/>
    <s v="Customer 605"/>
    <s v="Watch"/>
    <s v="Accessories"/>
    <s v="Fossil"/>
    <n v="1"/>
    <n v="1042"/>
    <n v="0"/>
    <n v="1042"/>
    <n v="282.77999999999997"/>
    <s v="Card"/>
    <s v="Chennai"/>
    <s v="Tamil Nadu"/>
    <s v="Priya"/>
    <s v="Delivered"/>
    <n v="3"/>
  </r>
  <r>
    <s v="O00606"/>
    <d v="2025-04-27T00:00:00"/>
    <s v="C00606"/>
    <s v="Customer 606"/>
    <s v="Mixer"/>
    <s v="Home"/>
    <s v="Philips"/>
    <n v="3"/>
    <n v="5268"/>
    <n v="0.15"/>
    <n v="13433.4"/>
    <n v="1137.77"/>
    <s v="COD"/>
    <s v="Chennai"/>
    <s v="Tamil Nadu"/>
    <s v="Anil"/>
    <s v="Cancelled"/>
    <n v="2"/>
  </r>
  <r>
    <s v="O00607"/>
    <d v="2025-09-26T00:00:00"/>
    <s v="C00607"/>
    <s v="Customer 607"/>
    <s v="Headphones"/>
    <s v="Electronics"/>
    <s v="Sony"/>
    <n v="4"/>
    <n v="10542"/>
    <n v="0.1"/>
    <n v="37951.199999999997"/>
    <n v="5757.26"/>
    <s v="Wallet"/>
    <s v="Kochi"/>
    <s v="Kerala"/>
    <s v="Asha"/>
    <s v="Returned"/>
    <n v="1"/>
  </r>
  <r>
    <s v="O00608"/>
    <d v="2025-10-02T00:00:00"/>
    <s v="C00608"/>
    <s v="Customer 608"/>
    <s v="Shoes"/>
    <s v="Fashion"/>
    <s v="Nike"/>
    <n v="1"/>
    <n v="4775"/>
    <n v="0.05"/>
    <n v="4536.25"/>
    <n v="404.18"/>
    <s v="UPI"/>
    <s v="Bengaluru"/>
    <s v="Karnataka"/>
    <s v="John"/>
    <s v="Delivered"/>
    <n v="3"/>
  </r>
  <r>
    <s v="O00609"/>
    <d v="2025-09-01T00:00:00"/>
    <s v="C00609"/>
    <s v="Customer 609"/>
    <s v="Mixer"/>
    <s v="Home"/>
    <s v="Philips"/>
    <n v="3"/>
    <n v="2713"/>
    <n v="0.15"/>
    <n v="6918.15"/>
    <n v="874.95"/>
    <s v="Card"/>
    <s v="Hyderabad"/>
    <s v="Telangana"/>
    <s v="Anil"/>
    <s v="Shipped"/>
    <n v="1"/>
  </r>
  <r>
    <s v="O00610"/>
    <d v="2025-04-03T00:00:00"/>
    <s v="C00610"/>
    <s v="Customer 610"/>
    <s v="Headphones"/>
    <s v="Electronics"/>
    <s v="Sony"/>
    <n v="2"/>
    <n v="4087"/>
    <n v="0.05"/>
    <n v="7765.3"/>
    <n v="2086.9299999999998"/>
    <s v="UPI"/>
    <s v="Bengaluru"/>
    <s v="Karnataka"/>
    <s v="Rahul"/>
    <s v="Returned"/>
    <n v="5"/>
  </r>
  <r>
    <s v="O00611"/>
    <d v="2025-06-12T00:00:00"/>
    <s v="C00611"/>
    <s v="Customer 611"/>
    <s v="Book"/>
    <s v="Books"/>
    <s v="Penguin"/>
    <n v="2"/>
    <n v="5089"/>
    <n v="0.05"/>
    <n v="9669.1"/>
    <n v="1222.72"/>
    <s v="Wallet"/>
    <s v="Mumbai"/>
    <s v="Maharashtra"/>
    <s v="Anil"/>
    <s v="Cancelled"/>
    <n v="1"/>
  </r>
  <r>
    <s v="O00612"/>
    <d v="2025-02-13T00:00:00"/>
    <s v="C00612"/>
    <s v="Customer 612"/>
    <s v="Book"/>
    <s v="Books"/>
    <s v="Penguin"/>
    <n v="3"/>
    <n v="2764"/>
    <n v="0.15"/>
    <n v="7048.2"/>
    <n v="1420.65"/>
    <s v="Card"/>
    <s v="Delhi"/>
    <s v="Delhi"/>
    <s v="Anil"/>
    <s v="Cancelled"/>
    <n v="3"/>
  </r>
  <r>
    <s v="O00613"/>
    <d v="2025-01-20T00:00:00"/>
    <s v="C00613"/>
    <s v="Customer 613"/>
    <s v="Chair"/>
    <s v="Furniture"/>
    <s v="Ikea"/>
    <n v="1"/>
    <n v="4057"/>
    <n v="0"/>
    <n v="4057"/>
    <n v="668.43"/>
    <s v="Net Banking"/>
    <s v="Chennai"/>
    <s v="Tamil Nadu"/>
    <s v="John"/>
    <s v="Shipped"/>
    <n v="4"/>
  </r>
  <r>
    <s v="O00614"/>
    <d v="2025-07-05T00:00:00"/>
    <s v="C00614"/>
    <s v="Customer 614"/>
    <s v="Shoes"/>
    <s v="Fashion"/>
    <s v="Nike"/>
    <n v="3"/>
    <n v="4443"/>
    <n v="0.05"/>
    <n v="12662.55"/>
    <n v="3735.14"/>
    <s v="Net Banking"/>
    <s v="Delhi"/>
    <s v="Delhi"/>
    <s v="John"/>
    <s v="Cancelled"/>
    <n v="5"/>
  </r>
  <r>
    <s v="O00615"/>
    <d v="2025-09-23T00:00:00"/>
    <s v="C00615"/>
    <s v="Customer 615"/>
    <s v="Watch"/>
    <s v="Accessories"/>
    <s v="Fossil"/>
    <n v="1"/>
    <n v="11625"/>
    <n v="0"/>
    <n v="11625"/>
    <n v="2514.96"/>
    <s v="Card"/>
    <s v="Chennai"/>
    <s v="Tamil Nadu"/>
    <s v="John"/>
    <s v="Cancelled"/>
    <n v="2"/>
  </r>
  <r>
    <s v="O00616"/>
    <d v="2025-06-26T00:00:00"/>
    <s v="C00616"/>
    <s v="Customer 616"/>
    <s v="Shoes"/>
    <s v="Fashion"/>
    <s v="Nike"/>
    <n v="2"/>
    <n v="8287"/>
    <n v="0"/>
    <n v="16574"/>
    <n v="2891.27"/>
    <s v="COD"/>
    <s v="Bengaluru"/>
    <s v="Karnataka"/>
    <s v="Rahul"/>
    <s v="Delivered"/>
    <n v="5"/>
  </r>
  <r>
    <s v="O00617"/>
    <d v="2025-09-21T00:00:00"/>
    <s v="C00617"/>
    <s v="Customer 617"/>
    <s v="Phone"/>
    <s v="Electronics"/>
    <s v="Samsung"/>
    <n v="2"/>
    <n v="3582"/>
    <n v="0.1"/>
    <n v="6447.6"/>
    <n v="1412.65"/>
    <s v="Wallet"/>
    <s v="Bengaluru"/>
    <s v="Karnataka"/>
    <s v="Anil"/>
    <s v="Cancelled"/>
    <n v="2"/>
  </r>
  <r>
    <s v="O00618"/>
    <d v="2025-10-26T00:00:00"/>
    <s v="C00618"/>
    <s v="Customer 618"/>
    <s v="Chair"/>
    <s v="Furniture"/>
    <s v="Ikea"/>
    <n v="1"/>
    <n v="5318"/>
    <n v="0.15"/>
    <n v="4520.3"/>
    <n v="1136.08"/>
    <s v="Card"/>
    <s v="Delhi"/>
    <s v="Delhi"/>
    <s v="Rahul"/>
    <s v="Delivered"/>
    <n v="5"/>
  </r>
  <r>
    <s v="O00619"/>
    <d v="2025-09-09T00:00:00"/>
    <s v="C00619"/>
    <s v="Customer 619"/>
    <s v="Laptop"/>
    <s v="Electronics"/>
    <s v="Dell"/>
    <n v="1"/>
    <n v="4782"/>
    <n v="0.2"/>
    <n v="3825.6"/>
    <n v="1074.52"/>
    <s v="Wallet"/>
    <s v="Mumbai"/>
    <s v="Maharashtra"/>
    <s v="Anil"/>
    <s v="Shipped"/>
    <n v="5"/>
  </r>
  <r>
    <s v="O00620"/>
    <d v="2025-04-07T00:00:00"/>
    <s v="C00620"/>
    <s v="Customer 620"/>
    <s v="Book"/>
    <s v="Books"/>
    <s v="Penguin"/>
    <n v="4"/>
    <n v="6456"/>
    <n v="0.15"/>
    <n v="21950.400000000001"/>
    <n v="6442.16"/>
    <s v="Wallet"/>
    <s v="Mumbai"/>
    <s v="Maharashtra"/>
    <s v="Priya"/>
    <s v="Cancelled"/>
    <n v="4"/>
  </r>
  <r>
    <s v="O00621"/>
    <d v="2025-09-08T00:00:00"/>
    <s v="C00621"/>
    <s v="Customer 621"/>
    <s v="Shoes"/>
    <s v="Fashion"/>
    <s v="Nike"/>
    <n v="2"/>
    <n v="5973"/>
    <n v="0.1"/>
    <n v="10751.4"/>
    <n v="1210.1199999999999"/>
    <s v="UPI"/>
    <s v="Bengaluru"/>
    <s v="Karnataka"/>
    <s v="Priya"/>
    <s v="Delivered"/>
    <n v="2"/>
  </r>
  <r>
    <s v="O00622"/>
    <d v="2025-09-26T00:00:00"/>
    <s v="C00622"/>
    <s v="Customer 622"/>
    <s v="Book"/>
    <s v="Books"/>
    <s v="Penguin"/>
    <n v="2"/>
    <n v="12256"/>
    <n v="0"/>
    <n v="24512"/>
    <n v="6831.1"/>
    <s v="Net Banking"/>
    <s v="Chennai"/>
    <s v="Tamil Nadu"/>
    <s v="Asha"/>
    <s v="Returned"/>
    <n v="5"/>
  </r>
  <r>
    <s v="O00623"/>
    <d v="2025-05-14T00:00:00"/>
    <s v="C00623"/>
    <s v="Customer 623"/>
    <s v="Phone"/>
    <s v="Electronics"/>
    <s v="Samsung"/>
    <n v="2"/>
    <n v="3342"/>
    <n v="0.1"/>
    <n v="6015.6"/>
    <n v="670.79"/>
    <s v="UPI"/>
    <s v="Chennai"/>
    <s v="Tamil Nadu"/>
    <s v="Priya"/>
    <s v="Returned"/>
    <n v="3"/>
  </r>
  <r>
    <s v="O00624"/>
    <d v="2025-09-30T00:00:00"/>
    <s v="C00624"/>
    <s v="Customer 624"/>
    <s v="Headphones"/>
    <s v="Electronics"/>
    <s v="Sony"/>
    <n v="1"/>
    <n v="3142"/>
    <n v="0.15"/>
    <n v="2670.7"/>
    <n v="727.9"/>
    <s v="UPI"/>
    <s v="Bengaluru"/>
    <s v="Karnataka"/>
    <s v="Rahul"/>
    <s v="Delivered"/>
    <n v="3"/>
  </r>
  <r>
    <s v="O00625"/>
    <d v="2025-06-04T00:00:00"/>
    <s v="C00625"/>
    <s v="Customer 625"/>
    <s v="Chair"/>
    <s v="Furniture"/>
    <s v="Ikea"/>
    <n v="2"/>
    <n v="4321"/>
    <n v="0.1"/>
    <n v="7777.8"/>
    <n v="824.34"/>
    <s v="COD"/>
    <s v="Chennai"/>
    <s v="Tamil Nadu"/>
    <s v="Priya"/>
    <s v="Shipped"/>
    <n v="1"/>
  </r>
  <r>
    <s v="O00626"/>
    <d v="2025-07-14T00:00:00"/>
    <s v="C00626"/>
    <s v="Customer 626"/>
    <s v="Watch"/>
    <s v="Accessories"/>
    <s v="Fossil"/>
    <n v="5"/>
    <n v="12975"/>
    <n v="0.05"/>
    <n v="61631.25"/>
    <n v="9931.9699999999993"/>
    <s v="Wallet"/>
    <s v="Chennai"/>
    <s v="Tamil Nadu"/>
    <s v="Anil"/>
    <s v="Shipped"/>
    <n v="5"/>
  </r>
  <r>
    <s v="O00627"/>
    <d v="2025-01-14T00:00:00"/>
    <s v="C00627"/>
    <s v="Customer 627"/>
    <s v="Chair"/>
    <s v="Furniture"/>
    <s v="Ikea"/>
    <n v="5"/>
    <n v="3249"/>
    <n v="0.15"/>
    <n v="13808.25"/>
    <n v="4066.47"/>
    <s v="Card"/>
    <s v="Delhi"/>
    <s v="Delhi"/>
    <s v="John"/>
    <s v="Shipped"/>
    <n v="3"/>
  </r>
  <r>
    <s v="O00628"/>
    <d v="2025-12-04T00:00:00"/>
    <s v="C00628"/>
    <s v="Customer 628"/>
    <s v="Watch"/>
    <s v="Accessories"/>
    <s v="Fossil"/>
    <n v="4"/>
    <n v="10292"/>
    <n v="0.1"/>
    <n v="37051.199999999997"/>
    <n v="4114.6099999999997"/>
    <s v="COD"/>
    <s v="Delhi"/>
    <s v="Delhi"/>
    <s v="Anil"/>
    <s v="Cancelled"/>
    <n v="1"/>
  </r>
  <r>
    <s v="O00629"/>
    <d v="2025-11-14T00:00:00"/>
    <s v="C00629"/>
    <s v="Customer 629"/>
    <s v="Mixer"/>
    <s v="Home"/>
    <s v="Philips"/>
    <n v="1"/>
    <n v="5741"/>
    <n v="0"/>
    <n v="5741"/>
    <n v="728.06"/>
    <s v="Net Banking"/>
    <s v="Mumbai"/>
    <s v="Maharashtra"/>
    <s v="Anil"/>
    <s v="Shipped"/>
    <n v="5"/>
  </r>
  <r>
    <s v="O00630"/>
    <d v="2025-01-26T00:00:00"/>
    <s v="C00630"/>
    <s v="Customer 630"/>
    <s v="Chair"/>
    <s v="Furniture"/>
    <s v="Ikea"/>
    <n v="1"/>
    <n v="6449"/>
    <n v="0"/>
    <n v="6449"/>
    <n v="956.82"/>
    <s v="UPI"/>
    <s v="Kochi"/>
    <s v="Kerala"/>
    <s v="Rahul"/>
    <s v="Shipped"/>
    <n v="5"/>
  </r>
  <r>
    <s v="O00631"/>
    <d v="2025-06-05T00:00:00"/>
    <s v="C00631"/>
    <s v="Customer 631"/>
    <s v="Phone"/>
    <s v="Electronics"/>
    <s v="Samsung"/>
    <n v="1"/>
    <n v="892"/>
    <n v="0.1"/>
    <n v="802.8"/>
    <n v="208.57"/>
    <s v="Net Banking"/>
    <s v="Chennai"/>
    <s v="Tamil Nadu"/>
    <s v="Asha"/>
    <s v="Shipped"/>
    <n v="1"/>
  </r>
  <r>
    <s v="O00632"/>
    <d v="2025-03-25T00:00:00"/>
    <s v="C00632"/>
    <s v="Customer 632"/>
    <s v="Chair"/>
    <s v="Furniture"/>
    <s v="Ikea"/>
    <n v="4"/>
    <n v="5259"/>
    <n v="0.1"/>
    <n v="18932.400000000001"/>
    <n v="1640.32"/>
    <s v="Card"/>
    <s v="Chennai"/>
    <s v="Tamil Nadu"/>
    <s v="Anil"/>
    <s v="Cancelled"/>
    <n v="4"/>
  </r>
  <r>
    <s v="O00633"/>
    <d v="2025-02-26T00:00:00"/>
    <s v="C00633"/>
    <s v="Customer 633"/>
    <s v="Shoes"/>
    <s v="Fashion"/>
    <s v="Nike"/>
    <n v="2"/>
    <n v="5891"/>
    <n v="0.1"/>
    <n v="10603.8"/>
    <n v="2188.17"/>
    <s v="Wallet"/>
    <s v="Mumbai"/>
    <s v="Maharashtra"/>
    <s v="Asha"/>
    <s v="Returned"/>
    <n v="1"/>
  </r>
  <r>
    <s v="O00634"/>
    <d v="2025-06-27T00:00:00"/>
    <s v="C00634"/>
    <s v="Customer 634"/>
    <s v="Headphones"/>
    <s v="Electronics"/>
    <s v="Sony"/>
    <n v="4"/>
    <n v="3342"/>
    <n v="0.15"/>
    <n v="11362.8"/>
    <n v="1849.94"/>
    <s v="UPI"/>
    <s v="Hyderabad"/>
    <s v="Telangana"/>
    <s v="Anil"/>
    <s v="Shipped"/>
    <n v="4"/>
  </r>
  <r>
    <s v="O00635"/>
    <d v="2025-09-09T00:00:00"/>
    <s v="C00635"/>
    <s v="Customer 635"/>
    <s v="Headphones"/>
    <s v="Electronics"/>
    <s v="Sony"/>
    <n v="3"/>
    <n v="3315"/>
    <n v="0.1"/>
    <n v="8950.5"/>
    <n v="1906.41"/>
    <s v="Wallet"/>
    <s v="Hyderabad"/>
    <s v="Telangana"/>
    <s v="Priya"/>
    <s v="Cancelled"/>
    <n v="5"/>
  </r>
  <r>
    <s v="O00636"/>
    <d v="2025-07-21T00:00:00"/>
    <s v="C00636"/>
    <s v="Customer 636"/>
    <s v="Mixer"/>
    <s v="Home"/>
    <s v="Philips"/>
    <n v="4"/>
    <n v="2833"/>
    <n v="0.1"/>
    <n v="10198.799999999999"/>
    <n v="2312.31"/>
    <s v="Net Banking"/>
    <s v="Bengaluru"/>
    <s v="Karnataka"/>
    <s v="Asha"/>
    <s v="Delivered"/>
    <n v="3"/>
  </r>
  <r>
    <s v="O00637"/>
    <d v="2025-08-19T00:00:00"/>
    <s v="C00637"/>
    <s v="Customer 637"/>
    <s v="Book"/>
    <s v="Books"/>
    <s v="Penguin"/>
    <n v="4"/>
    <n v="11395"/>
    <n v="0"/>
    <n v="45580"/>
    <n v="10424.9"/>
    <s v="COD"/>
    <s v="Delhi"/>
    <s v="Delhi"/>
    <s v="John"/>
    <s v="Shipped"/>
    <n v="5"/>
  </r>
  <r>
    <s v="O00638"/>
    <d v="2025-10-05T00:00:00"/>
    <s v="C00638"/>
    <s v="Customer 638"/>
    <s v="Watch"/>
    <s v="Accessories"/>
    <s v="Fossil"/>
    <n v="3"/>
    <n v="4110"/>
    <n v="0.05"/>
    <n v="11713.5"/>
    <n v="1445.71"/>
    <s v="UPI"/>
    <s v="Bengaluru"/>
    <s v="Karnataka"/>
    <s v="Rahul"/>
    <s v="Returned"/>
    <n v="4"/>
  </r>
  <r>
    <s v="O00639"/>
    <d v="2025-02-03T00:00:00"/>
    <s v="C00639"/>
    <s v="Customer 639"/>
    <s v="Chair"/>
    <s v="Furniture"/>
    <s v="Ikea"/>
    <n v="1"/>
    <n v="8563"/>
    <n v="0.05"/>
    <n v="8134.85"/>
    <n v="2122.5300000000002"/>
    <s v="UPI"/>
    <s v="Chennai"/>
    <s v="Tamil Nadu"/>
    <s v="Priya"/>
    <s v="Delivered"/>
    <n v="2"/>
  </r>
  <r>
    <s v="O00640"/>
    <d v="2025-08-27T00:00:00"/>
    <s v="C00640"/>
    <s v="Customer 640"/>
    <s v="Laptop"/>
    <s v="Electronics"/>
    <s v="Dell"/>
    <n v="4"/>
    <n v="6842"/>
    <n v="0.15"/>
    <n v="23262.799999999999"/>
    <n v="3644.05"/>
    <s v="Wallet"/>
    <s v="Bengaluru"/>
    <s v="Karnataka"/>
    <s v="Asha"/>
    <s v="Cancelled"/>
    <n v="2"/>
  </r>
  <r>
    <s v="O00641"/>
    <d v="2025-10-08T00:00:00"/>
    <s v="C00641"/>
    <s v="Customer 641"/>
    <s v="Mixer"/>
    <s v="Home"/>
    <s v="Philips"/>
    <n v="5"/>
    <n v="5935"/>
    <n v="0.1"/>
    <n v="26707.5"/>
    <n v="3583.77"/>
    <s v="Wallet"/>
    <s v="Kochi"/>
    <s v="Kerala"/>
    <s v="Rahul"/>
    <s v="Delivered"/>
    <n v="3"/>
  </r>
  <r>
    <s v="O00642"/>
    <d v="2025-02-22T00:00:00"/>
    <s v="C00642"/>
    <s v="Customer 642"/>
    <s v="Book"/>
    <s v="Books"/>
    <s v="Penguin"/>
    <n v="1"/>
    <n v="2889"/>
    <n v="0.05"/>
    <n v="2744.55"/>
    <n v="347.57"/>
    <s v="Card"/>
    <s v="Delhi"/>
    <s v="Delhi"/>
    <s v="Priya"/>
    <s v="Shipped"/>
    <n v="4"/>
  </r>
  <r>
    <s v="O00643"/>
    <d v="2025-08-08T00:00:00"/>
    <s v="C00643"/>
    <s v="Customer 643"/>
    <s v="Shoes"/>
    <s v="Fashion"/>
    <s v="Nike"/>
    <n v="1"/>
    <n v="8733"/>
    <n v="0"/>
    <n v="8733"/>
    <n v="1261.03"/>
    <s v="Wallet"/>
    <s v="Kochi"/>
    <s v="Kerala"/>
    <s v="Asha"/>
    <s v="Delivered"/>
    <n v="3"/>
  </r>
  <r>
    <s v="O00644"/>
    <d v="2025-12-27T00:00:00"/>
    <s v="C00644"/>
    <s v="Customer 644"/>
    <s v="Mixer"/>
    <s v="Home"/>
    <s v="Philips"/>
    <n v="4"/>
    <n v="11938"/>
    <n v="0.15"/>
    <n v="40589.199999999997"/>
    <n v="11424.41"/>
    <s v="UPI"/>
    <s v="Hyderabad"/>
    <s v="Telangana"/>
    <s v="John"/>
    <s v="Shipped"/>
    <n v="2"/>
  </r>
  <r>
    <s v="O00645"/>
    <d v="2025-06-17T00:00:00"/>
    <s v="C00645"/>
    <s v="Customer 645"/>
    <s v="Laptop"/>
    <s v="Electronics"/>
    <s v="Dell"/>
    <n v="2"/>
    <n v="556"/>
    <n v="0"/>
    <n v="1112"/>
    <n v="282.24"/>
    <s v="Wallet"/>
    <s v="Delhi"/>
    <s v="Delhi"/>
    <s v="Rahul"/>
    <s v="Shipped"/>
    <n v="2"/>
  </r>
  <r>
    <s v="O00646"/>
    <d v="2025-10-01T00:00:00"/>
    <s v="C00646"/>
    <s v="Customer 646"/>
    <s v="Laptop"/>
    <s v="Electronics"/>
    <s v="Dell"/>
    <n v="1"/>
    <n v="12055"/>
    <n v="0.2"/>
    <n v="9644"/>
    <n v="1668.24"/>
    <s v="Net Banking"/>
    <s v="Mumbai"/>
    <s v="Maharashtra"/>
    <s v="Priya"/>
    <s v="Delivered"/>
    <n v="2"/>
  </r>
  <r>
    <s v="O00647"/>
    <d v="2025-01-28T00:00:00"/>
    <s v="C00647"/>
    <s v="Customer 647"/>
    <s v="Book"/>
    <s v="Books"/>
    <s v="Penguin"/>
    <n v="4"/>
    <n v="12742"/>
    <n v="0.1"/>
    <n v="45871.199999999997"/>
    <n v="7135.73"/>
    <s v="UPI"/>
    <s v="Delhi"/>
    <s v="Delhi"/>
    <s v="Priya"/>
    <s v="Returned"/>
    <n v="4"/>
  </r>
  <r>
    <s v="O00648"/>
    <d v="2025-08-31T00:00:00"/>
    <s v="C00648"/>
    <s v="Customer 648"/>
    <s v="Watch"/>
    <s v="Accessories"/>
    <s v="Fossil"/>
    <n v="5"/>
    <n v="7616"/>
    <n v="0.2"/>
    <n v="30464"/>
    <n v="5898.35"/>
    <s v="COD"/>
    <s v="Delhi"/>
    <s v="Delhi"/>
    <s v="John"/>
    <s v="Returned"/>
    <n v="1"/>
  </r>
  <r>
    <s v="O00649"/>
    <d v="2025-06-19T00:00:00"/>
    <s v="C00649"/>
    <s v="Customer 649"/>
    <s v="Laptop"/>
    <s v="Electronics"/>
    <s v="Dell"/>
    <n v="3"/>
    <n v="14392"/>
    <n v="0.15"/>
    <n v="36699.599999999999"/>
    <n v="5490.17"/>
    <s v="Wallet"/>
    <s v="Delhi"/>
    <s v="Delhi"/>
    <s v="Asha"/>
    <s v="Returned"/>
    <n v="4"/>
  </r>
  <r>
    <s v="O00650"/>
    <d v="2025-01-23T00:00:00"/>
    <s v="C00650"/>
    <s v="Customer 650"/>
    <s v="Shoes"/>
    <s v="Fashion"/>
    <s v="Nike"/>
    <n v="2"/>
    <n v="6911"/>
    <n v="0"/>
    <n v="13822"/>
    <n v="1314.09"/>
    <s v="Wallet"/>
    <s v="Mumbai"/>
    <s v="Maharashtra"/>
    <s v="Priya"/>
    <s v="Delivered"/>
    <n v="5"/>
  </r>
  <r>
    <s v="O00651"/>
    <d v="2025-06-07T00:00:00"/>
    <s v="C00651"/>
    <s v="Customer 651"/>
    <s v="Headphones"/>
    <s v="Electronics"/>
    <s v="Sony"/>
    <n v="3"/>
    <n v="12161"/>
    <n v="0.05"/>
    <n v="34658.85"/>
    <n v="6436.26"/>
    <s v="Card"/>
    <s v="Kochi"/>
    <s v="Kerala"/>
    <s v="Rahul"/>
    <s v="Shipped"/>
    <n v="5"/>
  </r>
  <r>
    <s v="O00652"/>
    <d v="2025-07-14T00:00:00"/>
    <s v="C00652"/>
    <s v="Customer 652"/>
    <s v="Watch"/>
    <s v="Accessories"/>
    <s v="Fossil"/>
    <n v="1"/>
    <n v="6700"/>
    <n v="0.15"/>
    <n v="5695"/>
    <n v="1520.21"/>
    <s v="UPI"/>
    <s v="Delhi"/>
    <s v="Delhi"/>
    <s v="Priya"/>
    <s v="Delivered"/>
    <n v="4"/>
  </r>
  <r>
    <s v="O00653"/>
    <d v="2025-05-15T00:00:00"/>
    <s v="C00653"/>
    <s v="Customer 653"/>
    <s v="Shoes"/>
    <s v="Fashion"/>
    <s v="Nike"/>
    <n v="2"/>
    <n v="11553"/>
    <n v="0.05"/>
    <n v="21950.7"/>
    <n v="2700.96"/>
    <s v="UPI"/>
    <s v="Chennai"/>
    <s v="Tamil Nadu"/>
    <s v="Asha"/>
    <s v="Cancelled"/>
    <n v="5"/>
  </r>
  <r>
    <s v="O00654"/>
    <d v="2025-03-12T00:00:00"/>
    <s v="C00654"/>
    <s v="Customer 654"/>
    <s v="Mixer"/>
    <s v="Home"/>
    <s v="Philips"/>
    <n v="3"/>
    <n v="4053"/>
    <n v="0.05"/>
    <n v="11551.05"/>
    <n v="2522.2399999999998"/>
    <s v="COD"/>
    <s v="Bengaluru"/>
    <s v="Karnataka"/>
    <s v="John"/>
    <s v="Cancelled"/>
    <n v="2"/>
  </r>
  <r>
    <s v="O00655"/>
    <d v="2025-05-31T00:00:00"/>
    <s v="C00655"/>
    <s v="Customer 655"/>
    <s v="Headphones"/>
    <s v="Electronics"/>
    <s v="Sony"/>
    <n v="1"/>
    <n v="9410"/>
    <n v="0.1"/>
    <n v="8469"/>
    <n v="1310.24"/>
    <s v="Card"/>
    <s v="Delhi"/>
    <s v="Delhi"/>
    <s v="Rahul"/>
    <s v="Cancelled"/>
    <n v="1"/>
  </r>
  <r>
    <s v="O00656"/>
    <d v="2025-07-18T00:00:00"/>
    <s v="C00656"/>
    <s v="Customer 656"/>
    <s v="Watch"/>
    <s v="Accessories"/>
    <s v="Fossil"/>
    <n v="1"/>
    <n v="9570"/>
    <n v="0.2"/>
    <n v="7656"/>
    <n v="2266.77"/>
    <s v="Net Banking"/>
    <s v="Kochi"/>
    <s v="Kerala"/>
    <s v="Anil"/>
    <s v="Delivered"/>
    <n v="2"/>
  </r>
  <r>
    <s v="O00657"/>
    <d v="2025-03-27T00:00:00"/>
    <s v="C00657"/>
    <s v="Customer 657"/>
    <s v="Chair"/>
    <s v="Furniture"/>
    <s v="Ikea"/>
    <n v="4"/>
    <n v="13451"/>
    <n v="0.15"/>
    <n v="45733.4"/>
    <n v="7765.98"/>
    <s v="UPI"/>
    <s v="Hyderabad"/>
    <s v="Telangana"/>
    <s v="Asha"/>
    <s v="Delivered"/>
    <n v="2"/>
  </r>
  <r>
    <s v="O00658"/>
    <d v="2025-01-28T00:00:00"/>
    <s v="C00658"/>
    <s v="Customer 658"/>
    <s v="Book"/>
    <s v="Books"/>
    <s v="Penguin"/>
    <n v="5"/>
    <n v="9996"/>
    <n v="0.05"/>
    <n v="47481"/>
    <n v="9808.06"/>
    <s v="Wallet"/>
    <s v="Mumbai"/>
    <s v="Maharashtra"/>
    <s v="Asha"/>
    <s v="Cancelled"/>
    <n v="4"/>
  </r>
  <r>
    <s v="O00659"/>
    <d v="2025-03-22T00:00:00"/>
    <s v="C00659"/>
    <s v="Customer 659"/>
    <s v="Laptop"/>
    <s v="Electronics"/>
    <s v="Dell"/>
    <n v="1"/>
    <n v="4375"/>
    <n v="0.1"/>
    <n v="3937.5"/>
    <n v="737.12"/>
    <s v="Card"/>
    <s v="Bengaluru"/>
    <s v="Karnataka"/>
    <s v="Priya"/>
    <s v="Shipped"/>
    <n v="2"/>
  </r>
  <r>
    <s v="O00660"/>
    <d v="2025-03-05T00:00:00"/>
    <s v="C00660"/>
    <s v="Customer 660"/>
    <s v="Mixer"/>
    <s v="Home"/>
    <s v="Philips"/>
    <n v="2"/>
    <n v="11078"/>
    <n v="0.05"/>
    <n v="21048.2"/>
    <n v="3128.76"/>
    <s v="UPI"/>
    <s v="Mumbai"/>
    <s v="Maharashtra"/>
    <s v="John"/>
    <s v="Returned"/>
    <n v="4"/>
  </r>
  <r>
    <s v="O00661"/>
    <d v="2025-05-16T00:00:00"/>
    <s v="C00661"/>
    <s v="Customer 661"/>
    <s v="Shoes"/>
    <s v="Fashion"/>
    <s v="Nike"/>
    <n v="3"/>
    <n v="3094"/>
    <n v="0.1"/>
    <n v="8353.7999999999993"/>
    <n v="2010.02"/>
    <s v="Card"/>
    <s v="Hyderabad"/>
    <s v="Telangana"/>
    <s v="Anil"/>
    <s v="Shipped"/>
    <n v="4"/>
  </r>
  <r>
    <s v="O00662"/>
    <d v="2025-05-26T00:00:00"/>
    <s v="C00662"/>
    <s v="Customer 662"/>
    <s v="Chair"/>
    <s v="Furniture"/>
    <s v="Ikea"/>
    <n v="3"/>
    <n v="8449"/>
    <n v="0.05"/>
    <n v="24079.65"/>
    <n v="6889.75"/>
    <s v="Net Banking"/>
    <s v="Bengaluru"/>
    <s v="Karnataka"/>
    <s v="Rahul"/>
    <s v="Returned"/>
    <n v="4"/>
  </r>
  <r>
    <s v="O00663"/>
    <d v="2025-06-15T00:00:00"/>
    <s v="C00663"/>
    <s v="Customer 663"/>
    <s v="Laptop"/>
    <s v="Electronics"/>
    <s v="Dell"/>
    <n v="1"/>
    <n v="9456"/>
    <n v="0.15"/>
    <n v="8037.6"/>
    <n v="1086.67"/>
    <s v="Card"/>
    <s v="Hyderabad"/>
    <s v="Telangana"/>
    <s v="Rahul"/>
    <s v="Shipped"/>
    <n v="1"/>
  </r>
  <r>
    <s v="O00664"/>
    <d v="2025-05-13T00:00:00"/>
    <s v="C00664"/>
    <s v="Customer 664"/>
    <s v="Shoes"/>
    <s v="Fashion"/>
    <s v="Nike"/>
    <n v="5"/>
    <n v="12314"/>
    <n v="0"/>
    <n v="61570"/>
    <n v="14200.05"/>
    <s v="Wallet"/>
    <s v="Hyderabad"/>
    <s v="Telangana"/>
    <s v="Anil"/>
    <s v="Shipped"/>
    <n v="1"/>
  </r>
  <r>
    <s v="O00665"/>
    <d v="2025-09-30T00:00:00"/>
    <s v="C00665"/>
    <s v="Customer 665"/>
    <s v="Phone"/>
    <s v="Electronics"/>
    <s v="Samsung"/>
    <n v="4"/>
    <n v="14509"/>
    <n v="0"/>
    <n v="58036"/>
    <n v="17135.32"/>
    <s v="Wallet"/>
    <s v="Kochi"/>
    <s v="Kerala"/>
    <s v="Asha"/>
    <s v="Shipped"/>
    <n v="3"/>
  </r>
  <r>
    <s v="O00666"/>
    <d v="2025-08-18T00:00:00"/>
    <s v="C00666"/>
    <s v="Customer 666"/>
    <s v="Mixer"/>
    <s v="Home"/>
    <s v="Philips"/>
    <n v="2"/>
    <n v="7214"/>
    <n v="0.05"/>
    <n v="13706.6"/>
    <n v="1706.46"/>
    <s v="Wallet"/>
    <s v="Kochi"/>
    <s v="Kerala"/>
    <s v="Priya"/>
    <s v="Delivered"/>
    <n v="1"/>
  </r>
  <r>
    <s v="O00667"/>
    <d v="2025-10-18T00:00:00"/>
    <s v="C00667"/>
    <s v="Customer 667"/>
    <s v="Phone"/>
    <s v="Electronics"/>
    <s v="Samsung"/>
    <n v="2"/>
    <n v="7247"/>
    <n v="0.1"/>
    <n v="13044.6"/>
    <n v="3762.57"/>
    <s v="Wallet"/>
    <s v="Bengaluru"/>
    <s v="Karnataka"/>
    <s v="Priya"/>
    <s v="Delivered"/>
    <n v="5"/>
  </r>
  <r>
    <s v="O00668"/>
    <d v="2025-12-03T00:00:00"/>
    <s v="C00668"/>
    <s v="Customer 668"/>
    <s v="Chair"/>
    <s v="Furniture"/>
    <s v="Ikea"/>
    <n v="4"/>
    <n v="14393"/>
    <n v="0"/>
    <n v="57572"/>
    <n v="13724.08"/>
    <s v="Net Banking"/>
    <s v="Chennai"/>
    <s v="Tamil Nadu"/>
    <s v="Asha"/>
    <s v="Returned"/>
    <n v="5"/>
  </r>
  <r>
    <s v="O00669"/>
    <d v="2025-10-23T00:00:00"/>
    <s v="C00669"/>
    <s v="Customer 669"/>
    <s v="Mixer"/>
    <s v="Home"/>
    <s v="Philips"/>
    <n v="4"/>
    <n v="9219"/>
    <n v="0.2"/>
    <n v="29500.799999999999"/>
    <n v="5110.67"/>
    <s v="UPI"/>
    <s v="Chennai"/>
    <s v="Tamil Nadu"/>
    <s v="Asha"/>
    <s v="Shipped"/>
    <n v="3"/>
  </r>
  <r>
    <s v="O00670"/>
    <d v="2025-08-03T00:00:00"/>
    <s v="C00670"/>
    <s v="Customer 670"/>
    <s v="Mixer"/>
    <s v="Home"/>
    <s v="Philips"/>
    <n v="1"/>
    <n v="11929"/>
    <n v="0.05"/>
    <n v="11332.55"/>
    <n v="3034.76"/>
    <s v="Card"/>
    <s v="Bengaluru"/>
    <s v="Karnataka"/>
    <s v="John"/>
    <s v="Cancelled"/>
    <n v="1"/>
  </r>
  <r>
    <s v="O00671"/>
    <d v="2025-07-24T00:00:00"/>
    <s v="C00671"/>
    <s v="Customer 671"/>
    <s v="Shoes"/>
    <s v="Fashion"/>
    <s v="Nike"/>
    <n v="5"/>
    <n v="693"/>
    <n v="0.15"/>
    <n v="2945.25"/>
    <n v="857.82"/>
    <s v="UPI"/>
    <s v="Hyderabad"/>
    <s v="Telangana"/>
    <s v="Anil"/>
    <s v="Cancelled"/>
    <n v="2"/>
  </r>
  <r>
    <s v="O00672"/>
    <d v="2025-03-01T00:00:00"/>
    <s v="C00672"/>
    <s v="Customer 672"/>
    <s v="Chair"/>
    <s v="Furniture"/>
    <s v="Ikea"/>
    <n v="3"/>
    <n v="11612"/>
    <n v="0.1"/>
    <n v="31352.400000000001"/>
    <n v="2780.11"/>
    <s v="Wallet"/>
    <s v="Kochi"/>
    <s v="Kerala"/>
    <s v="Priya"/>
    <s v="Shipped"/>
    <n v="3"/>
  </r>
  <r>
    <s v="O00673"/>
    <d v="2025-10-22T00:00:00"/>
    <s v="C00673"/>
    <s v="Customer 673"/>
    <s v="Laptop"/>
    <s v="Electronics"/>
    <s v="Dell"/>
    <n v="2"/>
    <n v="1931"/>
    <n v="0.1"/>
    <n v="3475.8"/>
    <n v="1018.25"/>
    <s v="Card"/>
    <s v="Chennai"/>
    <s v="Tamil Nadu"/>
    <s v="John"/>
    <s v="Shipped"/>
    <n v="3"/>
  </r>
  <r>
    <s v="O00674"/>
    <d v="2025-10-12T00:00:00"/>
    <s v="C00674"/>
    <s v="Customer 674"/>
    <s v="Chair"/>
    <s v="Furniture"/>
    <s v="Ikea"/>
    <n v="4"/>
    <n v="440"/>
    <n v="0.15"/>
    <n v="1496"/>
    <n v="331.96"/>
    <s v="Wallet"/>
    <s v="Chennai"/>
    <s v="Tamil Nadu"/>
    <s v="Rahul"/>
    <s v="Cancelled"/>
    <n v="4"/>
  </r>
  <r>
    <s v="O00675"/>
    <d v="2025-11-21T00:00:00"/>
    <s v="C00675"/>
    <s v="Customer 675"/>
    <s v="Laptop"/>
    <s v="Electronics"/>
    <s v="Dell"/>
    <n v="5"/>
    <n v="448"/>
    <n v="0.05"/>
    <n v="2128"/>
    <n v="402.46"/>
    <s v="Net Banking"/>
    <s v="Delhi"/>
    <s v="Delhi"/>
    <s v="Asha"/>
    <s v="Shipped"/>
    <n v="5"/>
  </r>
  <r>
    <s v="O00676"/>
    <d v="2025-11-28T00:00:00"/>
    <s v="C00676"/>
    <s v="Customer 676"/>
    <s v="Phone"/>
    <s v="Electronics"/>
    <s v="Samsung"/>
    <n v="1"/>
    <n v="11582"/>
    <n v="0.2"/>
    <n v="9265.6"/>
    <n v="2470.31"/>
    <s v="UPI"/>
    <s v="Delhi"/>
    <s v="Delhi"/>
    <s v="Priya"/>
    <s v="Cancelled"/>
    <n v="3"/>
  </r>
  <r>
    <s v="O00677"/>
    <d v="2025-02-18T00:00:00"/>
    <s v="C00677"/>
    <s v="Customer 677"/>
    <s v="Headphones"/>
    <s v="Electronics"/>
    <s v="Sony"/>
    <n v="4"/>
    <n v="5246"/>
    <n v="0"/>
    <n v="20984"/>
    <n v="4120"/>
    <s v="Wallet"/>
    <s v="Bengaluru"/>
    <s v="Karnataka"/>
    <s v="Rahul"/>
    <s v="Delivered"/>
    <n v="2"/>
  </r>
  <r>
    <s v="O00678"/>
    <d v="2025-07-02T00:00:00"/>
    <s v="C00678"/>
    <s v="Customer 678"/>
    <s v="Watch"/>
    <s v="Accessories"/>
    <s v="Fossil"/>
    <n v="1"/>
    <n v="3263"/>
    <n v="0"/>
    <n v="3263"/>
    <n v="910.92"/>
    <s v="UPI"/>
    <s v="Delhi"/>
    <s v="Delhi"/>
    <s v="John"/>
    <s v="Cancelled"/>
    <n v="3"/>
  </r>
  <r>
    <s v="O00679"/>
    <d v="2025-08-29T00:00:00"/>
    <s v="C00679"/>
    <s v="Customer 679"/>
    <s v="Watch"/>
    <s v="Accessories"/>
    <s v="Fossil"/>
    <n v="3"/>
    <n v="10516"/>
    <n v="0.2"/>
    <n v="25238.400000000001"/>
    <n v="6543.55"/>
    <s v="Wallet"/>
    <s v="Chennai"/>
    <s v="Tamil Nadu"/>
    <s v="John"/>
    <s v="Delivered"/>
    <n v="3"/>
  </r>
  <r>
    <s v="O00680"/>
    <d v="2025-03-10T00:00:00"/>
    <s v="C00680"/>
    <s v="Customer 680"/>
    <s v="Phone"/>
    <s v="Electronics"/>
    <s v="Samsung"/>
    <n v="2"/>
    <n v="11313"/>
    <n v="0.05"/>
    <n v="21494.7"/>
    <n v="5930.74"/>
    <s v="COD"/>
    <s v="Kochi"/>
    <s v="Kerala"/>
    <s v="Priya"/>
    <s v="Cancelled"/>
    <n v="2"/>
  </r>
  <r>
    <s v="O00681"/>
    <d v="2025-01-19T00:00:00"/>
    <s v="C00681"/>
    <s v="Customer 681"/>
    <s v="Watch"/>
    <s v="Accessories"/>
    <s v="Fossil"/>
    <n v="3"/>
    <n v="247"/>
    <n v="0.2"/>
    <n v="592.79999999999995"/>
    <n v="65.94"/>
    <s v="COD"/>
    <s v="Hyderabad"/>
    <s v="Telangana"/>
    <s v="Rahul"/>
    <s v="Cancelled"/>
    <n v="5"/>
  </r>
  <r>
    <s v="O00682"/>
    <d v="2025-01-02T00:00:00"/>
    <s v="C00682"/>
    <s v="Customer 682"/>
    <s v="Shoes"/>
    <s v="Fashion"/>
    <s v="Nike"/>
    <n v="5"/>
    <n v="5070"/>
    <n v="0.15"/>
    <n v="21547.5"/>
    <n v="4997.75"/>
    <s v="Net Banking"/>
    <s v="Kochi"/>
    <s v="Kerala"/>
    <s v="John"/>
    <s v="Cancelled"/>
    <n v="4"/>
  </r>
  <r>
    <s v="O00683"/>
    <d v="2025-02-21T00:00:00"/>
    <s v="C00683"/>
    <s v="Customer 683"/>
    <s v="Shoes"/>
    <s v="Fashion"/>
    <s v="Nike"/>
    <n v="5"/>
    <n v="7996"/>
    <n v="0.1"/>
    <n v="35982"/>
    <n v="5284.6"/>
    <s v="Net Banking"/>
    <s v="Kochi"/>
    <s v="Kerala"/>
    <s v="John"/>
    <s v="Shipped"/>
    <n v="3"/>
  </r>
  <r>
    <s v="O00684"/>
    <d v="2025-06-13T00:00:00"/>
    <s v="C00684"/>
    <s v="Customer 684"/>
    <s v="Phone"/>
    <s v="Electronics"/>
    <s v="Samsung"/>
    <n v="4"/>
    <n v="5364"/>
    <n v="0"/>
    <n v="21456"/>
    <n v="2046.8"/>
    <s v="UPI"/>
    <s v="Chennai"/>
    <s v="Tamil Nadu"/>
    <s v="Rahul"/>
    <s v="Returned"/>
    <n v="3"/>
  </r>
  <r>
    <s v="O00685"/>
    <d v="2025-11-30T00:00:00"/>
    <s v="C00685"/>
    <s v="Customer 685"/>
    <s v="Laptop"/>
    <s v="Electronics"/>
    <s v="Dell"/>
    <n v="4"/>
    <n v="11846"/>
    <n v="0.05"/>
    <n v="45014.8"/>
    <n v="3769.39"/>
    <s v="COD"/>
    <s v="Kochi"/>
    <s v="Kerala"/>
    <s v="John"/>
    <s v="Cancelled"/>
    <n v="2"/>
  </r>
  <r>
    <s v="O00686"/>
    <d v="2025-04-13T00:00:00"/>
    <s v="C00686"/>
    <s v="Customer 686"/>
    <s v="Mixer"/>
    <s v="Home"/>
    <s v="Philips"/>
    <n v="5"/>
    <n v="7528"/>
    <n v="0.2"/>
    <n v="30112"/>
    <n v="5327.7"/>
    <s v="Wallet"/>
    <s v="Bengaluru"/>
    <s v="Karnataka"/>
    <s v="Anil"/>
    <s v="Delivered"/>
    <n v="1"/>
  </r>
  <r>
    <s v="O00687"/>
    <d v="2025-09-24T00:00:00"/>
    <s v="C00687"/>
    <s v="Customer 687"/>
    <s v="Chair"/>
    <s v="Furniture"/>
    <s v="Ikea"/>
    <n v="2"/>
    <n v="2079"/>
    <n v="0.05"/>
    <n v="3950.1"/>
    <n v="535.85"/>
    <s v="UPI"/>
    <s v="Kochi"/>
    <s v="Kerala"/>
    <s v="Rahul"/>
    <s v="Shipped"/>
    <n v="2"/>
  </r>
  <r>
    <s v="O00688"/>
    <d v="2025-03-24T00:00:00"/>
    <s v="C00688"/>
    <s v="Customer 688"/>
    <s v="Chair"/>
    <s v="Furniture"/>
    <s v="Ikea"/>
    <n v="3"/>
    <n v="6525"/>
    <n v="0"/>
    <n v="19575"/>
    <n v="3465.19"/>
    <s v="COD"/>
    <s v="Kochi"/>
    <s v="Kerala"/>
    <s v="Rahul"/>
    <s v="Cancelled"/>
    <n v="3"/>
  </r>
  <r>
    <s v="O00689"/>
    <d v="2025-05-26T00:00:00"/>
    <s v="C00689"/>
    <s v="Customer 689"/>
    <s v="Phone"/>
    <s v="Electronics"/>
    <s v="Samsung"/>
    <n v="5"/>
    <n v="10449"/>
    <n v="0.15"/>
    <n v="44408.25"/>
    <n v="8680.67"/>
    <s v="Card"/>
    <s v="Chennai"/>
    <s v="Tamil Nadu"/>
    <s v="Priya"/>
    <s v="Cancelled"/>
    <n v="2"/>
  </r>
  <r>
    <s v="O00690"/>
    <d v="2025-07-21T00:00:00"/>
    <s v="C00690"/>
    <s v="Customer 690"/>
    <s v="Chair"/>
    <s v="Furniture"/>
    <s v="Ikea"/>
    <n v="5"/>
    <n v="13825"/>
    <n v="0.05"/>
    <n v="65668.75"/>
    <n v="14770.76"/>
    <s v="COD"/>
    <s v="Kochi"/>
    <s v="Kerala"/>
    <s v="Rahul"/>
    <s v="Delivered"/>
    <n v="5"/>
  </r>
  <r>
    <s v="O00691"/>
    <d v="2025-07-10T00:00:00"/>
    <s v="C00691"/>
    <s v="Customer 691"/>
    <s v="Phone"/>
    <s v="Electronics"/>
    <s v="Samsung"/>
    <n v="4"/>
    <n v="10862"/>
    <n v="0.05"/>
    <n v="41275.599999999999"/>
    <n v="6207.55"/>
    <s v="Wallet"/>
    <s v="Chennai"/>
    <s v="Tamil Nadu"/>
    <s v="Asha"/>
    <s v="Delivered"/>
    <n v="2"/>
  </r>
  <r>
    <s v="O00692"/>
    <d v="2025-08-20T00:00:00"/>
    <s v="C00692"/>
    <s v="Customer 692"/>
    <s v="Shoes"/>
    <s v="Fashion"/>
    <s v="Nike"/>
    <n v="4"/>
    <n v="1665"/>
    <n v="0.2"/>
    <n v="5328"/>
    <n v="837.03"/>
    <s v="COD"/>
    <s v="Kochi"/>
    <s v="Kerala"/>
    <s v="John"/>
    <s v="Cancelled"/>
    <n v="1"/>
  </r>
  <r>
    <s v="O00693"/>
    <d v="2025-07-20T00:00:00"/>
    <s v="C00693"/>
    <s v="Customer 693"/>
    <s v="Laptop"/>
    <s v="Electronics"/>
    <s v="Dell"/>
    <n v="3"/>
    <n v="12041"/>
    <n v="0.15"/>
    <n v="30704.55"/>
    <n v="6423.1"/>
    <s v="COD"/>
    <s v="Chennai"/>
    <s v="Tamil Nadu"/>
    <s v="Anil"/>
    <s v="Delivered"/>
    <n v="1"/>
  </r>
  <r>
    <s v="O00694"/>
    <d v="2025-04-08T00:00:00"/>
    <s v="C00694"/>
    <s v="Customer 694"/>
    <s v="Headphones"/>
    <s v="Electronics"/>
    <s v="Sony"/>
    <n v="1"/>
    <n v="10255"/>
    <n v="0.2"/>
    <n v="8204"/>
    <n v="2348.91"/>
    <s v="Wallet"/>
    <s v="Hyderabad"/>
    <s v="Telangana"/>
    <s v="Rahul"/>
    <s v="Delivered"/>
    <n v="4"/>
  </r>
  <r>
    <s v="O00695"/>
    <d v="2025-08-17T00:00:00"/>
    <s v="C00695"/>
    <s v="Customer 695"/>
    <s v="Chair"/>
    <s v="Furniture"/>
    <s v="Ikea"/>
    <n v="5"/>
    <n v="4207"/>
    <n v="0.1"/>
    <n v="18931.5"/>
    <n v="3862.49"/>
    <s v="Card"/>
    <s v="Kochi"/>
    <s v="Kerala"/>
    <s v="Rahul"/>
    <s v="Delivered"/>
    <n v="2"/>
  </r>
  <r>
    <s v="O00696"/>
    <d v="2025-11-24T00:00:00"/>
    <s v="C00696"/>
    <s v="Customer 696"/>
    <s v="Shoes"/>
    <s v="Fashion"/>
    <s v="Nike"/>
    <n v="5"/>
    <n v="14374"/>
    <n v="0.2"/>
    <n v="57496"/>
    <n v="7998.77"/>
    <s v="COD"/>
    <s v="Bengaluru"/>
    <s v="Karnataka"/>
    <s v="Rahul"/>
    <s v="Shipped"/>
    <n v="4"/>
  </r>
  <r>
    <s v="O00697"/>
    <d v="2025-08-31T00:00:00"/>
    <s v="C00697"/>
    <s v="Customer 697"/>
    <s v="Chair"/>
    <s v="Furniture"/>
    <s v="Ikea"/>
    <n v="4"/>
    <n v="14847"/>
    <n v="0.05"/>
    <n v="56418.6"/>
    <n v="15502.81"/>
    <s v="Card"/>
    <s v="Chennai"/>
    <s v="Tamil Nadu"/>
    <s v="John"/>
    <s v="Delivered"/>
    <n v="2"/>
  </r>
  <r>
    <s v="O00698"/>
    <d v="2025-02-28T00:00:00"/>
    <s v="C00698"/>
    <s v="Customer 698"/>
    <s v="Laptop"/>
    <s v="Electronics"/>
    <s v="Dell"/>
    <n v="3"/>
    <n v="7962"/>
    <n v="0.05"/>
    <n v="22691.7"/>
    <n v="5389.48"/>
    <s v="Net Banking"/>
    <s v="Mumbai"/>
    <s v="Maharashtra"/>
    <s v="John"/>
    <s v="Cancelled"/>
    <n v="5"/>
  </r>
  <r>
    <s v="O00699"/>
    <d v="2025-05-17T00:00:00"/>
    <s v="C00699"/>
    <s v="Customer 699"/>
    <s v="Book"/>
    <s v="Books"/>
    <s v="Penguin"/>
    <n v="1"/>
    <n v="8745"/>
    <n v="0.15"/>
    <n v="7433.25"/>
    <n v="630.33000000000004"/>
    <s v="UPI"/>
    <s v="Delhi"/>
    <s v="Delhi"/>
    <s v="John"/>
    <s v="Cancelled"/>
    <n v="3"/>
  </r>
  <r>
    <s v="O00700"/>
    <d v="2025-09-14T00:00:00"/>
    <s v="C00700"/>
    <s v="Customer 700"/>
    <s v="Laptop"/>
    <s v="Electronics"/>
    <s v="Dell"/>
    <n v="2"/>
    <n v="5024"/>
    <n v="0.1"/>
    <n v="9043.2000000000007"/>
    <n v="1854.76"/>
    <s v="Card"/>
    <s v="Hyderabad"/>
    <s v="Telangana"/>
    <s v="Rahul"/>
    <s v="Delivered"/>
    <n v="4"/>
  </r>
  <r>
    <s v="O00701"/>
    <d v="2025-01-20T00:00:00"/>
    <s v="C00701"/>
    <s v="Customer 701"/>
    <s v="Chair"/>
    <s v="Furniture"/>
    <s v="Ikea"/>
    <n v="2"/>
    <n v="6138"/>
    <n v="0.05"/>
    <n v="11662.2"/>
    <n v="3446.67"/>
    <s v="Wallet"/>
    <s v="Hyderabad"/>
    <s v="Telangana"/>
    <s v="Rahul"/>
    <s v="Shipped"/>
    <n v="4"/>
  </r>
  <r>
    <s v="O00702"/>
    <d v="2025-08-15T00:00:00"/>
    <s v="C00702"/>
    <s v="Customer 702"/>
    <s v="Phone"/>
    <s v="Electronics"/>
    <s v="Samsung"/>
    <n v="4"/>
    <n v="5537"/>
    <n v="0.1"/>
    <n v="19933.2"/>
    <n v="2748.37"/>
    <s v="Card"/>
    <s v="Bengaluru"/>
    <s v="Karnataka"/>
    <s v="Rahul"/>
    <s v="Returned"/>
    <n v="3"/>
  </r>
  <r>
    <s v="O00703"/>
    <d v="2025-05-28T00:00:00"/>
    <s v="C00703"/>
    <s v="Customer 703"/>
    <s v="Headphones"/>
    <s v="Electronics"/>
    <s v="Sony"/>
    <n v="1"/>
    <n v="7611"/>
    <n v="0.1"/>
    <n v="6849.9"/>
    <n v="1198.26"/>
    <s v="Wallet"/>
    <s v="Bengaluru"/>
    <s v="Karnataka"/>
    <s v="Priya"/>
    <s v="Returned"/>
    <n v="4"/>
  </r>
  <r>
    <s v="O00704"/>
    <d v="2025-06-28T00:00:00"/>
    <s v="C00704"/>
    <s v="Customer 704"/>
    <s v="Headphones"/>
    <s v="Electronics"/>
    <s v="Sony"/>
    <n v="1"/>
    <n v="11261"/>
    <n v="0"/>
    <n v="11261"/>
    <n v="1478.15"/>
    <s v="Net Banking"/>
    <s v="Delhi"/>
    <s v="Delhi"/>
    <s v="Priya"/>
    <s v="Cancelled"/>
    <n v="4"/>
  </r>
  <r>
    <s v="O00705"/>
    <d v="2025-07-21T00:00:00"/>
    <s v="C00705"/>
    <s v="Customer 705"/>
    <s v="Headphones"/>
    <s v="Electronics"/>
    <s v="Sony"/>
    <n v="4"/>
    <n v="7424"/>
    <n v="0.15"/>
    <n v="25241.599999999999"/>
    <n v="2373.1"/>
    <s v="UPI"/>
    <s v="Mumbai"/>
    <s v="Maharashtra"/>
    <s v="Anil"/>
    <s v="Shipped"/>
    <n v="4"/>
  </r>
  <r>
    <s v="O00706"/>
    <d v="2025-02-21T00:00:00"/>
    <s v="C00706"/>
    <s v="Customer 706"/>
    <s v="Laptop"/>
    <s v="Electronics"/>
    <s v="Dell"/>
    <n v="5"/>
    <n v="13100"/>
    <n v="0.1"/>
    <n v="58950"/>
    <n v="7083.62"/>
    <s v="Wallet"/>
    <s v="Mumbai"/>
    <s v="Maharashtra"/>
    <s v="Anil"/>
    <s v="Returned"/>
    <n v="3"/>
  </r>
  <r>
    <s v="O00707"/>
    <d v="2025-01-17T00:00:00"/>
    <s v="C00707"/>
    <s v="Customer 707"/>
    <s v="Book"/>
    <s v="Books"/>
    <s v="Penguin"/>
    <n v="3"/>
    <n v="12627"/>
    <n v="0.2"/>
    <n v="30304.799999999999"/>
    <n v="3212.54"/>
    <s v="Net Banking"/>
    <s v="Bengaluru"/>
    <s v="Karnataka"/>
    <s v="Rahul"/>
    <s v="Shipped"/>
    <n v="5"/>
  </r>
  <r>
    <s v="O00708"/>
    <d v="2025-08-16T00:00:00"/>
    <s v="C00708"/>
    <s v="Customer 708"/>
    <s v="Chair"/>
    <s v="Furniture"/>
    <s v="Ikea"/>
    <n v="2"/>
    <n v="14119"/>
    <n v="0.15"/>
    <n v="24002.3"/>
    <n v="6736.2"/>
    <s v="UPI"/>
    <s v="Chennai"/>
    <s v="Tamil Nadu"/>
    <s v="Asha"/>
    <s v="Cancelled"/>
    <n v="5"/>
  </r>
  <r>
    <s v="O00709"/>
    <d v="2025-07-08T00:00:00"/>
    <s v="C00709"/>
    <s v="Customer 709"/>
    <s v="Phone"/>
    <s v="Electronics"/>
    <s v="Samsung"/>
    <n v="5"/>
    <n v="4857"/>
    <n v="0.05"/>
    <n v="23070.75"/>
    <n v="5038.53"/>
    <s v="Card"/>
    <s v="Bengaluru"/>
    <s v="Karnataka"/>
    <s v="John"/>
    <s v="Cancelled"/>
    <n v="2"/>
  </r>
  <r>
    <s v="O00710"/>
    <d v="2025-07-21T00:00:00"/>
    <s v="C00710"/>
    <s v="Customer 710"/>
    <s v="Laptop"/>
    <s v="Electronics"/>
    <s v="Dell"/>
    <n v="1"/>
    <n v="10177"/>
    <n v="0.1"/>
    <n v="9159.2999999999993"/>
    <n v="1746.49"/>
    <s v="UPI"/>
    <s v="Kochi"/>
    <s v="Kerala"/>
    <s v="John"/>
    <s v="Shipped"/>
    <n v="1"/>
  </r>
  <r>
    <s v="O00711"/>
    <d v="2025-02-03T00:00:00"/>
    <s v="C00711"/>
    <s v="Customer 711"/>
    <s v="Book"/>
    <s v="Books"/>
    <s v="Penguin"/>
    <n v="1"/>
    <n v="9697"/>
    <n v="0.15"/>
    <n v="8242.4500000000007"/>
    <n v="1220.31"/>
    <s v="UPI"/>
    <s v="Hyderabad"/>
    <s v="Telangana"/>
    <s v="John"/>
    <s v="Returned"/>
    <n v="1"/>
  </r>
  <r>
    <s v="O00712"/>
    <d v="2025-01-11T00:00:00"/>
    <s v="C00712"/>
    <s v="Customer 712"/>
    <s v="Shoes"/>
    <s v="Fashion"/>
    <s v="Nike"/>
    <n v="5"/>
    <n v="8369"/>
    <n v="0.2"/>
    <n v="33476"/>
    <n v="9015.41"/>
    <s v="Card"/>
    <s v="Hyderabad"/>
    <s v="Telangana"/>
    <s v="Priya"/>
    <s v="Shipped"/>
    <n v="2"/>
  </r>
  <r>
    <s v="O00713"/>
    <d v="2025-02-21T00:00:00"/>
    <s v="C00713"/>
    <s v="Customer 713"/>
    <s v="Mixer"/>
    <s v="Home"/>
    <s v="Philips"/>
    <n v="2"/>
    <n v="5469"/>
    <n v="0.15"/>
    <n v="9297.2999999999993"/>
    <n v="2553.59"/>
    <s v="Card"/>
    <s v="Bengaluru"/>
    <s v="Karnataka"/>
    <s v="Rahul"/>
    <s v="Cancelled"/>
    <n v="4"/>
  </r>
  <r>
    <s v="O00714"/>
    <d v="2025-06-25T00:00:00"/>
    <s v="C00714"/>
    <s v="Customer 714"/>
    <s v="Shoes"/>
    <s v="Fashion"/>
    <s v="Nike"/>
    <n v="5"/>
    <n v="9917"/>
    <n v="0.1"/>
    <n v="44626.5"/>
    <n v="6013.81"/>
    <s v="Card"/>
    <s v="Kochi"/>
    <s v="Kerala"/>
    <s v="Anil"/>
    <s v="Cancelled"/>
    <n v="1"/>
  </r>
  <r>
    <s v="O00715"/>
    <d v="2025-08-20T00:00:00"/>
    <s v="C00715"/>
    <s v="Customer 715"/>
    <s v="Phone"/>
    <s v="Electronics"/>
    <s v="Samsung"/>
    <n v="4"/>
    <n v="3450"/>
    <n v="0.15"/>
    <n v="11730"/>
    <n v="1060.57"/>
    <s v="Wallet"/>
    <s v="Delhi"/>
    <s v="Delhi"/>
    <s v="Rahul"/>
    <s v="Shipped"/>
    <n v="4"/>
  </r>
  <r>
    <s v="O00716"/>
    <d v="2025-05-23T00:00:00"/>
    <s v="C00716"/>
    <s v="Customer 716"/>
    <s v="Mixer"/>
    <s v="Home"/>
    <s v="Philips"/>
    <n v="5"/>
    <n v="9945"/>
    <n v="0.1"/>
    <n v="44752.5"/>
    <n v="10783.38"/>
    <s v="Net Banking"/>
    <s v="Delhi"/>
    <s v="Delhi"/>
    <s v="Priya"/>
    <s v="Cancelled"/>
    <n v="1"/>
  </r>
  <r>
    <s v="O00717"/>
    <d v="2025-10-31T00:00:00"/>
    <s v="C00717"/>
    <s v="Customer 717"/>
    <s v="Mixer"/>
    <s v="Home"/>
    <s v="Philips"/>
    <n v="1"/>
    <n v="2733"/>
    <n v="0"/>
    <n v="2733"/>
    <n v="699.43"/>
    <s v="Card"/>
    <s v="Delhi"/>
    <s v="Delhi"/>
    <s v="Priya"/>
    <s v="Cancelled"/>
    <n v="3"/>
  </r>
  <r>
    <s v="O00718"/>
    <d v="2025-06-01T00:00:00"/>
    <s v="C00718"/>
    <s v="Customer 718"/>
    <s v="Book"/>
    <s v="Books"/>
    <s v="Penguin"/>
    <n v="5"/>
    <n v="13933"/>
    <n v="0.15"/>
    <n v="59215.25"/>
    <n v="5980.67"/>
    <s v="Card"/>
    <s v="Delhi"/>
    <s v="Delhi"/>
    <s v="John"/>
    <s v="Delivered"/>
    <n v="3"/>
  </r>
  <r>
    <s v="O00719"/>
    <d v="2025-03-18T00:00:00"/>
    <s v="C00719"/>
    <s v="Customer 719"/>
    <s v="Headphones"/>
    <s v="Electronics"/>
    <s v="Sony"/>
    <n v="3"/>
    <n v="4054"/>
    <n v="0"/>
    <n v="12162"/>
    <n v="2247.25"/>
    <s v="UPI"/>
    <s v="Mumbai"/>
    <s v="Maharashtra"/>
    <s v="Rahul"/>
    <s v="Returned"/>
    <n v="3"/>
  </r>
  <r>
    <s v="O00720"/>
    <d v="2025-02-16T00:00:00"/>
    <s v="C00720"/>
    <s v="Customer 720"/>
    <s v="Headphones"/>
    <s v="Electronics"/>
    <s v="Sony"/>
    <n v="5"/>
    <n v="219"/>
    <n v="0.15"/>
    <n v="930.75"/>
    <n v="120.62"/>
    <s v="UPI"/>
    <s v="Bengaluru"/>
    <s v="Karnataka"/>
    <s v="Asha"/>
    <s v="Shipped"/>
    <n v="1"/>
  </r>
  <r>
    <s v="O00721"/>
    <d v="2025-06-30T00:00:00"/>
    <s v="C00721"/>
    <s v="Customer 721"/>
    <s v="Phone"/>
    <s v="Electronics"/>
    <s v="Samsung"/>
    <n v="3"/>
    <n v="7514"/>
    <n v="0.2"/>
    <n v="18033.599999999999"/>
    <n v="2194.5300000000002"/>
    <s v="Card"/>
    <s v="Mumbai"/>
    <s v="Maharashtra"/>
    <s v="Priya"/>
    <s v="Cancelled"/>
    <n v="5"/>
  </r>
  <r>
    <s v="O00722"/>
    <d v="2025-10-03T00:00:00"/>
    <s v="C00722"/>
    <s v="Customer 722"/>
    <s v="Laptop"/>
    <s v="Electronics"/>
    <s v="Dell"/>
    <n v="5"/>
    <n v="2589"/>
    <n v="0"/>
    <n v="12945"/>
    <n v="2957.05"/>
    <s v="Net Banking"/>
    <s v="Chennai"/>
    <s v="Tamil Nadu"/>
    <s v="Asha"/>
    <s v="Cancelled"/>
    <n v="4"/>
  </r>
  <r>
    <s v="O00723"/>
    <d v="2025-01-09T00:00:00"/>
    <s v="C00723"/>
    <s v="Customer 723"/>
    <s v="Chair"/>
    <s v="Furniture"/>
    <s v="Ikea"/>
    <n v="5"/>
    <n v="263"/>
    <n v="0.05"/>
    <n v="1249.25"/>
    <n v="113.69"/>
    <s v="Wallet"/>
    <s v="Chennai"/>
    <s v="Tamil Nadu"/>
    <s v="John"/>
    <s v="Shipped"/>
    <n v="2"/>
  </r>
  <r>
    <s v="O00724"/>
    <d v="2025-04-08T00:00:00"/>
    <s v="C00724"/>
    <s v="Customer 724"/>
    <s v="Shoes"/>
    <s v="Fashion"/>
    <s v="Nike"/>
    <n v="1"/>
    <n v="548"/>
    <n v="0.15"/>
    <n v="465.8"/>
    <n v="80.14"/>
    <s v="Net Banking"/>
    <s v="Delhi"/>
    <s v="Delhi"/>
    <s v="Anil"/>
    <s v="Shipped"/>
    <n v="4"/>
  </r>
  <r>
    <s v="O00725"/>
    <d v="2025-05-22T00:00:00"/>
    <s v="C00725"/>
    <s v="Customer 725"/>
    <s v="Mixer"/>
    <s v="Home"/>
    <s v="Philips"/>
    <n v="5"/>
    <n v="12695"/>
    <n v="0.05"/>
    <n v="60301.25"/>
    <n v="15275.55"/>
    <s v="COD"/>
    <s v="Hyderabad"/>
    <s v="Telangana"/>
    <s v="Anil"/>
    <s v="Returned"/>
    <n v="3"/>
  </r>
  <r>
    <s v="O00726"/>
    <d v="2025-10-10T00:00:00"/>
    <s v="C00726"/>
    <s v="Customer 726"/>
    <s v="Shoes"/>
    <s v="Fashion"/>
    <s v="Nike"/>
    <n v="1"/>
    <n v="629"/>
    <n v="0.15"/>
    <n v="534.65"/>
    <n v="72.16"/>
    <s v="Card"/>
    <s v="Bengaluru"/>
    <s v="Karnataka"/>
    <s v="Anil"/>
    <s v="Shipped"/>
    <n v="5"/>
  </r>
  <r>
    <s v="O00727"/>
    <d v="2025-07-23T00:00:00"/>
    <s v="C00727"/>
    <s v="Customer 727"/>
    <s v="Watch"/>
    <s v="Accessories"/>
    <s v="Fossil"/>
    <n v="4"/>
    <n v="7773"/>
    <n v="0.2"/>
    <n v="24873.599999999999"/>
    <n v="6345.52"/>
    <s v="COD"/>
    <s v="Mumbai"/>
    <s v="Maharashtra"/>
    <s v="Asha"/>
    <s v="Returned"/>
    <n v="1"/>
  </r>
  <r>
    <s v="O00728"/>
    <d v="2025-07-01T00:00:00"/>
    <s v="C00728"/>
    <s v="Customer 728"/>
    <s v="Book"/>
    <s v="Books"/>
    <s v="Penguin"/>
    <n v="5"/>
    <n v="3342"/>
    <n v="0.15"/>
    <n v="14203.5"/>
    <n v="2131.25"/>
    <s v="Wallet"/>
    <s v="Kochi"/>
    <s v="Kerala"/>
    <s v="John"/>
    <s v="Delivered"/>
    <n v="3"/>
  </r>
  <r>
    <s v="O00729"/>
    <d v="2025-05-30T00:00:00"/>
    <s v="C00729"/>
    <s v="Customer 729"/>
    <s v="Chair"/>
    <s v="Furniture"/>
    <s v="Ikea"/>
    <n v="1"/>
    <n v="7752"/>
    <n v="0.1"/>
    <n v="6976.8"/>
    <n v="1912.49"/>
    <s v="COD"/>
    <s v="Bengaluru"/>
    <s v="Karnataka"/>
    <s v="Rahul"/>
    <s v="Cancelled"/>
    <n v="2"/>
  </r>
  <r>
    <s v="O00730"/>
    <d v="2025-06-08T00:00:00"/>
    <s v="C00730"/>
    <s v="Customer 730"/>
    <s v="Chair"/>
    <s v="Furniture"/>
    <s v="Ikea"/>
    <n v="5"/>
    <n v="4621"/>
    <n v="0.2"/>
    <n v="18484"/>
    <n v="5162.25"/>
    <s v="COD"/>
    <s v="Bengaluru"/>
    <s v="Karnataka"/>
    <s v="Anil"/>
    <s v="Returned"/>
    <n v="5"/>
  </r>
  <r>
    <s v="O00731"/>
    <d v="2025-03-10T00:00:00"/>
    <s v="C00731"/>
    <s v="Customer 731"/>
    <s v="Laptop"/>
    <s v="Electronics"/>
    <s v="Dell"/>
    <n v="1"/>
    <n v="1597"/>
    <n v="0.2"/>
    <n v="1277.5999999999999"/>
    <n v="207.54"/>
    <s v="COD"/>
    <s v="Mumbai"/>
    <s v="Maharashtra"/>
    <s v="Anil"/>
    <s v="Returned"/>
    <n v="4"/>
  </r>
  <r>
    <s v="O00732"/>
    <d v="2025-07-14T00:00:00"/>
    <s v="C00732"/>
    <s v="Customer 732"/>
    <s v="Mixer"/>
    <s v="Home"/>
    <s v="Philips"/>
    <n v="2"/>
    <n v="4338"/>
    <n v="0.15"/>
    <n v="7374.6"/>
    <n v="1761.89"/>
    <s v="COD"/>
    <s v="Hyderabad"/>
    <s v="Telangana"/>
    <s v="Asha"/>
    <s v="Shipped"/>
    <n v="5"/>
  </r>
  <r>
    <s v="O00733"/>
    <d v="2025-07-06T00:00:00"/>
    <s v="C00733"/>
    <s v="Customer 733"/>
    <s v="Book"/>
    <s v="Books"/>
    <s v="Penguin"/>
    <n v="2"/>
    <n v="11192"/>
    <n v="0.15"/>
    <n v="19026.400000000001"/>
    <n v="3571.41"/>
    <s v="UPI"/>
    <s v="Delhi"/>
    <s v="Delhi"/>
    <s v="Priya"/>
    <s v="Cancelled"/>
    <n v="1"/>
  </r>
  <r>
    <s v="O00734"/>
    <d v="2025-07-08T00:00:00"/>
    <s v="C00734"/>
    <s v="Customer 734"/>
    <s v="Book"/>
    <s v="Books"/>
    <s v="Penguin"/>
    <n v="4"/>
    <n v="6906"/>
    <n v="0"/>
    <n v="27624"/>
    <n v="6976.7"/>
    <s v="COD"/>
    <s v="Mumbai"/>
    <s v="Maharashtra"/>
    <s v="Priya"/>
    <s v="Returned"/>
    <n v="3"/>
  </r>
  <r>
    <s v="O00735"/>
    <d v="2025-11-07T00:00:00"/>
    <s v="C00735"/>
    <s v="Customer 735"/>
    <s v="Headphones"/>
    <s v="Electronics"/>
    <s v="Sony"/>
    <n v="1"/>
    <n v="11863"/>
    <n v="0.1"/>
    <n v="10676.7"/>
    <n v="1448.98"/>
    <s v="COD"/>
    <s v="Chennai"/>
    <s v="Tamil Nadu"/>
    <s v="Priya"/>
    <s v="Returned"/>
    <n v="5"/>
  </r>
  <r>
    <s v="O00736"/>
    <d v="2025-08-06T00:00:00"/>
    <s v="C00736"/>
    <s v="Customer 736"/>
    <s v="Laptop"/>
    <s v="Electronics"/>
    <s v="Dell"/>
    <n v="4"/>
    <n v="5999"/>
    <n v="0.05"/>
    <n v="22796.2"/>
    <n v="3354.5"/>
    <s v="Card"/>
    <s v="Delhi"/>
    <s v="Delhi"/>
    <s v="Rahul"/>
    <s v="Returned"/>
    <n v="2"/>
  </r>
  <r>
    <s v="O00737"/>
    <d v="2025-12-20T00:00:00"/>
    <s v="C00737"/>
    <s v="Customer 737"/>
    <s v="Chair"/>
    <s v="Furniture"/>
    <s v="Ikea"/>
    <n v="3"/>
    <n v="3360"/>
    <n v="0.2"/>
    <n v="8064"/>
    <n v="2113.6"/>
    <s v="Card"/>
    <s v="Kochi"/>
    <s v="Kerala"/>
    <s v="Asha"/>
    <s v="Returned"/>
    <n v="3"/>
  </r>
  <r>
    <s v="O00738"/>
    <d v="2025-03-10T00:00:00"/>
    <s v="C00738"/>
    <s v="Customer 738"/>
    <s v="Chair"/>
    <s v="Furniture"/>
    <s v="Ikea"/>
    <n v="5"/>
    <n v="7911"/>
    <n v="0"/>
    <n v="39555"/>
    <n v="4953.99"/>
    <s v="UPI"/>
    <s v="Mumbai"/>
    <s v="Maharashtra"/>
    <s v="John"/>
    <s v="Delivered"/>
    <n v="1"/>
  </r>
  <r>
    <s v="O00739"/>
    <d v="2025-11-29T00:00:00"/>
    <s v="C00739"/>
    <s v="Customer 739"/>
    <s v="Phone"/>
    <s v="Electronics"/>
    <s v="Samsung"/>
    <n v="5"/>
    <n v="8048"/>
    <n v="0.2"/>
    <n v="32192"/>
    <n v="7561.31"/>
    <s v="UPI"/>
    <s v="Chennai"/>
    <s v="Tamil Nadu"/>
    <s v="Priya"/>
    <s v="Shipped"/>
    <n v="2"/>
  </r>
  <r>
    <s v="O00740"/>
    <d v="2025-04-24T00:00:00"/>
    <s v="C00740"/>
    <s v="Customer 740"/>
    <s v="Phone"/>
    <s v="Electronics"/>
    <s v="Samsung"/>
    <n v="2"/>
    <n v="3734"/>
    <n v="0.15"/>
    <n v="6347.8"/>
    <n v="1078.3399999999999"/>
    <s v="Wallet"/>
    <s v="Bengaluru"/>
    <s v="Karnataka"/>
    <s v="Rahul"/>
    <s v="Shipped"/>
    <n v="5"/>
  </r>
  <r>
    <s v="O00741"/>
    <d v="2025-06-05T00:00:00"/>
    <s v="C00741"/>
    <s v="Customer 741"/>
    <s v="Laptop"/>
    <s v="Electronics"/>
    <s v="Dell"/>
    <n v="1"/>
    <n v="11736"/>
    <n v="0"/>
    <n v="11736"/>
    <n v="1175.6400000000001"/>
    <s v="Net Banking"/>
    <s v="Chennai"/>
    <s v="Tamil Nadu"/>
    <s v="Anil"/>
    <s v="Cancelled"/>
    <n v="4"/>
  </r>
  <r>
    <s v="O00742"/>
    <d v="2025-07-27T00:00:00"/>
    <s v="C00742"/>
    <s v="Customer 742"/>
    <s v="Watch"/>
    <s v="Accessories"/>
    <s v="Fossil"/>
    <n v="4"/>
    <n v="8090"/>
    <n v="0.05"/>
    <n v="30742"/>
    <n v="5562.6"/>
    <s v="Card"/>
    <s v="Kochi"/>
    <s v="Kerala"/>
    <s v="Asha"/>
    <s v="Shipped"/>
    <n v="3"/>
  </r>
  <r>
    <s v="O00743"/>
    <d v="2025-08-23T00:00:00"/>
    <s v="C00743"/>
    <s v="Customer 743"/>
    <s v="Watch"/>
    <s v="Accessories"/>
    <s v="Fossil"/>
    <n v="4"/>
    <n v="5425"/>
    <n v="0"/>
    <n v="21700"/>
    <n v="2860.99"/>
    <s v="COD"/>
    <s v="Delhi"/>
    <s v="Delhi"/>
    <s v="John"/>
    <s v="Returned"/>
    <n v="3"/>
  </r>
  <r>
    <s v="O00744"/>
    <d v="2025-08-14T00:00:00"/>
    <s v="C00744"/>
    <s v="Customer 744"/>
    <s v="Book"/>
    <s v="Books"/>
    <s v="Penguin"/>
    <n v="5"/>
    <n v="9187"/>
    <n v="0"/>
    <n v="45935"/>
    <n v="10351.73"/>
    <s v="COD"/>
    <s v="Delhi"/>
    <s v="Delhi"/>
    <s v="Anil"/>
    <s v="Shipped"/>
    <n v="4"/>
  </r>
  <r>
    <s v="O00745"/>
    <d v="2025-07-19T00:00:00"/>
    <s v="C00745"/>
    <s v="Customer 745"/>
    <s v="Watch"/>
    <s v="Accessories"/>
    <s v="Fossil"/>
    <n v="3"/>
    <n v="591"/>
    <n v="0.15"/>
    <n v="1507.05"/>
    <n v="242.04"/>
    <s v="COD"/>
    <s v="Delhi"/>
    <s v="Delhi"/>
    <s v="Priya"/>
    <s v="Returned"/>
    <n v="5"/>
  </r>
  <r>
    <s v="O00746"/>
    <d v="2025-11-19T00:00:00"/>
    <s v="C00746"/>
    <s v="Customer 746"/>
    <s v="Watch"/>
    <s v="Accessories"/>
    <s v="Fossil"/>
    <n v="1"/>
    <n v="9036"/>
    <n v="0.1"/>
    <n v="8132.4"/>
    <n v="1465.63"/>
    <s v="UPI"/>
    <s v="Kochi"/>
    <s v="Kerala"/>
    <s v="Priya"/>
    <s v="Cancelled"/>
    <n v="1"/>
  </r>
  <r>
    <s v="O00747"/>
    <d v="2025-11-08T00:00:00"/>
    <s v="C00747"/>
    <s v="Customer 747"/>
    <s v="Headphones"/>
    <s v="Electronics"/>
    <s v="Sony"/>
    <n v="4"/>
    <n v="6573"/>
    <n v="0"/>
    <n v="26292"/>
    <n v="3344.75"/>
    <s v="UPI"/>
    <s v="Mumbai"/>
    <s v="Maharashtra"/>
    <s v="Anil"/>
    <s v="Delivered"/>
    <n v="1"/>
  </r>
  <r>
    <s v="O00748"/>
    <d v="2025-09-24T00:00:00"/>
    <s v="C00748"/>
    <s v="Customer 748"/>
    <s v="Watch"/>
    <s v="Accessories"/>
    <s v="Fossil"/>
    <n v="1"/>
    <n v="14951"/>
    <n v="0.05"/>
    <n v="14203.45"/>
    <n v="4249.4399999999996"/>
    <s v="Net Banking"/>
    <s v="Bengaluru"/>
    <s v="Karnataka"/>
    <s v="Rahul"/>
    <s v="Shipped"/>
    <n v="4"/>
  </r>
  <r>
    <s v="O00749"/>
    <d v="2025-07-06T00:00:00"/>
    <s v="C00749"/>
    <s v="Customer 749"/>
    <s v="Headphones"/>
    <s v="Electronics"/>
    <s v="Sony"/>
    <n v="4"/>
    <n v="10565"/>
    <n v="0.15"/>
    <n v="35921"/>
    <n v="4346.41"/>
    <s v="COD"/>
    <s v="Kochi"/>
    <s v="Kerala"/>
    <s v="Anil"/>
    <s v="Returned"/>
    <n v="4"/>
  </r>
  <r>
    <s v="O00750"/>
    <d v="2025-10-31T00:00:00"/>
    <s v="C00750"/>
    <s v="Customer 750"/>
    <s v="Headphones"/>
    <s v="Electronics"/>
    <s v="Sony"/>
    <n v="5"/>
    <n v="4066"/>
    <n v="0"/>
    <n v="20330"/>
    <n v="2672.59"/>
    <s v="Net Banking"/>
    <s v="Kochi"/>
    <s v="Kerala"/>
    <s v="John"/>
    <s v="Returned"/>
    <n v="3"/>
  </r>
  <r>
    <s v="O00751"/>
    <d v="2025-02-15T00:00:00"/>
    <s v="C00751"/>
    <s v="Customer 751"/>
    <s v="Mixer"/>
    <s v="Home"/>
    <s v="Philips"/>
    <n v="2"/>
    <n v="3589"/>
    <n v="0.1"/>
    <n v="6460.2"/>
    <n v="865.3"/>
    <s v="Card"/>
    <s v="Chennai"/>
    <s v="Tamil Nadu"/>
    <s v="Priya"/>
    <s v="Cancelled"/>
    <n v="3"/>
  </r>
  <r>
    <s v="O00752"/>
    <d v="2025-12-31T00:00:00"/>
    <s v="C00752"/>
    <s v="Customer 752"/>
    <s v="Watch"/>
    <s v="Accessories"/>
    <s v="Fossil"/>
    <n v="3"/>
    <n v="13360"/>
    <n v="0.15"/>
    <n v="34068"/>
    <n v="8987.2099999999991"/>
    <s v="Net Banking"/>
    <s v="Delhi"/>
    <s v="Delhi"/>
    <s v="Priya"/>
    <s v="Shipped"/>
    <n v="5"/>
  </r>
  <r>
    <s v="O00753"/>
    <d v="2025-11-28T00:00:00"/>
    <s v="C00753"/>
    <s v="Customer 753"/>
    <s v="Mixer"/>
    <s v="Home"/>
    <s v="Philips"/>
    <n v="5"/>
    <n v="3938"/>
    <n v="0"/>
    <n v="19690"/>
    <n v="5181.91"/>
    <s v="UPI"/>
    <s v="Chennai"/>
    <s v="Tamil Nadu"/>
    <s v="John"/>
    <s v="Delivered"/>
    <n v="4"/>
  </r>
  <r>
    <s v="O00754"/>
    <d v="2025-11-14T00:00:00"/>
    <s v="C00754"/>
    <s v="Customer 754"/>
    <s v="Laptop"/>
    <s v="Electronics"/>
    <s v="Dell"/>
    <n v="2"/>
    <n v="13529"/>
    <n v="0.15"/>
    <n v="22999.3"/>
    <n v="2463.0500000000002"/>
    <s v="Net Banking"/>
    <s v="Bengaluru"/>
    <s v="Karnataka"/>
    <s v="Anil"/>
    <s v="Cancelled"/>
    <n v="3"/>
  </r>
  <r>
    <s v="O00755"/>
    <d v="2025-03-07T00:00:00"/>
    <s v="C00755"/>
    <s v="Customer 755"/>
    <s v="Laptop"/>
    <s v="Electronics"/>
    <s v="Dell"/>
    <n v="1"/>
    <n v="11577"/>
    <n v="0.15"/>
    <n v="9840.4500000000007"/>
    <n v="1872.05"/>
    <s v="Card"/>
    <s v="Kochi"/>
    <s v="Kerala"/>
    <s v="Asha"/>
    <s v="Returned"/>
    <n v="5"/>
  </r>
  <r>
    <s v="O00756"/>
    <d v="2025-10-20T00:00:00"/>
    <s v="C00756"/>
    <s v="Customer 756"/>
    <s v="Book"/>
    <s v="Books"/>
    <s v="Penguin"/>
    <n v="3"/>
    <n v="7990"/>
    <n v="0.1"/>
    <n v="21573"/>
    <n v="3487.62"/>
    <s v="Wallet"/>
    <s v="Bengaluru"/>
    <s v="Karnataka"/>
    <s v="John"/>
    <s v="Cancelled"/>
    <n v="1"/>
  </r>
  <r>
    <s v="O00757"/>
    <d v="2025-07-30T00:00:00"/>
    <s v="C00757"/>
    <s v="Customer 757"/>
    <s v="Chair"/>
    <s v="Furniture"/>
    <s v="Ikea"/>
    <n v="3"/>
    <n v="727"/>
    <n v="0.15"/>
    <n v="1853.85"/>
    <n v="261.01"/>
    <s v="COD"/>
    <s v="Kochi"/>
    <s v="Kerala"/>
    <s v="Anil"/>
    <s v="Cancelled"/>
    <n v="3"/>
  </r>
  <r>
    <s v="O00758"/>
    <d v="2025-05-09T00:00:00"/>
    <s v="C00758"/>
    <s v="Customer 758"/>
    <s v="Shoes"/>
    <s v="Fashion"/>
    <s v="Nike"/>
    <n v="3"/>
    <n v="11897"/>
    <n v="0.05"/>
    <n v="33906.449999999997"/>
    <n v="5158.8"/>
    <s v="Wallet"/>
    <s v="Bengaluru"/>
    <s v="Karnataka"/>
    <s v="Asha"/>
    <s v="Shipped"/>
    <n v="3"/>
  </r>
  <r>
    <s v="O00759"/>
    <d v="2025-11-17T00:00:00"/>
    <s v="C00759"/>
    <s v="Customer 759"/>
    <s v="Chair"/>
    <s v="Furniture"/>
    <s v="Ikea"/>
    <n v="3"/>
    <n v="9235"/>
    <n v="0.05"/>
    <n v="26319.75"/>
    <n v="2628.19"/>
    <s v="Card"/>
    <s v="Mumbai"/>
    <s v="Maharashtra"/>
    <s v="Rahul"/>
    <s v="Cancelled"/>
    <n v="4"/>
  </r>
  <r>
    <s v="O00760"/>
    <d v="2025-01-12T00:00:00"/>
    <s v="C00760"/>
    <s v="Customer 760"/>
    <s v="Laptop"/>
    <s v="Electronics"/>
    <s v="Dell"/>
    <n v="5"/>
    <n v="8777"/>
    <n v="0.2"/>
    <n v="35108"/>
    <n v="9298.02"/>
    <s v="UPI"/>
    <s v="Hyderabad"/>
    <s v="Telangana"/>
    <s v="Priya"/>
    <s v="Cancelled"/>
    <n v="4"/>
  </r>
  <r>
    <s v="O00761"/>
    <d v="2025-07-23T00:00:00"/>
    <s v="C00761"/>
    <s v="Customer 761"/>
    <s v="Watch"/>
    <s v="Accessories"/>
    <s v="Fossil"/>
    <n v="3"/>
    <n v="14489"/>
    <n v="0.1"/>
    <n v="39120.300000000003"/>
    <n v="5912.87"/>
    <s v="COD"/>
    <s v="Bengaluru"/>
    <s v="Karnataka"/>
    <s v="John"/>
    <s v="Delivered"/>
    <n v="1"/>
  </r>
  <r>
    <s v="O00762"/>
    <d v="2025-11-03T00:00:00"/>
    <s v="C00762"/>
    <s v="Customer 762"/>
    <s v="Book"/>
    <s v="Books"/>
    <s v="Penguin"/>
    <n v="1"/>
    <n v="315"/>
    <n v="0.1"/>
    <n v="283.5"/>
    <n v="24.44"/>
    <s v="Net Banking"/>
    <s v="Kochi"/>
    <s v="Kerala"/>
    <s v="John"/>
    <s v="Shipped"/>
    <n v="5"/>
  </r>
  <r>
    <s v="O00763"/>
    <d v="2025-02-28T00:00:00"/>
    <s v="C00763"/>
    <s v="Customer 763"/>
    <s v="Mixer"/>
    <s v="Home"/>
    <s v="Philips"/>
    <n v="1"/>
    <n v="5614"/>
    <n v="0.15"/>
    <n v="4771.8999999999996"/>
    <n v="542.54999999999995"/>
    <s v="Card"/>
    <s v="Delhi"/>
    <s v="Delhi"/>
    <s v="Anil"/>
    <s v="Shipped"/>
    <n v="4"/>
  </r>
  <r>
    <s v="O00764"/>
    <d v="2025-08-22T00:00:00"/>
    <s v="C00764"/>
    <s v="Customer 764"/>
    <s v="Headphones"/>
    <s v="Electronics"/>
    <s v="Sony"/>
    <n v="2"/>
    <n v="13328"/>
    <n v="0.1"/>
    <n v="23990.400000000001"/>
    <n v="4021.49"/>
    <s v="Wallet"/>
    <s v="Hyderabad"/>
    <s v="Telangana"/>
    <s v="Anil"/>
    <s v="Cancelled"/>
    <n v="3"/>
  </r>
  <r>
    <s v="O00765"/>
    <d v="2025-12-20T00:00:00"/>
    <s v="C00765"/>
    <s v="Customer 765"/>
    <s v="Watch"/>
    <s v="Accessories"/>
    <s v="Fossil"/>
    <n v="2"/>
    <n v="3971"/>
    <n v="0.15"/>
    <n v="6750.7"/>
    <n v="1219.3499999999999"/>
    <s v="Net Banking"/>
    <s v="Mumbai"/>
    <s v="Maharashtra"/>
    <s v="Priya"/>
    <s v="Delivered"/>
    <n v="5"/>
  </r>
  <r>
    <s v="O00766"/>
    <d v="2025-05-11T00:00:00"/>
    <s v="C00766"/>
    <s v="Customer 766"/>
    <s v="Mixer"/>
    <s v="Home"/>
    <s v="Philips"/>
    <n v="5"/>
    <n v="13311"/>
    <n v="0.2"/>
    <n v="53244"/>
    <n v="10620.38"/>
    <s v="Net Banking"/>
    <s v="Mumbai"/>
    <s v="Maharashtra"/>
    <s v="Priya"/>
    <s v="Returned"/>
    <n v="4"/>
  </r>
  <r>
    <s v="O00767"/>
    <d v="2025-03-31T00:00:00"/>
    <s v="C00767"/>
    <s v="Customer 767"/>
    <s v="Shoes"/>
    <s v="Fashion"/>
    <s v="Nike"/>
    <n v="3"/>
    <n v="7923"/>
    <n v="0.1"/>
    <n v="21392.1"/>
    <n v="5378.61"/>
    <s v="UPI"/>
    <s v="Bengaluru"/>
    <s v="Karnataka"/>
    <s v="Anil"/>
    <s v="Shipped"/>
    <n v="3"/>
  </r>
  <r>
    <s v="O00768"/>
    <d v="2025-07-26T00:00:00"/>
    <s v="C00768"/>
    <s v="Customer 768"/>
    <s v="Phone"/>
    <s v="Electronics"/>
    <s v="Samsung"/>
    <n v="2"/>
    <n v="11665"/>
    <n v="0.1"/>
    <n v="20997"/>
    <n v="5895.05"/>
    <s v="Card"/>
    <s v="Delhi"/>
    <s v="Delhi"/>
    <s v="Anil"/>
    <s v="Shipped"/>
    <n v="5"/>
  </r>
  <r>
    <s v="O00769"/>
    <d v="2025-09-20T00:00:00"/>
    <s v="C00769"/>
    <s v="Customer 769"/>
    <s v="Chair"/>
    <s v="Furniture"/>
    <s v="Ikea"/>
    <n v="4"/>
    <n v="5811"/>
    <n v="0.05"/>
    <n v="22081.8"/>
    <n v="4479.3100000000004"/>
    <s v="UPI"/>
    <s v="Kochi"/>
    <s v="Kerala"/>
    <s v="Priya"/>
    <s v="Shipped"/>
    <n v="4"/>
  </r>
  <r>
    <s v="O00770"/>
    <d v="2025-09-27T00:00:00"/>
    <s v="C00770"/>
    <s v="Customer 770"/>
    <s v="Chair"/>
    <s v="Furniture"/>
    <s v="Ikea"/>
    <n v="4"/>
    <n v="7474"/>
    <n v="0.1"/>
    <n v="26906.400000000001"/>
    <n v="2387.54"/>
    <s v="Net Banking"/>
    <s v="Delhi"/>
    <s v="Delhi"/>
    <s v="Asha"/>
    <s v="Shipped"/>
    <n v="2"/>
  </r>
  <r>
    <s v="O00771"/>
    <d v="2025-04-14T00:00:00"/>
    <s v="C00771"/>
    <s v="Customer 771"/>
    <s v="Shoes"/>
    <s v="Fashion"/>
    <s v="Nike"/>
    <n v="3"/>
    <n v="4166"/>
    <n v="0"/>
    <n v="12498"/>
    <n v="1966.44"/>
    <s v="UPI"/>
    <s v="Delhi"/>
    <s v="Delhi"/>
    <s v="Rahul"/>
    <s v="Delivered"/>
    <n v="1"/>
  </r>
  <r>
    <s v="O00772"/>
    <d v="2025-01-13T00:00:00"/>
    <s v="C00772"/>
    <s v="Customer 772"/>
    <s v="Watch"/>
    <s v="Accessories"/>
    <s v="Fossil"/>
    <n v="5"/>
    <n v="3041"/>
    <n v="0.1"/>
    <n v="13684.5"/>
    <n v="1842.37"/>
    <s v="Card"/>
    <s v="Chennai"/>
    <s v="Tamil Nadu"/>
    <s v="Priya"/>
    <s v="Returned"/>
    <n v="5"/>
  </r>
  <r>
    <s v="O00773"/>
    <d v="2025-08-12T00:00:00"/>
    <s v="C00773"/>
    <s v="Customer 773"/>
    <s v="Phone"/>
    <s v="Electronics"/>
    <s v="Samsung"/>
    <n v="5"/>
    <n v="9956"/>
    <n v="0.05"/>
    <n v="47291"/>
    <n v="5522.64"/>
    <s v="UPI"/>
    <s v="Kochi"/>
    <s v="Kerala"/>
    <s v="Anil"/>
    <s v="Shipped"/>
    <n v="3"/>
  </r>
  <r>
    <s v="O00774"/>
    <d v="2025-07-09T00:00:00"/>
    <s v="C00774"/>
    <s v="Customer 774"/>
    <s v="Book"/>
    <s v="Books"/>
    <s v="Penguin"/>
    <n v="3"/>
    <n v="619"/>
    <n v="0.15"/>
    <n v="1578.45"/>
    <n v="441.41"/>
    <s v="Card"/>
    <s v="Delhi"/>
    <s v="Delhi"/>
    <s v="John"/>
    <s v="Cancelled"/>
    <n v="4"/>
  </r>
  <r>
    <s v="O00775"/>
    <d v="2025-12-05T00:00:00"/>
    <s v="C00775"/>
    <s v="Customer 775"/>
    <s v="Laptop"/>
    <s v="Electronics"/>
    <s v="Dell"/>
    <n v="3"/>
    <n v="4852"/>
    <n v="0.05"/>
    <n v="13828.2"/>
    <n v="1574.45"/>
    <s v="Net Banking"/>
    <s v="Hyderabad"/>
    <s v="Telangana"/>
    <s v="Asha"/>
    <s v="Delivered"/>
    <n v="3"/>
  </r>
  <r>
    <s v="O00776"/>
    <d v="2025-04-29T00:00:00"/>
    <s v="C00776"/>
    <s v="Customer 776"/>
    <s v="Book"/>
    <s v="Books"/>
    <s v="Penguin"/>
    <n v="3"/>
    <n v="10913"/>
    <n v="0.05"/>
    <n v="31102.05"/>
    <n v="8398.24"/>
    <s v="Card"/>
    <s v="Bengaluru"/>
    <s v="Karnataka"/>
    <s v="Asha"/>
    <s v="Delivered"/>
    <n v="3"/>
  </r>
  <r>
    <s v="O00777"/>
    <d v="2025-04-14T00:00:00"/>
    <s v="C00777"/>
    <s v="Customer 777"/>
    <s v="Headphones"/>
    <s v="Electronics"/>
    <s v="Sony"/>
    <n v="5"/>
    <n v="1628"/>
    <n v="0.05"/>
    <n v="7733"/>
    <n v="1435.26"/>
    <s v="UPI"/>
    <s v="Hyderabad"/>
    <s v="Telangana"/>
    <s v="Anil"/>
    <s v="Delivered"/>
    <n v="3"/>
  </r>
  <r>
    <s v="O00778"/>
    <d v="2025-12-05T00:00:00"/>
    <s v="C00778"/>
    <s v="Customer 778"/>
    <s v="Book"/>
    <s v="Books"/>
    <s v="Penguin"/>
    <n v="3"/>
    <n v="12555"/>
    <n v="0.1"/>
    <n v="33898.5"/>
    <n v="4513.74"/>
    <s v="Card"/>
    <s v="Delhi"/>
    <s v="Delhi"/>
    <s v="Asha"/>
    <s v="Delivered"/>
    <n v="1"/>
  </r>
  <r>
    <s v="O00779"/>
    <d v="2025-10-19T00:00:00"/>
    <s v="C00779"/>
    <s v="Customer 779"/>
    <s v="Watch"/>
    <s v="Accessories"/>
    <s v="Fossil"/>
    <n v="4"/>
    <n v="5120"/>
    <n v="0.15"/>
    <n v="17408"/>
    <n v="4101.03"/>
    <s v="Wallet"/>
    <s v="Kochi"/>
    <s v="Kerala"/>
    <s v="Asha"/>
    <s v="Shipped"/>
    <n v="1"/>
  </r>
  <r>
    <s v="O00780"/>
    <d v="2025-09-01T00:00:00"/>
    <s v="C00780"/>
    <s v="Customer 780"/>
    <s v="Shoes"/>
    <s v="Fashion"/>
    <s v="Nike"/>
    <n v="1"/>
    <n v="10105"/>
    <n v="0.1"/>
    <n v="9094.5"/>
    <n v="1790.66"/>
    <s v="Net Banking"/>
    <s v="Kochi"/>
    <s v="Kerala"/>
    <s v="John"/>
    <s v="Shipped"/>
    <n v="3"/>
  </r>
  <r>
    <s v="O00781"/>
    <d v="2025-07-23T00:00:00"/>
    <s v="C00781"/>
    <s v="Customer 781"/>
    <s v="Book"/>
    <s v="Books"/>
    <s v="Penguin"/>
    <n v="4"/>
    <n v="3114"/>
    <n v="0.15"/>
    <n v="10587.6"/>
    <n v="1832.54"/>
    <s v="UPI"/>
    <s v="Delhi"/>
    <s v="Delhi"/>
    <s v="Rahul"/>
    <s v="Cancelled"/>
    <n v="1"/>
  </r>
  <r>
    <s v="O00782"/>
    <d v="2025-09-09T00:00:00"/>
    <s v="C00782"/>
    <s v="Customer 782"/>
    <s v="Headphones"/>
    <s v="Electronics"/>
    <s v="Sony"/>
    <n v="1"/>
    <n v="4995"/>
    <n v="0.15"/>
    <n v="4245.75"/>
    <n v="427.26"/>
    <s v="COD"/>
    <s v="Bengaluru"/>
    <s v="Karnataka"/>
    <s v="Rahul"/>
    <s v="Returned"/>
    <n v="5"/>
  </r>
  <r>
    <s v="O00783"/>
    <d v="2025-05-05T00:00:00"/>
    <s v="C00783"/>
    <s v="Customer 783"/>
    <s v="Watch"/>
    <s v="Accessories"/>
    <s v="Fossil"/>
    <n v="1"/>
    <n v="10557"/>
    <n v="0.1"/>
    <n v="9501.2999999999993"/>
    <n v="1954.8"/>
    <s v="UPI"/>
    <s v="Kochi"/>
    <s v="Kerala"/>
    <s v="Asha"/>
    <s v="Cancelled"/>
    <n v="5"/>
  </r>
  <r>
    <s v="O00784"/>
    <d v="2025-03-01T00:00:00"/>
    <s v="C00784"/>
    <s v="Customer 784"/>
    <s v="Book"/>
    <s v="Books"/>
    <s v="Penguin"/>
    <n v="5"/>
    <n v="1898"/>
    <n v="0"/>
    <n v="9490"/>
    <n v="1861.7"/>
    <s v="Wallet"/>
    <s v="Kochi"/>
    <s v="Kerala"/>
    <s v="John"/>
    <s v="Shipped"/>
    <n v="1"/>
  </r>
  <r>
    <s v="O00785"/>
    <d v="2025-11-17T00:00:00"/>
    <s v="C00785"/>
    <s v="Customer 785"/>
    <s v="Chair"/>
    <s v="Furniture"/>
    <s v="Ikea"/>
    <n v="4"/>
    <n v="5433"/>
    <n v="0"/>
    <n v="21732"/>
    <n v="5121.5"/>
    <s v="UPI"/>
    <s v="Bengaluru"/>
    <s v="Karnataka"/>
    <s v="Priya"/>
    <s v="Returned"/>
    <n v="2"/>
  </r>
  <r>
    <s v="O00786"/>
    <d v="2025-10-12T00:00:00"/>
    <s v="C00786"/>
    <s v="Customer 786"/>
    <s v="Mixer"/>
    <s v="Home"/>
    <s v="Philips"/>
    <n v="4"/>
    <n v="5886"/>
    <n v="0.2"/>
    <n v="18835.2"/>
    <n v="2005.6"/>
    <s v="Net Banking"/>
    <s v="Bengaluru"/>
    <s v="Karnataka"/>
    <s v="Anil"/>
    <s v="Delivered"/>
    <n v="2"/>
  </r>
  <r>
    <s v="O00787"/>
    <d v="2025-01-19T00:00:00"/>
    <s v="C00787"/>
    <s v="Customer 787"/>
    <s v="Shoes"/>
    <s v="Fashion"/>
    <s v="Nike"/>
    <n v="3"/>
    <n v="3025"/>
    <n v="0.1"/>
    <n v="8167.5"/>
    <n v="2231.81"/>
    <s v="Card"/>
    <s v="Chennai"/>
    <s v="Tamil Nadu"/>
    <s v="Priya"/>
    <s v="Returned"/>
    <n v="5"/>
  </r>
  <r>
    <s v="O00788"/>
    <d v="2025-11-28T00:00:00"/>
    <s v="C00788"/>
    <s v="Customer 788"/>
    <s v="Shoes"/>
    <s v="Fashion"/>
    <s v="Nike"/>
    <n v="2"/>
    <n v="6276"/>
    <n v="0.1"/>
    <n v="11296.8"/>
    <n v="2440.1"/>
    <s v="COD"/>
    <s v="Mumbai"/>
    <s v="Maharashtra"/>
    <s v="Anil"/>
    <s v="Delivered"/>
    <n v="4"/>
  </r>
  <r>
    <s v="O00789"/>
    <d v="2025-01-27T00:00:00"/>
    <s v="C00789"/>
    <s v="Customer 789"/>
    <s v="Book"/>
    <s v="Books"/>
    <s v="Penguin"/>
    <n v="1"/>
    <n v="11699"/>
    <n v="0"/>
    <n v="11699"/>
    <n v="3290.91"/>
    <s v="Net Banking"/>
    <s v="Chennai"/>
    <s v="Tamil Nadu"/>
    <s v="Anil"/>
    <s v="Delivered"/>
    <n v="2"/>
  </r>
  <r>
    <s v="O00790"/>
    <d v="2025-08-16T00:00:00"/>
    <s v="C00790"/>
    <s v="Customer 790"/>
    <s v="Watch"/>
    <s v="Accessories"/>
    <s v="Fossil"/>
    <n v="5"/>
    <n v="12780"/>
    <n v="0.05"/>
    <n v="60705"/>
    <n v="9407.3799999999992"/>
    <s v="Wallet"/>
    <s v="Kochi"/>
    <s v="Kerala"/>
    <s v="Priya"/>
    <s v="Shipped"/>
    <n v="3"/>
  </r>
  <r>
    <s v="O00791"/>
    <d v="2025-06-16T00:00:00"/>
    <s v="C00791"/>
    <s v="Customer 791"/>
    <s v="Mixer"/>
    <s v="Home"/>
    <s v="Philips"/>
    <n v="3"/>
    <n v="5290"/>
    <n v="0.05"/>
    <n v="15076.5"/>
    <n v="2891.87"/>
    <s v="Net Banking"/>
    <s v="Kochi"/>
    <s v="Kerala"/>
    <s v="Anil"/>
    <s v="Returned"/>
    <n v="4"/>
  </r>
  <r>
    <s v="O00792"/>
    <d v="2025-01-17T00:00:00"/>
    <s v="C00792"/>
    <s v="Customer 792"/>
    <s v="Laptop"/>
    <s v="Electronics"/>
    <s v="Dell"/>
    <n v="3"/>
    <n v="13310"/>
    <n v="0.05"/>
    <n v="37933.5"/>
    <n v="10742.63"/>
    <s v="Wallet"/>
    <s v="Hyderabad"/>
    <s v="Telangana"/>
    <s v="Rahul"/>
    <s v="Cancelled"/>
    <n v="4"/>
  </r>
  <r>
    <s v="O00793"/>
    <d v="2025-12-13T00:00:00"/>
    <s v="C00793"/>
    <s v="Customer 793"/>
    <s v="Shoes"/>
    <s v="Fashion"/>
    <s v="Nike"/>
    <n v="5"/>
    <n v="6095"/>
    <n v="0.15"/>
    <n v="25903.75"/>
    <n v="5018.2700000000004"/>
    <s v="UPI"/>
    <s v="Kochi"/>
    <s v="Kerala"/>
    <s v="John"/>
    <s v="Returned"/>
    <n v="5"/>
  </r>
  <r>
    <s v="O00794"/>
    <d v="2025-01-02T00:00:00"/>
    <s v="C00794"/>
    <s v="Customer 794"/>
    <s v="Laptop"/>
    <s v="Electronics"/>
    <s v="Dell"/>
    <n v="2"/>
    <n v="9859"/>
    <n v="0"/>
    <n v="19718"/>
    <n v="2780.28"/>
    <s v="Wallet"/>
    <s v="Bengaluru"/>
    <s v="Karnataka"/>
    <s v="Anil"/>
    <s v="Delivered"/>
    <n v="1"/>
  </r>
  <r>
    <s v="O00795"/>
    <d v="2025-01-23T00:00:00"/>
    <s v="C00795"/>
    <s v="Customer 795"/>
    <s v="Watch"/>
    <s v="Accessories"/>
    <s v="Fossil"/>
    <n v="4"/>
    <n v="12467"/>
    <n v="0.05"/>
    <n v="47374.6"/>
    <n v="10462.93"/>
    <s v="COD"/>
    <s v="Mumbai"/>
    <s v="Maharashtra"/>
    <s v="Rahul"/>
    <s v="Delivered"/>
    <n v="5"/>
  </r>
  <r>
    <s v="O00796"/>
    <d v="2025-10-31T00:00:00"/>
    <s v="C00796"/>
    <s v="Customer 796"/>
    <s v="Phone"/>
    <s v="Electronics"/>
    <s v="Samsung"/>
    <n v="5"/>
    <n v="5080"/>
    <n v="0.05"/>
    <n v="24130"/>
    <n v="6363.89"/>
    <s v="UPI"/>
    <s v="Hyderabad"/>
    <s v="Telangana"/>
    <s v="Priya"/>
    <s v="Cancelled"/>
    <n v="2"/>
  </r>
  <r>
    <s v="O00797"/>
    <d v="2025-04-16T00:00:00"/>
    <s v="C00797"/>
    <s v="Customer 797"/>
    <s v="Watch"/>
    <s v="Accessories"/>
    <s v="Fossil"/>
    <n v="5"/>
    <n v="10388"/>
    <n v="0"/>
    <n v="51940"/>
    <n v="10615.92"/>
    <s v="UPI"/>
    <s v="Bengaluru"/>
    <s v="Karnataka"/>
    <s v="Priya"/>
    <s v="Returned"/>
    <n v="5"/>
  </r>
  <r>
    <s v="O00798"/>
    <d v="2025-12-04T00:00:00"/>
    <s v="C00798"/>
    <s v="Customer 798"/>
    <s v="Chair"/>
    <s v="Furniture"/>
    <s v="Ikea"/>
    <n v="1"/>
    <n v="6198"/>
    <n v="0.1"/>
    <n v="5578.2"/>
    <n v="1026.45"/>
    <s v="Wallet"/>
    <s v="Chennai"/>
    <s v="Tamil Nadu"/>
    <s v="Rahul"/>
    <s v="Shipped"/>
    <n v="2"/>
  </r>
  <r>
    <s v="O00799"/>
    <d v="2025-12-03T00:00:00"/>
    <s v="C00799"/>
    <s v="Customer 799"/>
    <s v="Book"/>
    <s v="Books"/>
    <s v="Penguin"/>
    <n v="5"/>
    <n v="12408"/>
    <n v="0.1"/>
    <n v="55836"/>
    <n v="14108.3"/>
    <s v="COD"/>
    <s v="Mumbai"/>
    <s v="Maharashtra"/>
    <s v="Rahul"/>
    <s v="Cancelled"/>
    <n v="1"/>
  </r>
  <r>
    <s v="O00800"/>
    <d v="2025-05-05T00:00:00"/>
    <s v="C00800"/>
    <s v="Customer 800"/>
    <s v="Shoes"/>
    <s v="Fashion"/>
    <s v="Nike"/>
    <n v="3"/>
    <n v="11988"/>
    <n v="0.15"/>
    <n v="30569.4"/>
    <n v="3599.22"/>
    <s v="Card"/>
    <s v="Bengaluru"/>
    <s v="Karnataka"/>
    <s v="John"/>
    <s v="Cancelled"/>
    <n v="5"/>
  </r>
  <r>
    <s v="O00801"/>
    <d v="2025-09-26T00:00:00"/>
    <s v="C00801"/>
    <s v="Customer 801"/>
    <s v="Book"/>
    <s v="Books"/>
    <s v="Penguin"/>
    <n v="5"/>
    <n v="12841"/>
    <n v="0.15"/>
    <n v="54574.25"/>
    <n v="11056.6"/>
    <s v="Wallet"/>
    <s v="Chennai"/>
    <s v="Tamil Nadu"/>
    <s v="Asha"/>
    <s v="Cancelled"/>
    <n v="3"/>
  </r>
  <r>
    <s v="O00802"/>
    <d v="2025-06-14T00:00:00"/>
    <s v="C00802"/>
    <s v="Customer 802"/>
    <s v="Chair"/>
    <s v="Furniture"/>
    <s v="Ikea"/>
    <n v="1"/>
    <n v="7229"/>
    <n v="0.05"/>
    <n v="6867.55"/>
    <n v="1333.31"/>
    <s v="Wallet"/>
    <s v="Chennai"/>
    <s v="Tamil Nadu"/>
    <s v="Rahul"/>
    <s v="Delivered"/>
    <n v="3"/>
  </r>
  <r>
    <s v="O00803"/>
    <d v="2025-10-25T00:00:00"/>
    <s v="C00803"/>
    <s v="Customer 803"/>
    <s v="Laptop"/>
    <s v="Electronics"/>
    <s v="Dell"/>
    <n v="3"/>
    <n v="9031"/>
    <n v="0"/>
    <n v="27093"/>
    <n v="2393.0300000000002"/>
    <s v="UPI"/>
    <s v="Chennai"/>
    <s v="Tamil Nadu"/>
    <s v="Asha"/>
    <s v="Shipped"/>
    <n v="2"/>
  </r>
  <r>
    <s v="O00804"/>
    <d v="2025-01-14T00:00:00"/>
    <s v="C00804"/>
    <s v="Customer 804"/>
    <s v="Watch"/>
    <s v="Accessories"/>
    <s v="Fossil"/>
    <n v="4"/>
    <n v="3675"/>
    <n v="0.2"/>
    <n v="11760"/>
    <n v="1669.28"/>
    <s v="Net Banking"/>
    <s v="Kochi"/>
    <s v="Kerala"/>
    <s v="Anil"/>
    <s v="Shipped"/>
    <n v="4"/>
  </r>
  <r>
    <s v="O00805"/>
    <d v="2025-07-21T00:00:00"/>
    <s v="C00805"/>
    <s v="Customer 805"/>
    <s v="Watch"/>
    <s v="Accessories"/>
    <s v="Fossil"/>
    <n v="4"/>
    <n v="7041"/>
    <n v="0.05"/>
    <n v="26755.8"/>
    <n v="6424.1"/>
    <s v="Card"/>
    <s v="Chennai"/>
    <s v="Tamil Nadu"/>
    <s v="Anil"/>
    <s v="Returned"/>
    <n v="1"/>
  </r>
  <r>
    <s v="O00806"/>
    <d v="2025-10-20T00:00:00"/>
    <s v="C00806"/>
    <s v="Customer 806"/>
    <s v="Mixer"/>
    <s v="Home"/>
    <s v="Philips"/>
    <n v="5"/>
    <n v="12094"/>
    <n v="0.1"/>
    <n v="54423"/>
    <n v="14128.02"/>
    <s v="Net Banking"/>
    <s v="Chennai"/>
    <s v="Tamil Nadu"/>
    <s v="John"/>
    <s v="Cancelled"/>
    <n v="5"/>
  </r>
  <r>
    <s v="O00807"/>
    <d v="2025-07-05T00:00:00"/>
    <s v="C00807"/>
    <s v="Customer 807"/>
    <s v="Mixer"/>
    <s v="Home"/>
    <s v="Philips"/>
    <n v="3"/>
    <n v="9101"/>
    <n v="0.2"/>
    <n v="21842.400000000001"/>
    <n v="4055.03"/>
    <s v="UPI"/>
    <s v="Kochi"/>
    <s v="Kerala"/>
    <s v="Anil"/>
    <s v="Returned"/>
    <n v="4"/>
  </r>
  <r>
    <s v="O00808"/>
    <d v="2025-09-12T00:00:00"/>
    <s v="C00808"/>
    <s v="Customer 808"/>
    <s v="Book"/>
    <s v="Books"/>
    <s v="Penguin"/>
    <n v="3"/>
    <n v="11776"/>
    <n v="0.05"/>
    <n v="33561.599999999999"/>
    <n v="3761.55"/>
    <s v="Net Banking"/>
    <s v="Chennai"/>
    <s v="Tamil Nadu"/>
    <s v="Rahul"/>
    <s v="Returned"/>
    <n v="3"/>
  </r>
  <r>
    <s v="O00809"/>
    <d v="2025-01-06T00:00:00"/>
    <s v="C00809"/>
    <s v="Customer 809"/>
    <s v="Mixer"/>
    <s v="Home"/>
    <s v="Philips"/>
    <n v="3"/>
    <n v="2716"/>
    <n v="0.15"/>
    <n v="6925.8"/>
    <n v="1544.2"/>
    <s v="Net Banking"/>
    <s v="Hyderabad"/>
    <s v="Telangana"/>
    <s v="Asha"/>
    <s v="Cancelled"/>
    <n v="4"/>
  </r>
  <r>
    <s v="O00810"/>
    <d v="2025-04-25T00:00:00"/>
    <s v="C00810"/>
    <s v="Customer 810"/>
    <s v="Chair"/>
    <s v="Furniture"/>
    <s v="Ikea"/>
    <n v="2"/>
    <n v="13428"/>
    <n v="0"/>
    <n v="26856"/>
    <n v="5533.27"/>
    <s v="Wallet"/>
    <s v="Delhi"/>
    <s v="Delhi"/>
    <s v="Anil"/>
    <s v="Shipped"/>
    <n v="5"/>
  </r>
  <r>
    <s v="O00811"/>
    <d v="2025-03-18T00:00:00"/>
    <s v="C00811"/>
    <s v="Customer 811"/>
    <s v="Mixer"/>
    <s v="Home"/>
    <s v="Philips"/>
    <n v="5"/>
    <n v="2675"/>
    <n v="0"/>
    <n v="13375"/>
    <n v="2818.14"/>
    <s v="UPI"/>
    <s v="Delhi"/>
    <s v="Delhi"/>
    <s v="Rahul"/>
    <s v="Delivered"/>
    <n v="2"/>
  </r>
  <r>
    <s v="O00812"/>
    <d v="2025-08-17T00:00:00"/>
    <s v="C00812"/>
    <s v="Customer 812"/>
    <s v="Headphones"/>
    <s v="Electronics"/>
    <s v="Sony"/>
    <n v="2"/>
    <n v="8803"/>
    <n v="0.1"/>
    <n v="15845.4"/>
    <n v="4564.76"/>
    <s v="UPI"/>
    <s v="Delhi"/>
    <s v="Delhi"/>
    <s v="Rahul"/>
    <s v="Shipped"/>
    <n v="5"/>
  </r>
  <r>
    <s v="O00813"/>
    <d v="2025-07-28T00:00:00"/>
    <s v="C00813"/>
    <s v="Customer 813"/>
    <s v="Chair"/>
    <s v="Furniture"/>
    <s v="Ikea"/>
    <n v="3"/>
    <n v="10504"/>
    <n v="0.05"/>
    <n v="29936.400000000001"/>
    <n v="5735.92"/>
    <s v="Wallet"/>
    <s v="Delhi"/>
    <s v="Delhi"/>
    <s v="John"/>
    <s v="Delivered"/>
    <n v="1"/>
  </r>
  <r>
    <s v="O00814"/>
    <d v="2025-03-04T00:00:00"/>
    <s v="C00814"/>
    <s v="Customer 814"/>
    <s v="Watch"/>
    <s v="Accessories"/>
    <s v="Fossil"/>
    <n v="4"/>
    <n v="4512"/>
    <n v="0.15"/>
    <n v="15340.8"/>
    <n v="4564.29"/>
    <s v="COD"/>
    <s v="Chennai"/>
    <s v="Tamil Nadu"/>
    <s v="Priya"/>
    <s v="Cancelled"/>
    <n v="1"/>
  </r>
  <r>
    <s v="O00815"/>
    <d v="2025-01-25T00:00:00"/>
    <s v="C00815"/>
    <s v="Customer 815"/>
    <s v="Headphones"/>
    <s v="Electronics"/>
    <s v="Sony"/>
    <n v="1"/>
    <n v="2920"/>
    <n v="0.05"/>
    <n v="2774"/>
    <n v="563.14"/>
    <s v="UPI"/>
    <s v="Mumbai"/>
    <s v="Maharashtra"/>
    <s v="John"/>
    <s v="Cancelled"/>
    <n v="3"/>
  </r>
  <r>
    <s v="O00816"/>
    <d v="2025-05-27T00:00:00"/>
    <s v="C00816"/>
    <s v="Customer 816"/>
    <s v="Laptop"/>
    <s v="Electronics"/>
    <s v="Dell"/>
    <n v="5"/>
    <n v="12319"/>
    <n v="0.15"/>
    <n v="52355.75"/>
    <n v="7499.76"/>
    <s v="UPI"/>
    <s v="Mumbai"/>
    <s v="Maharashtra"/>
    <s v="Priya"/>
    <s v="Delivered"/>
    <n v="3"/>
  </r>
  <r>
    <s v="O00817"/>
    <d v="2025-08-01T00:00:00"/>
    <s v="C00817"/>
    <s v="Customer 817"/>
    <s v="Phone"/>
    <s v="Electronics"/>
    <s v="Samsung"/>
    <n v="3"/>
    <n v="4211"/>
    <n v="0"/>
    <n v="12633"/>
    <n v="3301.48"/>
    <s v="UPI"/>
    <s v="Mumbai"/>
    <s v="Maharashtra"/>
    <s v="Rahul"/>
    <s v="Returned"/>
    <n v="1"/>
  </r>
  <r>
    <s v="O00818"/>
    <d v="2025-12-21T00:00:00"/>
    <s v="C00818"/>
    <s v="Customer 818"/>
    <s v="Mixer"/>
    <s v="Home"/>
    <s v="Philips"/>
    <n v="2"/>
    <n v="9903"/>
    <n v="0.05"/>
    <n v="18815.7"/>
    <n v="3969.72"/>
    <s v="Card"/>
    <s v="Kochi"/>
    <s v="Kerala"/>
    <s v="Asha"/>
    <s v="Returned"/>
    <n v="4"/>
  </r>
  <r>
    <s v="O00819"/>
    <d v="2025-01-13T00:00:00"/>
    <s v="C00819"/>
    <s v="Customer 819"/>
    <s v="Phone"/>
    <s v="Electronics"/>
    <s v="Samsung"/>
    <n v="1"/>
    <n v="3730"/>
    <n v="0.05"/>
    <n v="3543.5"/>
    <n v="322.07"/>
    <s v="Card"/>
    <s v="Chennai"/>
    <s v="Tamil Nadu"/>
    <s v="Priya"/>
    <s v="Cancelled"/>
    <n v="3"/>
  </r>
  <r>
    <s v="O00820"/>
    <d v="2025-11-05T00:00:00"/>
    <s v="C00820"/>
    <s v="Customer 820"/>
    <s v="Book"/>
    <s v="Books"/>
    <s v="Penguin"/>
    <n v="2"/>
    <n v="8494"/>
    <n v="0"/>
    <n v="16988"/>
    <n v="4248.05"/>
    <s v="Net Banking"/>
    <s v="Mumbai"/>
    <s v="Maharashtra"/>
    <s v="Anil"/>
    <s v="Shipped"/>
    <n v="5"/>
  </r>
  <r>
    <s v="O00821"/>
    <d v="2025-08-31T00:00:00"/>
    <s v="C00821"/>
    <s v="Customer 821"/>
    <s v="Watch"/>
    <s v="Accessories"/>
    <s v="Fossil"/>
    <n v="1"/>
    <n v="1855"/>
    <n v="0.15"/>
    <n v="1576.75"/>
    <n v="271.29000000000002"/>
    <s v="COD"/>
    <s v="Mumbai"/>
    <s v="Maharashtra"/>
    <s v="Asha"/>
    <s v="Shipped"/>
    <n v="3"/>
  </r>
  <r>
    <s v="O00822"/>
    <d v="2025-05-02T00:00:00"/>
    <s v="C00822"/>
    <s v="Customer 822"/>
    <s v="Chair"/>
    <s v="Furniture"/>
    <s v="Ikea"/>
    <n v="3"/>
    <n v="8864"/>
    <n v="0.2"/>
    <n v="21273.599999999999"/>
    <n v="2894.53"/>
    <s v="Wallet"/>
    <s v="Bengaluru"/>
    <s v="Karnataka"/>
    <s v="Anil"/>
    <s v="Cancelled"/>
    <n v="2"/>
  </r>
  <r>
    <s v="O00823"/>
    <d v="2025-06-30T00:00:00"/>
    <s v="C00823"/>
    <s v="Customer 823"/>
    <s v="Phone"/>
    <s v="Electronics"/>
    <s v="Samsung"/>
    <n v="4"/>
    <n v="1001"/>
    <n v="0.05"/>
    <n v="3803.8"/>
    <n v="632.66999999999996"/>
    <s v="Net Banking"/>
    <s v="Kochi"/>
    <s v="Kerala"/>
    <s v="Rahul"/>
    <s v="Delivered"/>
    <n v="1"/>
  </r>
  <r>
    <s v="O00824"/>
    <d v="2025-02-26T00:00:00"/>
    <s v="C00824"/>
    <s v="Customer 824"/>
    <s v="Chair"/>
    <s v="Furniture"/>
    <s v="Ikea"/>
    <n v="2"/>
    <n v="10481"/>
    <n v="0.15"/>
    <n v="17817.7"/>
    <n v="3725.56"/>
    <s v="Wallet"/>
    <s v="Bengaluru"/>
    <s v="Karnataka"/>
    <s v="Priya"/>
    <s v="Returned"/>
    <n v="1"/>
  </r>
  <r>
    <s v="O00825"/>
    <d v="2025-07-18T00:00:00"/>
    <s v="C00825"/>
    <s v="Customer 825"/>
    <s v="Watch"/>
    <s v="Accessories"/>
    <s v="Fossil"/>
    <n v="5"/>
    <n v="11828"/>
    <n v="0"/>
    <n v="59140"/>
    <n v="5036.99"/>
    <s v="Net Banking"/>
    <s v="Hyderabad"/>
    <s v="Telangana"/>
    <s v="Anil"/>
    <s v="Cancelled"/>
    <n v="4"/>
  </r>
  <r>
    <s v="O00826"/>
    <d v="2025-03-31T00:00:00"/>
    <s v="C00826"/>
    <s v="Customer 826"/>
    <s v="Shoes"/>
    <s v="Fashion"/>
    <s v="Nike"/>
    <n v="3"/>
    <n v="12383"/>
    <n v="0"/>
    <n v="37149"/>
    <n v="3502.31"/>
    <s v="Wallet"/>
    <s v="Kochi"/>
    <s v="Kerala"/>
    <s v="Rahul"/>
    <s v="Shipped"/>
    <n v="3"/>
  </r>
  <r>
    <s v="O00827"/>
    <d v="2025-11-24T00:00:00"/>
    <s v="C00827"/>
    <s v="Customer 827"/>
    <s v="Shoes"/>
    <s v="Fashion"/>
    <s v="Nike"/>
    <n v="1"/>
    <n v="11177"/>
    <n v="0.1"/>
    <n v="10059.299999999999"/>
    <n v="2333.71"/>
    <s v="COD"/>
    <s v="Hyderabad"/>
    <s v="Telangana"/>
    <s v="Rahul"/>
    <s v="Cancelled"/>
    <n v="2"/>
  </r>
  <r>
    <s v="O00828"/>
    <d v="2025-06-18T00:00:00"/>
    <s v="C00828"/>
    <s v="Customer 828"/>
    <s v="Headphones"/>
    <s v="Electronics"/>
    <s v="Sony"/>
    <n v="2"/>
    <n v="9172"/>
    <n v="0"/>
    <n v="18344"/>
    <n v="3305.26"/>
    <s v="UPI"/>
    <s v="Chennai"/>
    <s v="Tamil Nadu"/>
    <s v="Rahul"/>
    <s v="Shipped"/>
    <n v="3"/>
  </r>
  <r>
    <s v="O00829"/>
    <d v="2025-12-26T00:00:00"/>
    <s v="C00829"/>
    <s v="Customer 829"/>
    <s v="Chair"/>
    <s v="Furniture"/>
    <s v="Ikea"/>
    <n v="3"/>
    <n v="13664"/>
    <n v="0.2"/>
    <n v="32793.599999999999"/>
    <n v="8293.77"/>
    <s v="Wallet"/>
    <s v="Bengaluru"/>
    <s v="Karnataka"/>
    <s v="Anil"/>
    <s v="Delivered"/>
    <n v="4"/>
  </r>
  <r>
    <s v="O00830"/>
    <d v="2025-08-11T00:00:00"/>
    <s v="C00830"/>
    <s v="Customer 830"/>
    <s v="Mixer"/>
    <s v="Home"/>
    <s v="Philips"/>
    <n v="4"/>
    <n v="4465"/>
    <n v="0.2"/>
    <n v="14288"/>
    <n v="2242.88"/>
    <s v="Wallet"/>
    <s v="Chennai"/>
    <s v="Tamil Nadu"/>
    <s v="Rahul"/>
    <s v="Returned"/>
    <n v="1"/>
  </r>
  <r>
    <s v="O00831"/>
    <d v="2025-01-20T00:00:00"/>
    <s v="C00831"/>
    <s v="Customer 831"/>
    <s v="Phone"/>
    <s v="Electronics"/>
    <s v="Samsung"/>
    <n v="1"/>
    <n v="2264"/>
    <n v="0.15"/>
    <n v="1924.4"/>
    <n v="408.01"/>
    <s v="Net Banking"/>
    <s v="Hyderabad"/>
    <s v="Telangana"/>
    <s v="Rahul"/>
    <s v="Cancelled"/>
    <n v="5"/>
  </r>
  <r>
    <s v="O00832"/>
    <d v="2025-04-24T00:00:00"/>
    <s v="C00832"/>
    <s v="Customer 832"/>
    <s v="Laptop"/>
    <s v="Electronics"/>
    <s v="Dell"/>
    <n v="3"/>
    <n v="12765"/>
    <n v="0.1"/>
    <n v="34465.5"/>
    <n v="9677.5300000000007"/>
    <s v="COD"/>
    <s v="Kochi"/>
    <s v="Kerala"/>
    <s v="Rahul"/>
    <s v="Shipped"/>
    <n v="2"/>
  </r>
  <r>
    <s v="O00833"/>
    <d v="2025-11-20T00:00:00"/>
    <s v="C00833"/>
    <s v="Customer 833"/>
    <s v="Chair"/>
    <s v="Furniture"/>
    <s v="Ikea"/>
    <n v="5"/>
    <n v="4581"/>
    <n v="0.2"/>
    <n v="18324"/>
    <n v="4021.52"/>
    <s v="UPI"/>
    <s v="Delhi"/>
    <s v="Delhi"/>
    <s v="Priya"/>
    <s v="Delivered"/>
    <n v="4"/>
  </r>
  <r>
    <s v="O00834"/>
    <d v="2025-04-12T00:00:00"/>
    <s v="C00834"/>
    <s v="Customer 834"/>
    <s v="Phone"/>
    <s v="Electronics"/>
    <s v="Samsung"/>
    <n v="5"/>
    <n v="321"/>
    <n v="0"/>
    <n v="1605"/>
    <n v="295.29000000000002"/>
    <s v="Card"/>
    <s v="Hyderabad"/>
    <s v="Telangana"/>
    <s v="Asha"/>
    <s v="Shipped"/>
    <n v="3"/>
  </r>
  <r>
    <s v="O00835"/>
    <d v="2025-08-10T00:00:00"/>
    <s v="C00835"/>
    <s v="Customer 835"/>
    <s v="Chair"/>
    <s v="Furniture"/>
    <s v="Ikea"/>
    <n v="2"/>
    <n v="4519"/>
    <n v="0.15"/>
    <n v="7682.3"/>
    <n v="1808.17"/>
    <s v="Card"/>
    <s v="Delhi"/>
    <s v="Delhi"/>
    <s v="Asha"/>
    <s v="Delivered"/>
    <n v="2"/>
  </r>
  <r>
    <s v="O00836"/>
    <d v="2025-06-08T00:00:00"/>
    <s v="C00836"/>
    <s v="Customer 836"/>
    <s v="Phone"/>
    <s v="Electronics"/>
    <s v="Samsung"/>
    <n v="5"/>
    <n v="11881"/>
    <n v="0"/>
    <n v="59405"/>
    <n v="8023.69"/>
    <s v="COD"/>
    <s v="Chennai"/>
    <s v="Tamil Nadu"/>
    <s v="Rahul"/>
    <s v="Cancelled"/>
    <n v="4"/>
  </r>
  <r>
    <s v="O00837"/>
    <d v="2025-12-22T00:00:00"/>
    <s v="C00837"/>
    <s v="Customer 837"/>
    <s v="Watch"/>
    <s v="Accessories"/>
    <s v="Fossil"/>
    <n v="4"/>
    <n v="1978"/>
    <n v="0.1"/>
    <n v="7120.8"/>
    <n v="1302.6500000000001"/>
    <s v="Card"/>
    <s v="Delhi"/>
    <s v="Delhi"/>
    <s v="Priya"/>
    <s v="Shipped"/>
    <n v="5"/>
  </r>
  <r>
    <s v="O00838"/>
    <d v="2025-11-15T00:00:00"/>
    <s v="C00838"/>
    <s v="Customer 838"/>
    <s v="Watch"/>
    <s v="Accessories"/>
    <s v="Fossil"/>
    <n v="2"/>
    <n v="6000"/>
    <n v="0.15"/>
    <n v="10200"/>
    <n v="2455.71"/>
    <s v="UPI"/>
    <s v="Chennai"/>
    <s v="Tamil Nadu"/>
    <s v="John"/>
    <s v="Shipped"/>
    <n v="5"/>
  </r>
  <r>
    <s v="O00839"/>
    <d v="2025-02-11T00:00:00"/>
    <s v="C00839"/>
    <s v="Customer 839"/>
    <s v="Chair"/>
    <s v="Furniture"/>
    <s v="Ikea"/>
    <n v="5"/>
    <n v="7091"/>
    <n v="0.15"/>
    <n v="30136.75"/>
    <n v="5368.13"/>
    <s v="COD"/>
    <s v="Delhi"/>
    <s v="Delhi"/>
    <s v="Anil"/>
    <s v="Cancelled"/>
    <n v="1"/>
  </r>
  <r>
    <s v="O00840"/>
    <d v="2025-08-05T00:00:00"/>
    <s v="C00840"/>
    <s v="Customer 840"/>
    <s v="Phone"/>
    <s v="Electronics"/>
    <s v="Samsung"/>
    <n v="5"/>
    <n v="5573"/>
    <n v="0.1"/>
    <n v="25078.5"/>
    <n v="4494.24"/>
    <s v="Net Banking"/>
    <s v="Delhi"/>
    <s v="Delhi"/>
    <s v="John"/>
    <s v="Returned"/>
    <n v="1"/>
  </r>
  <r>
    <s v="O00841"/>
    <d v="2025-09-07T00:00:00"/>
    <s v="C00841"/>
    <s v="Customer 841"/>
    <s v="Headphones"/>
    <s v="Electronics"/>
    <s v="Sony"/>
    <n v="3"/>
    <n v="3301"/>
    <n v="0.2"/>
    <n v="7922.4"/>
    <n v="2363"/>
    <s v="Wallet"/>
    <s v="Delhi"/>
    <s v="Delhi"/>
    <s v="Anil"/>
    <s v="Delivered"/>
    <n v="5"/>
  </r>
  <r>
    <s v="O00842"/>
    <d v="2025-11-17T00:00:00"/>
    <s v="C00842"/>
    <s v="Customer 842"/>
    <s v="Phone"/>
    <s v="Electronics"/>
    <s v="Samsung"/>
    <n v="4"/>
    <n v="8698"/>
    <n v="0"/>
    <n v="34792"/>
    <n v="6066.85"/>
    <s v="Wallet"/>
    <s v="Kochi"/>
    <s v="Kerala"/>
    <s v="Priya"/>
    <s v="Cancelled"/>
    <n v="3"/>
  </r>
  <r>
    <s v="O00843"/>
    <d v="2025-10-23T00:00:00"/>
    <s v="C00843"/>
    <s v="Customer 843"/>
    <s v="Mixer"/>
    <s v="Home"/>
    <s v="Philips"/>
    <n v="4"/>
    <n v="2654"/>
    <n v="0.2"/>
    <n v="8492.7999999999993"/>
    <n v="2244.83"/>
    <s v="UPI"/>
    <s v="Chennai"/>
    <s v="Tamil Nadu"/>
    <s v="Anil"/>
    <s v="Delivered"/>
    <n v="4"/>
  </r>
  <r>
    <s v="O00844"/>
    <d v="2025-03-23T00:00:00"/>
    <s v="C00844"/>
    <s v="Customer 844"/>
    <s v="Mixer"/>
    <s v="Home"/>
    <s v="Philips"/>
    <n v="5"/>
    <n v="8286"/>
    <n v="0"/>
    <n v="41430"/>
    <n v="7647.06"/>
    <s v="Wallet"/>
    <s v="Kochi"/>
    <s v="Kerala"/>
    <s v="Rahul"/>
    <s v="Cancelled"/>
    <n v="2"/>
  </r>
  <r>
    <s v="O00845"/>
    <d v="2025-12-26T00:00:00"/>
    <s v="C00845"/>
    <s v="Customer 845"/>
    <s v="Book"/>
    <s v="Books"/>
    <s v="Penguin"/>
    <n v="1"/>
    <n v="9490"/>
    <n v="0.2"/>
    <n v="7592"/>
    <n v="2016.93"/>
    <s v="Card"/>
    <s v="Hyderabad"/>
    <s v="Telangana"/>
    <s v="Asha"/>
    <s v="Delivered"/>
    <n v="1"/>
  </r>
  <r>
    <s v="O00846"/>
    <d v="2025-04-04T00:00:00"/>
    <s v="C00846"/>
    <s v="Customer 846"/>
    <s v="Book"/>
    <s v="Books"/>
    <s v="Penguin"/>
    <n v="3"/>
    <n v="2148"/>
    <n v="0.2"/>
    <n v="5155.2"/>
    <n v="989.75"/>
    <s v="Wallet"/>
    <s v="Mumbai"/>
    <s v="Maharashtra"/>
    <s v="Anil"/>
    <s v="Returned"/>
    <n v="1"/>
  </r>
  <r>
    <s v="O00847"/>
    <d v="2025-01-17T00:00:00"/>
    <s v="C00847"/>
    <s v="Customer 847"/>
    <s v="Headphones"/>
    <s v="Electronics"/>
    <s v="Sony"/>
    <n v="1"/>
    <n v="6786"/>
    <n v="0"/>
    <n v="6786"/>
    <n v="863.18"/>
    <s v="Net Banking"/>
    <s v="Chennai"/>
    <s v="Tamil Nadu"/>
    <s v="Asha"/>
    <s v="Delivered"/>
    <n v="5"/>
  </r>
  <r>
    <s v="O00848"/>
    <d v="2025-01-06T00:00:00"/>
    <s v="C00848"/>
    <s v="Customer 848"/>
    <s v="Laptop"/>
    <s v="Electronics"/>
    <s v="Dell"/>
    <n v="2"/>
    <n v="7001"/>
    <n v="0.05"/>
    <n v="13301.9"/>
    <n v="2236.06"/>
    <s v="COD"/>
    <s v="Hyderabad"/>
    <s v="Telangana"/>
    <s v="Rahul"/>
    <s v="Cancelled"/>
    <n v="3"/>
  </r>
  <r>
    <s v="O00849"/>
    <d v="2025-02-12T00:00:00"/>
    <s v="C00849"/>
    <s v="Customer 849"/>
    <s v="Watch"/>
    <s v="Accessories"/>
    <s v="Fossil"/>
    <n v="1"/>
    <n v="14695"/>
    <n v="0.15"/>
    <n v="12490.75"/>
    <n v="3233.56"/>
    <s v="Card"/>
    <s v="Hyderabad"/>
    <s v="Telangana"/>
    <s v="Priya"/>
    <s v="Delivered"/>
    <n v="1"/>
  </r>
  <r>
    <s v="O00850"/>
    <d v="2025-09-02T00:00:00"/>
    <s v="C00850"/>
    <s v="Customer 850"/>
    <s v="Chair"/>
    <s v="Furniture"/>
    <s v="Ikea"/>
    <n v="1"/>
    <n v="12457"/>
    <n v="0"/>
    <n v="12457"/>
    <n v="2297.59"/>
    <s v="COD"/>
    <s v="Mumbai"/>
    <s v="Maharashtra"/>
    <s v="Asha"/>
    <s v="Delivered"/>
    <n v="2"/>
  </r>
  <r>
    <s v="O00851"/>
    <d v="2025-02-14T00:00:00"/>
    <s v="C00851"/>
    <s v="Customer 851"/>
    <s v="Shoes"/>
    <s v="Fashion"/>
    <s v="Nike"/>
    <n v="5"/>
    <n v="309"/>
    <n v="0.2"/>
    <n v="1236"/>
    <n v="252.83"/>
    <s v="Net Banking"/>
    <s v="Kochi"/>
    <s v="Kerala"/>
    <s v="Anil"/>
    <s v="Delivered"/>
    <n v="2"/>
  </r>
  <r>
    <s v="O00852"/>
    <d v="2025-05-20T00:00:00"/>
    <s v="C00852"/>
    <s v="Customer 852"/>
    <s v="Mixer"/>
    <s v="Home"/>
    <s v="Philips"/>
    <n v="1"/>
    <n v="2914"/>
    <n v="0.2"/>
    <n v="2331.1999999999998"/>
    <n v="488.65"/>
    <s v="Card"/>
    <s v="Bengaluru"/>
    <s v="Karnataka"/>
    <s v="Anil"/>
    <s v="Delivered"/>
    <n v="5"/>
  </r>
  <r>
    <s v="O00853"/>
    <d v="2025-03-07T00:00:00"/>
    <s v="C00853"/>
    <s v="Customer 853"/>
    <s v="Mixer"/>
    <s v="Home"/>
    <s v="Philips"/>
    <n v="2"/>
    <n v="8605"/>
    <n v="0.05"/>
    <n v="16349.5"/>
    <n v="1594.75"/>
    <s v="Wallet"/>
    <s v="Delhi"/>
    <s v="Delhi"/>
    <s v="Rahul"/>
    <s v="Cancelled"/>
    <n v="3"/>
  </r>
  <r>
    <s v="O00854"/>
    <d v="2025-06-07T00:00:00"/>
    <s v="C00854"/>
    <s v="Customer 854"/>
    <s v="Mixer"/>
    <s v="Home"/>
    <s v="Philips"/>
    <n v="1"/>
    <n v="9805"/>
    <n v="0.15"/>
    <n v="8334.25"/>
    <n v="2178.7800000000002"/>
    <s v="COD"/>
    <s v="Hyderabad"/>
    <s v="Telangana"/>
    <s v="John"/>
    <s v="Delivered"/>
    <n v="4"/>
  </r>
  <r>
    <s v="O00855"/>
    <d v="2025-03-15T00:00:00"/>
    <s v="C00855"/>
    <s v="Customer 855"/>
    <s v="Shoes"/>
    <s v="Fashion"/>
    <s v="Nike"/>
    <n v="2"/>
    <n v="5394"/>
    <n v="0.1"/>
    <n v="9709.2000000000007"/>
    <n v="1717.33"/>
    <s v="Card"/>
    <s v="Hyderabad"/>
    <s v="Telangana"/>
    <s v="John"/>
    <s v="Shipped"/>
    <n v="4"/>
  </r>
  <r>
    <s v="O00856"/>
    <d v="2025-02-27T00:00:00"/>
    <s v="C00856"/>
    <s v="Customer 856"/>
    <s v="Chair"/>
    <s v="Furniture"/>
    <s v="Ikea"/>
    <n v="4"/>
    <n v="2677"/>
    <n v="0.15"/>
    <n v="9101.7999999999993"/>
    <n v="915.39"/>
    <s v="COD"/>
    <s v="Chennai"/>
    <s v="Tamil Nadu"/>
    <s v="Priya"/>
    <s v="Cancelled"/>
    <n v="3"/>
  </r>
  <r>
    <s v="O00857"/>
    <d v="2025-10-11T00:00:00"/>
    <s v="C00857"/>
    <s v="Customer 857"/>
    <s v="Headphones"/>
    <s v="Electronics"/>
    <s v="Sony"/>
    <n v="5"/>
    <n v="6012"/>
    <n v="0.2"/>
    <n v="24048"/>
    <n v="2318.4699999999998"/>
    <s v="Net Banking"/>
    <s v="Hyderabad"/>
    <s v="Telangana"/>
    <s v="John"/>
    <s v="Delivered"/>
    <n v="2"/>
  </r>
  <r>
    <s v="O00858"/>
    <d v="2025-08-30T00:00:00"/>
    <s v="C00858"/>
    <s v="Customer 858"/>
    <s v="Mixer"/>
    <s v="Home"/>
    <s v="Philips"/>
    <n v="5"/>
    <n v="5099"/>
    <n v="0.15"/>
    <n v="21670.75"/>
    <n v="3727.58"/>
    <s v="Net Banking"/>
    <s v="Chennai"/>
    <s v="Tamil Nadu"/>
    <s v="Rahul"/>
    <s v="Returned"/>
    <n v="3"/>
  </r>
  <r>
    <s v="O00859"/>
    <d v="2025-12-11T00:00:00"/>
    <s v="C00859"/>
    <s v="Customer 859"/>
    <s v="Laptop"/>
    <s v="Electronics"/>
    <s v="Dell"/>
    <n v="3"/>
    <n v="5202"/>
    <n v="0.15"/>
    <n v="13265.1"/>
    <n v="1769.93"/>
    <s v="Net Banking"/>
    <s v="Bengaluru"/>
    <s v="Karnataka"/>
    <s v="Priya"/>
    <s v="Shipped"/>
    <n v="4"/>
  </r>
  <r>
    <s v="O00860"/>
    <d v="2025-02-23T00:00:00"/>
    <s v="C00860"/>
    <s v="Customer 860"/>
    <s v="Mixer"/>
    <s v="Home"/>
    <s v="Philips"/>
    <n v="2"/>
    <n v="10837"/>
    <n v="0.05"/>
    <n v="20590.3"/>
    <n v="5357.02"/>
    <s v="Wallet"/>
    <s v="Mumbai"/>
    <s v="Maharashtra"/>
    <s v="Asha"/>
    <s v="Delivered"/>
    <n v="2"/>
  </r>
  <r>
    <s v="O00861"/>
    <d v="2025-04-15T00:00:00"/>
    <s v="C00861"/>
    <s v="Customer 861"/>
    <s v="Phone"/>
    <s v="Electronics"/>
    <s v="Samsung"/>
    <n v="1"/>
    <n v="4660"/>
    <n v="0"/>
    <n v="4660"/>
    <n v="563.74"/>
    <s v="UPI"/>
    <s v="Mumbai"/>
    <s v="Maharashtra"/>
    <s v="John"/>
    <s v="Returned"/>
    <n v="1"/>
  </r>
  <r>
    <s v="O00862"/>
    <d v="2025-04-07T00:00:00"/>
    <s v="C00862"/>
    <s v="Customer 862"/>
    <s v="Phone"/>
    <s v="Electronics"/>
    <s v="Samsung"/>
    <n v="1"/>
    <n v="3020"/>
    <n v="0.2"/>
    <n v="2416"/>
    <n v="591.4"/>
    <s v="Net Banking"/>
    <s v="Hyderabad"/>
    <s v="Telangana"/>
    <s v="Priya"/>
    <s v="Cancelled"/>
    <n v="4"/>
  </r>
  <r>
    <s v="O00863"/>
    <d v="2025-12-14T00:00:00"/>
    <s v="C00863"/>
    <s v="Customer 863"/>
    <s v="Headphones"/>
    <s v="Electronics"/>
    <s v="Sony"/>
    <n v="4"/>
    <n v="11532"/>
    <n v="0"/>
    <n v="46128"/>
    <n v="13370.35"/>
    <s v="Wallet"/>
    <s v="Hyderabad"/>
    <s v="Telangana"/>
    <s v="John"/>
    <s v="Returned"/>
    <n v="4"/>
  </r>
  <r>
    <s v="O00864"/>
    <d v="2025-12-07T00:00:00"/>
    <s v="C00864"/>
    <s v="Customer 864"/>
    <s v="Phone"/>
    <s v="Electronics"/>
    <s v="Samsung"/>
    <n v="1"/>
    <n v="9858"/>
    <n v="0.15"/>
    <n v="8379.2999999999993"/>
    <n v="2103.71"/>
    <s v="COD"/>
    <s v="Hyderabad"/>
    <s v="Telangana"/>
    <s v="Asha"/>
    <s v="Delivered"/>
    <n v="2"/>
  </r>
  <r>
    <s v="O00865"/>
    <d v="2025-03-31T00:00:00"/>
    <s v="C00865"/>
    <s v="Customer 865"/>
    <s v="Mixer"/>
    <s v="Home"/>
    <s v="Philips"/>
    <n v="3"/>
    <n v="9324"/>
    <n v="0.15"/>
    <n v="23776.2"/>
    <n v="5401.73"/>
    <s v="COD"/>
    <s v="Chennai"/>
    <s v="Tamil Nadu"/>
    <s v="John"/>
    <s v="Cancelled"/>
    <n v="3"/>
  </r>
  <r>
    <s v="O00866"/>
    <d v="2025-09-15T00:00:00"/>
    <s v="C00866"/>
    <s v="Customer 866"/>
    <s v="Shoes"/>
    <s v="Fashion"/>
    <s v="Nike"/>
    <n v="2"/>
    <n v="424"/>
    <n v="0"/>
    <n v="848"/>
    <n v="116.98"/>
    <s v="Wallet"/>
    <s v="Kochi"/>
    <s v="Kerala"/>
    <s v="Rahul"/>
    <s v="Shipped"/>
    <n v="1"/>
  </r>
  <r>
    <s v="O00867"/>
    <d v="2025-03-10T00:00:00"/>
    <s v="C00867"/>
    <s v="Customer 867"/>
    <s v="Watch"/>
    <s v="Accessories"/>
    <s v="Fossil"/>
    <n v="5"/>
    <n v="3141"/>
    <n v="0.2"/>
    <n v="12564"/>
    <n v="2804.29"/>
    <s v="Net Banking"/>
    <s v="Bengaluru"/>
    <s v="Karnataka"/>
    <s v="John"/>
    <s v="Returned"/>
    <n v="4"/>
  </r>
  <r>
    <s v="O00868"/>
    <d v="2025-04-12T00:00:00"/>
    <s v="C00868"/>
    <s v="Customer 868"/>
    <s v="Chair"/>
    <s v="Furniture"/>
    <s v="Ikea"/>
    <n v="2"/>
    <n v="7695"/>
    <n v="0.2"/>
    <n v="12312"/>
    <n v="3348.87"/>
    <s v="UPI"/>
    <s v="Chennai"/>
    <s v="Tamil Nadu"/>
    <s v="John"/>
    <s v="Delivered"/>
    <n v="2"/>
  </r>
  <r>
    <s v="O00869"/>
    <d v="2025-07-09T00:00:00"/>
    <s v="C00869"/>
    <s v="Customer 869"/>
    <s v="Book"/>
    <s v="Books"/>
    <s v="Penguin"/>
    <n v="5"/>
    <n v="1096"/>
    <n v="0.05"/>
    <n v="5206"/>
    <n v="982.3"/>
    <s v="UPI"/>
    <s v="Bengaluru"/>
    <s v="Karnataka"/>
    <s v="Priya"/>
    <s v="Returned"/>
    <n v="2"/>
  </r>
  <r>
    <s v="O00870"/>
    <d v="2025-12-04T00:00:00"/>
    <s v="C00870"/>
    <s v="Customer 870"/>
    <s v="Laptop"/>
    <s v="Electronics"/>
    <s v="Dell"/>
    <n v="3"/>
    <n v="9320"/>
    <n v="0.05"/>
    <n v="26562"/>
    <n v="6077.8"/>
    <s v="UPI"/>
    <s v="Bengaluru"/>
    <s v="Karnataka"/>
    <s v="Asha"/>
    <s v="Cancelled"/>
    <n v="1"/>
  </r>
  <r>
    <s v="O00871"/>
    <d v="2025-04-24T00:00:00"/>
    <s v="C00871"/>
    <s v="Customer 871"/>
    <s v="Mixer"/>
    <s v="Home"/>
    <s v="Philips"/>
    <n v="1"/>
    <n v="5729"/>
    <n v="0.2"/>
    <n v="4583.2"/>
    <n v="1203.7"/>
    <s v="Card"/>
    <s v="Kochi"/>
    <s v="Kerala"/>
    <s v="Anil"/>
    <s v="Cancelled"/>
    <n v="4"/>
  </r>
  <r>
    <s v="O00872"/>
    <d v="2025-07-31T00:00:00"/>
    <s v="C00872"/>
    <s v="Customer 872"/>
    <s v="Laptop"/>
    <s v="Electronics"/>
    <s v="Dell"/>
    <n v="1"/>
    <n v="6830"/>
    <n v="0.2"/>
    <n v="5464"/>
    <n v="1542.39"/>
    <s v="Card"/>
    <s v="Mumbai"/>
    <s v="Maharashtra"/>
    <s v="John"/>
    <s v="Delivered"/>
    <n v="3"/>
  </r>
  <r>
    <s v="O00873"/>
    <d v="2025-01-29T00:00:00"/>
    <s v="C00873"/>
    <s v="Customer 873"/>
    <s v="Chair"/>
    <s v="Furniture"/>
    <s v="Ikea"/>
    <n v="5"/>
    <n v="6926"/>
    <n v="0.2"/>
    <n v="27704"/>
    <n v="2628.2"/>
    <s v="COD"/>
    <s v="Chennai"/>
    <s v="Tamil Nadu"/>
    <s v="Rahul"/>
    <s v="Delivered"/>
    <n v="4"/>
  </r>
  <r>
    <s v="O00874"/>
    <d v="2025-06-30T00:00:00"/>
    <s v="C00874"/>
    <s v="Customer 874"/>
    <s v="Phone"/>
    <s v="Electronics"/>
    <s v="Samsung"/>
    <n v="1"/>
    <n v="10480"/>
    <n v="0"/>
    <n v="10480"/>
    <n v="2713.12"/>
    <s v="Net Banking"/>
    <s v="Bengaluru"/>
    <s v="Karnataka"/>
    <s v="Anil"/>
    <s v="Shipped"/>
    <n v="4"/>
  </r>
  <r>
    <s v="O00875"/>
    <d v="2025-05-22T00:00:00"/>
    <s v="C00875"/>
    <s v="Customer 875"/>
    <s v="Book"/>
    <s v="Books"/>
    <s v="Penguin"/>
    <n v="1"/>
    <n v="9421"/>
    <n v="0"/>
    <n v="9421"/>
    <n v="1604.28"/>
    <s v="Net Banking"/>
    <s v="Chennai"/>
    <s v="Tamil Nadu"/>
    <s v="Anil"/>
    <s v="Delivered"/>
    <n v="4"/>
  </r>
  <r>
    <s v="O00876"/>
    <d v="2025-12-24T00:00:00"/>
    <s v="C00876"/>
    <s v="Customer 876"/>
    <s v="Mixer"/>
    <s v="Home"/>
    <s v="Philips"/>
    <n v="4"/>
    <n v="7735"/>
    <n v="0"/>
    <n v="30940"/>
    <n v="5197.37"/>
    <s v="COD"/>
    <s v="Delhi"/>
    <s v="Delhi"/>
    <s v="Anil"/>
    <s v="Shipped"/>
    <n v="5"/>
  </r>
  <r>
    <s v="O00877"/>
    <d v="2025-01-21T00:00:00"/>
    <s v="C00877"/>
    <s v="Customer 877"/>
    <s v="Laptop"/>
    <s v="Electronics"/>
    <s v="Dell"/>
    <n v="4"/>
    <n v="14130"/>
    <n v="0.2"/>
    <n v="45216"/>
    <n v="6158.56"/>
    <s v="Wallet"/>
    <s v="Delhi"/>
    <s v="Delhi"/>
    <s v="Anil"/>
    <s v="Returned"/>
    <n v="1"/>
  </r>
  <r>
    <s v="O00878"/>
    <d v="2025-12-18T00:00:00"/>
    <s v="C00878"/>
    <s v="Customer 878"/>
    <s v="Laptop"/>
    <s v="Electronics"/>
    <s v="Dell"/>
    <n v="3"/>
    <n v="7272"/>
    <n v="0.15"/>
    <n v="18543.599999999999"/>
    <n v="2026.53"/>
    <s v="COD"/>
    <s v="Bengaluru"/>
    <s v="Karnataka"/>
    <s v="Asha"/>
    <s v="Delivered"/>
    <n v="2"/>
  </r>
  <r>
    <s v="O00879"/>
    <d v="2025-09-05T00:00:00"/>
    <s v="C00879"/>
    <s v="Customer 879"/>
    <s v="Book"/>
    <s v="Books"/>
    <s v="Penguin"/>
    <n v="1"/>
    <n v="5817"/>
    <n v="0.2"/>
    <n v="4653.6000000000004"/>
    <n v="1337.91"/>
    <s v="Wallet"/>
    <s v="Delhi"/>
    <s v="Delhi"/>
    <s v="Rahul"/>
    <s v="Cancelled"/>
    <n v="2"/>
  </r>
  <r>
    <s v="O00880"/>
    <d v="2025-02-04T00:00:00"/>
    <s v="C00880"/>
    <s v="Customer 880"/>
    <s v="Shoes"/>
    <s v="Fashion"/>
    <s v="Nike"/>
    <n v="2"/>
    <n v="13515"/>
    <n v="0.2"/>
    <n v="21624"/>
    <n v="3106.71"/>
    <s v="UPI"/>
    <s v="Bengaluru"/>
    <s v="Karnataka"/>
    <s v="Anil"/>
    <s v="Shipped"/>
    <n v="1"/>
  </r>
  <r>
    <s v="O00881"/>
    <d v="2025-02-18T00:00:00"/>
    <s v="C00881"/>
    <s v="Customer 881"/>
    <s v="Shoes"/>
    <s v="Fashion"/>
    <s v="Nike"/>
    <n v="2"/>
    <n v="6608"/>
    <n v="0.1"/>
    <n v="11894.4"/>
    <n v="2235.81"/>
    <s v="Net Banking"/>
    <s v="Delhi"/>
    <s v="Delhi"/>
    <s v="Asha"/>
    <s v="Cancelled"/>
    <n v="1"/>
  </r>
  <r>
    <s v="O00882"/>
    <d v="2025-04-02T00:00:00"/>
    <s v="C00882"/>
    <s v="Customer 882"/>
    <s v="Headphones"/>
    <s v="Electronics"/>
    <s v="Sony"/>
    <n v="5"/>
    <n v="7506"/>
    <n v="0.05"/>
    <n v="35653.5"/>
    <n v="10672.31"/>
    <s v="UPI"/>
    <s v="Hyderabad"/>
    <s v="Telangana"/>
    <s v="Priya"/>
    <s v="Returned"/>
    <n v="1"/>
  </r>
  <r>
    <s v="O00883"/>
    <d v="2025-03-18T00:00:00"/>
    <s v="C00883"/>
    <s v="Customer 883"/>
    <s v="Laptop"/>
    <s v="Electronics"/>
    <s v="Dell"/>
    <n v="4"/>
    <n v="3294"/>
    <n v="0.2"/>
    <n v="10540.8"/>
    <n v="2246.85"/>
    <s v="UPI"/>
    <s v="Mumbai"/>
    <s v="Maharashtra"/>
    <s v="Rahul"/>
    <s v="Cancelled"/>
    <n v="3"/>
  </r>
  <r>
    <s v="O00884"/>
    <d v="2025-03-07T00:00:00"/>
    <s v="C00884"/>
    <s v="Customer 884"/>
    <s v="Chair"/>
    <s v="Furniture"/>
    <s v="Ikea"/>
    <n v="5"/>
    <n v="3250"/>
    <n v="0.1"/>
    <n v="14625"/>
    <n v="2901.23"/>
    <s v="Net Banking"/>
    <s v="Delhi"/>
    <s v="Delhi"/>
    <s v="Anil"/>
    <s v="Returned"/>
    <n v="1"/>
  </r>
  <r>
    <s v="O00885"/>
    <d v="2025-06-11T00:00:00"/>
    <s v="C00885"/>
    <s v="Customer 885"/>
    <s v="Mixer"/>
    <s v="Home"/>
    <s v="Philips"/>
    <n v="4"/>
    <n v="12203"/>
    <n v="0"/>
    <n v="48812"/>
    <n v="14403.06"/>
    <s v="Wallet"/>
    <s v="Chennai"/>
    <s v="Tamil Nadu"/>
    <s v="Asha"/>
    <s v="Returned"/>
    <n v="1"/>
  </r>
  <r>
    <s v="O00886"/>
    <d v="2025-06-24T00:00:00"/>
    <s v="C00886"/>
    <s v="Customer 886"/>
    <s v="Chair"/>
    <s v="Furniture"/>
    <s v="Ikea"/>
    <n v="5"/>
    <n v="4647"/>
    <n v="0.05"/>
    <n v="22073.25"/>
    <n v="1940.54"/>
    <s v="Wallet"/>
    <s v="Hyderabad"/>
    <s v="Telangana"/>
    <s v="Rahul"/>
    <s v="Cancelled"/>
    <n v="1"/>
  </r>
  <r>
    <s v="O00887"/>
    <d v="2025-10-07T00:00:00"/>
    <s v="C00887"/>
    <s v="Customer 887"/>
    <s v="Laptop"/>
    <s v="Electronics"/>
    <s v="Dell"/>
    <n v="5"/>
    <n v="10321"/>
    <n v="0.05"/>
    <n v="49024.75"/>
    <n v="5137.3100000000004"/>
    <s v="COD"/>
    <s v="Mumbai"/>
    <s v="Maharashtra"/>
    <s v="Rahul"/>
    <s v="Returned"/>
    <n v="2"/>
  </r>
  <r>
    <s v="O00888"/>
    <d v="2025-12-25T00:00:00"/>
    <s v="C00888"/>
    <s v="Customer 888"/>
    <s v="Shoes"/>
    <s v="Fashion"/>
    <s v="Nike"/>
    <n v="5"/>
    <n v="7430"/>
    <n v="0.2"/>
    <n v="29720"/>
    <n v="5123.24"/>
    <s v="COD"/>
    <s v="Delhi"/>
    <s v="Delhi"/>
    <s v="Priya"/>
    <s v="Shipped"/>
    <n v="5"/>
  </r>
  <r>
    <s v="O00889"/>
    <d v="2025-05-17T00:00:00"/>
    <s v="C00889"/>
    <s v="Customer 889"/>
    <s v="Chair"/>
    <s v="Furniture"/>
    <s v="Ikea"/>
    <n v="2"/>
    <n v="4106"/>
    <n v="0.05"/>
    <n v="7801.4"/>
    <n v="1188.8499999999999"/>
    <s v="COD"/>
    <s v="Mumbai"/>
    <s v="Maharashtra"/>
    <s v="Asha"/>
    <s v="Cancelled"/>
    <n v="4"/>
  </r>
  <r>
    <s v="O00890"/>
    <d v="2025-08-11T00:00:00"/>
    <s v="C00890"/>
    <s v="Customer 890"/>
    <s v="Watch"/>
    <s v="Accessories"/>
    <s v="Fossil"/>
    <n v="2"/>
    <n v="12854"/>
    <n v="0.1"/>
    <n v="23137.200000000001"/>
    <n v="5917.82"/>
    <s v="UPI"/>
    <s v="Chennai"/>
    <s v="Tamil Nadu"/>
    <s v="Rahul"/>
    <s v="Returned"/>
    <n v="5"/>
  </r>
  <r>
    <s v="O00891"/>
    <d v="2025-02-07T00:00:00"/>
    <s v="C00891"/>
    <s v="Customer 891"/>
    <s v="Shoes"/>
    <s v="Fashion"/>
    <s v="Nike"/>
    <n v="1"/>
    <n v="12584"/>
    <n v="0.2"/>
    <n v="10067.200000000001"/>
    <n v="1561.86"/>
    <s v="Wallet"/>
    <s v="Delhi"/>
    <s v="Delhi"/>
    <s v="John"/>
    <s v="Returned"/>
    <n v="5"/>
  </r>
  <r>
    <s v="O00892"/>
    <d v="2025-07-07T00:00:00"/>
    <s v="C00892"/>
    <s v="Customer 892"/>
    <s v="Watch"/>
    <s v="Accessories"/>
    <s v="Fossil"/>
    <n v="5"/>
    <n v="4899"/>
    <n v="0.2"/>
    <n v="19596"/>
    <n v="4779.25"/>
    <s v="COD"/>
    <s v="Bengaluru"/>
    <s v="Karnataka"/>
    <s v="John"/>
    <s v="Cancelled"/>
    <n v="1"/>
  </r>
  <r>
    <s v="O00893"/>
    <d v="2025-12-04T00:00:00"/>
    <s v="C00893"/>
    <s v="Customer 893"/>
    <s v="Mixer"/>
    <s v="Home"/>
    <s v="Philips"/>
    <n v="5"/>
    <n v="10556"/>
    <n v="0.1"/>
    <n v="47502"/>
    <n v="12185.52"/>
    <s v="Net Banking"/>
    <s v="Hyderabad"/>
    <s v="Telangana"/>
    <s v="Rahul"/>
    <s v="Shipped"/>
    <n v="1"/>
  </r>
  <r>
    <s v="O00894"/>
    <d v="2025-07-16T00:00:00"/>
    <s v="C00894"/>
    <s v="Customer 894"/>
    <s v="Chair"/>
    <s v="Furniture"/>
    <s v="Ikea"/>
    <n v="5"/>
    <n v="6710"/>
    <n v="0.2"/>
    <n v="26840"/>
    <n v="7801.18"/>
    <s v="Wallet"/>
    <s v="Kochi"/>
    <s v="Kerala"/>
    <s v="Asha"/>
    <s v="Cancelled"/>
    <n v="3"/>
  </r>
  <r>
    <s v="O00895"/>
    <d v="2025-10-04T00:00:00"/>
    <s v="C00895"/>
    <s v="Customer 895"/>
    <s v="Book"/>
    <s v="Books"/>
    <s v="Penguin"/>
    <n v="4"/>
    <n v="691"/>
    <n v="0.05"/>
    <n v="2625.8"/>
    <n v="618.82000000000005"/>
    <s v="Card"/>
    <s v="Hyderabad"/>
    <s v="Telangana"/>
    <s v="Asha"/>
    <s v="Cancelled"/>
    <n v="1"/>
  </r>
  <r>
    <s v="O00896"/>
    <d v="2025-01-13T00:00:00"/>
    <s v="C00896"/>
    <s v="Customer 896"/>
    <s v="Laptop"/>
    <s v="Electronics"/>
    <s v="Dell"/>
    <n v="2"/>
    <n v="604"/>
    <n v="0.15"/>
    <n v="1026.8"/>
    <n v="280.95999999999998"/>
    <s v="UPI"/>
    <s v="Mumbai"/>
    <s v="Maharashtra"/>
    <s v="John"/>
    <s v="Delivered"/>
    <n v="3"/>
  </r>
  <r>
    <s v="O00897"/>
    <d v="2025-01-12T00:00:00"/>
    <s v="C00897"/>
    <s v="Customer 897"/>
    <s v="Laptop"/>
    <s v="Electronics"/>
    <s v="Dell"/>
    <n v="5"/>
    <n v="5065"/>
    <n v="0"/>
    <n v="25325"/>
    <n v="2863.26"/>
    <s v="Wallet"/>
    <s v="Chennai"/>
    <s v="Tamil Nadu"/>
    <s v="Anil"/>
    <s v="Delivered"/>
    <n v="4"/>
  </r>
  <r>
    <s v="O00898"/>
    <d v="2025-01-09T00:00:00"/>
    <s v="C00898"/>
    <s v="Customer 898"/>
    <s v="Book"/>
    <s v="Books"/>
    <s v="Penguin"/>
    <n v="4"/>
    <n v="10533"/>
    <n v="0.15"/>
    <n v="35812.199999999997"/>
    <n v="3947.23"/>
    <s v="UPI"/>
    <s v="Hyderabad"/>
    <s v="Telangana"/>
    <s v="John"/>
    <s v="Shipped"/>
    <n v="3"/>
  </r>
  <r>
    <s v="O00899"/>
    <d v="2025-03-15T00:00:00"/>
    <s v="C00899"/>
    <s v="Customer 899"/>
    <s v="Laptop"/>
    <s v="Electronics"/>
    <s v="Dell"/>
    <n v="4"/>
    <n v="8684"/>
    <n v="0"/>
    <n v="34736"/>
    <n v="4752.83"/>
    <s v="UPI"/>
    <s v="Hyderabad"/>
    <s v="Telangana"/>
    <s v="Rahul"/>
    <s v="Shipped"/>
    <n v="1"/>
  </r>
  <r>
    <s v="O00900"/>
    <d v="2025-02-26T00:00:00"/>
    <s v="C00900"/>
    <s v="Customer 900"/>
    <s v="Shoes"/>
    <s v="Fashion"/>
    <s v="Nike"/>
    <n v="1"/>
    <n v="14718"/>
    <n v="0"/>
    <n v="14718"/>
    <n v="4319.76"/>
    <s v="Net Banking"/>
    <s v="Bengaluru"/>
    <s v="Karnataka"/>
    <s v="Asha"/>
    <s v="Returned"/>
    <n v="5"/>
  </r>
  <r>
    <s v="O00901"/>
    <d v="2025-12-19T00:00:00"/>
    <s v="C00901"/>
    <s v="Customer 901"/>
    <s v="Watch"/>
    <s v="Accessories"/>
    <s v="Fossil"/>
    <n v="5"/>
    <n v="7890"/>
    <n v="0.15"/>
    <n v="33532.5"/>
    <n v="4301.17"/>
    <s v="Card"/>
    <s v="Kochi"/>
    <s v="Kerala"/>
    <s v="Anil"/>
    <s v="Shipped"/>
    <n v="1"/>
  </r>
  <r>
    <s v="O00902"/>
    <d v="2025-12-05T00:00:00"/>
    <s v="C00902"/>
    <s v="Customer 902"/>
    <s v="Laptop"/>
    <s v="Electronics"/>
    <s v="Dell"/>
    <n v="3"/>
    <n v="11824"/>
    <n v="0.2"/>
    <n v="28377.599999999999"/>
    <n v="2964"/>
    <s v="Net Banking"/>
    <s v="Kochi"/>
    <s v="Kerala"/>
    <s v="John"/>
    <s v="Cancelled"/>
    <n v="5"/>
  </r>
  <r>
    <s v="O00903"/>
    <d v="2025-06-09T00:00:00"/>
    <s v="C00903"/>
    <s v="Customer 903"/>
    <s v="Headphones"/>
    <s v="Electronics"/>
    <s v="Sony"/>
    <n v="3"/>
    <n v="6576"/>
    <n v="0.05"/>
    <n v="18741.599999999999"/>
    <n v="3375.25"/>
    <s v="COD"/>
    <s v="Bengaluru"/>
    <s v="Karnataka"/>
    <s v="Rahul"/>
    <s v="Cancelled"/>
    <n v="2"/>
  </r>
  <r>
    <s v="O00904"/>
    <d v="2025-08-27T00:00:00"/>
    <s v="C00904"/>
    <s v="Customer 904"/>
    <s v="Chair"/>
    <s v="Furniture"/>
    <s v="Ikea"/>
    <n v="4"/>
    <n v="10327"/>
    <n v="0.05"/>
    <n v="39242.6"/>
    <n v="5552.41"/>
    <s v="Wallet"/>
    <s v="Mumbai"/>
    <s v="Maharashtra"/>
    <s v="Asha"/>
    <s v="Returned"/>
    <n v="1"/>
  </r>
  <r>
    <s v="O00905"/>
    <d v="2025-05-10T00:00:00"/>
    <s v="C00905"/>
    <s v="Customer 905"/>
    <s v="Chair"/>
    <s v="Furniture"/>
    <s v="Ikea"/>
    <n v="5"/>
    <n v="12386"/>
    <n v="0.1"/>
    <n v="55737"/>
    <n v="10983.67"/>
    <s v="Wallet"/>
    <s v="Chennai"/>
    <s v="Tamil Nadu"/>
    <s v="Anil"/>
    <s v="Cancelled"/>
    <n v="2"/>
  </r>
  <r>
    <s v="O00906"/>
    <d v="2025-10-04T00:00:00"/>
    <s v="C00906"/>
    <s v="Customer 906"/>
    <s v="Chair"/>
    <s v="Furniture"/>
    <s v="Ikea"/>
    <n v="1"/>
    <n v="12457"/>
    <n v="0.05"/>
    <n v="11834.15"/>
    <n v="2474.23"/>
    <s v="Card"/>
    <s v="Chennai"/>
    <s v="Tamil Nadu"/>
    <s v="Rahul"/>
    <s v="Cancelled"/>
    <n v="5"/>
  </r>
  <r>
    <s v="O00907"/>
    <d v="2025-05-01T00:00:00"/>
    <s v="C00907"/>
    <s v="Customer 907"/>
    <s v="Chair"/>
    <s v="Furniture"/>
    <s v="Ikea"/>
    <n v="1"/>
    <n v="2667"/>
    <n v="0.2"/>
    <n v="2133.6"/>
    <n v="405.21"/>
    <s v="UPI"/>
    <s v="Hyderabad"/>
    <s v="Telangana"/>
    <s v="Rahul"/>
    <s v="Cancelled"/>
    <n v="5"/>
  </r>
  <r>
    <s v="O00908"/>
    <d v="2025-12-07T00:00:00"/>
    <s v="C00908"/>
    <s v="Customer 908"/>
    <s v="Watch"/>
    <s v="Accessories"/>
    <s v="Fossil"/>
    <n v="2"/>
    <n v="12143"/>
    <n v="0.1"/>
    <n v="21857.4"/>
    <n v="4773.3999999999996"/>
    <s v="COD"/>
    <s v="Kochi"/>
    <s v="Kerala"/>
    <s v="Rahul"/>
    <s v="Cancelled"/>
    <n v="3"/>
  </r>
  <r>
    <s v="O00909"/>
    <d v="2025-09-24T00:00:00"/>
    <s v="C00909"/>
    <s v="Customer 909"/>
    <s v="Headphones"/>
    <s v="Electronics"/>
    <s v="Sony"/>
    <n v="3"/>
    <n v="11151"/>
    <n v="0.15"/>
    <n v="28435.05"/>
    <n v="6360.68"/>
    <s v="Net Banking"/>
    <s v="Hyderabad"/>
    <s v="Telangana"/>
    <s v="Anil"/>
    <s v="Shipped"/>
    <n v="3"/>
  </r>
  <r>
    <s v="O00910"/>
    <d v="2025-06-11T00:00:00"/>
    <s v="C00910"/>
    <s v="Customer 910"/>
    <s v="Shoes"/>
    <s v="Fashion"/>
    <s v="Nike"/>
    <n v="5"/>
    <n v="4327"/>
    <n v="0.05"/>
    <n v="20553.25"/>
    <n v="5633.99"/>
    <s v="Card"/>
    <s v="Hyderabad"/>
    <s v="Telangana"/>
    <s v="Priya"/>
    <s v="Returned"/>
    <n v="1"/>
  </r>
  <r>
    <s v="O00911"/>
    <d v="2025-03-23T00:00:00"/>
    <s v="C00911"/>
    <s v="Customer 911"/>
    <s v="Shoes"/>
    <s v="Fashion"/>
    <s v="Nike"/>
    <n v="4"/>
    <n v="12305"/>
    <n v="0"/>
    <n v="49220"/>
    <n v="11631.08"/>
    <s v="Net Banking"/>
    <s v="Delhi"/>
    <s v="Delhi"/>
    <s v="Priya"/>
    <s v="Shipped"/>
    <n v="2"/>
  </r>
  <r>
    <s v="O00912"/>
    <d v="2025-03-08T00:00:00"/>
    <s v="C00912"/>
    <s v="Customer 912"/>
    <s v="Chair"/>
    <s v="Furniture"/>
    <s v="Ikea"/>
    <n v="5"/>
    <n v="9315"/>
    <n v="0.05"/>
    <n v="44246.25"/>
    <n v="3873.43"/>
    <s v="Net Banking"/>
    <s v="Delhi"/>
    <s v="Delhi"/>
    <s v="Priya"/>
    <s v="Returned"/>
    <n v="5"/>
  </r>
  <r>
    <s v="O00913"/>
    <d v="2025-11-17T00:00:00"/>
    <s v="C00913"/>
    <s v="Customer 913"/>
    <s v="Mixer"/>
    <s v="Home"/>
    <s v="Philips"/>
    <n v="1"/>
    <n v="12682"/>
    <n v="0.05"/>
    <n v="12047.9"/>
    <n v="1189.19"/>
    <s v="Wallet"/>
    <s v="Bengaluru"/>
    <s v="Karnataka"/>
    <s v="Asha"/>
    <s v="Shipped"/>
    <n v="2"/>
  </r>
  <r>
    <s v="O00914"/>
    <d v="2025-09-18T00:00:00"/>
    <s v="C00914"/>
    <s v="Customer 914"/>
    <s v="Chair"/>
    <s v="Furniture"/>
    <s v="Ikea"/>
    <n v="2"/>
    <n v="8148"/>
    <n v="0.05"/>
    <n v="15481.2"/>
    <n v="1838.95"/>
    <s v="Card"/>
    <s v="Mumbai"/>
    <s v="Maharashtra"/>
    <s v="John"/>
    <s v="Returned"/>
    <n v="4"/>
  </r>
  <r>
    <s v="O00915"/>
    <d v="2025-08-10T00:00:00"/>
    <s v="C00915"/>
    <s v="Customer 915"/>
    <s v="Book"/>
    <s v="Books"/>
    <s v="Penguin"/>
    <n v="3"/>
    <n v="806"/>
    <n v="0.15"/>
    <n v="2055.3000000000002"/>
    <n v="166.87"/>
    <s v="Card"/>
    <s v="Chennai"/>
    <s v="Tamil Nadu"/>
    <s v="Anil"/>
    <s v="Delivered"/>
    <n v="1"/>
  </r>
  <r>
    <s v="O00916"/>
    <d v="2025-04-05T00:00:00"/>
    <s v="C00916"/>
    <s v="Customer 916"/>
    <s v="Shoes"/>
    <s v="Fashion"/>
    <s v="Nike"/>
    <n v="4"/>
    <n v="3484"/>
    <n v="0.05"/>
    <n v="13239.2"/>
    <n v="1220.19"/>
    <s v="UPI"/>
    <s v="Chennai"/>
    <s v="Tamil Nadu"/>
    <s v="Rahul"/>
    <s v="Returned"/>
    <n v="5"/>
  </r>
  <r>
    <s v="O00917"/>
    <d v="2025-04-26T00:00:00"/>
    <s v="C00917"/>
    <s v="Customer 917"/>
    <s v="Book"/>
    <s v="Books"/>
    <s v="Penguin"/>
    <n v="5"/>
    <n v="12205"/>
    <n v="0.2"/>
    <n v="48820"/>
    <n v="12868.78"/>
    <s v="Card"/>
    <s v="Delhi"/>
    <s v="Delhi"/>
    <s v="John"/>
    <s v="Returned"/>
    <n v="3"/>
  </r>
  <r>
    <s v="O00918"/>
    <d v="2025-01-28T00:00:00"/>
    <s v="C00918"/>
    <s v="Customer 918"/>
    <s v="Phone"/>
    <s v="Electronics"/>
    <s v="Samsung"/>
    <n v="1"/>
    <n v="14179"/>
    <n v="0.05"/>
    <n v="13470.05"/>
    <n v="3222.11"/>
    <s v="UPI"/>
    <s v="Hyderabad"/>
    <s v="Telangana"/>
    <s v="Priya"/>
    <s v="Shipped"/>
    <n v="5"/>
  </r>
  <r>
    <s v="O00919"/>
    <d v="2025-01-14T00:00:00"/>
    <s v="C00919"/>
    <s v="Customer 919"/>
    <s v="Shoes"/>
    <s v="Fashion"/>
    <s v="Nike"/>
    <n v="1"/>
    <n v="3586"/>
    <n v="0.05"/>
    <n v="3406.7"/>
    <n v="919.73"/>
    <s v="COD"/>
    <s v="Mumbai"/>
    <s v="Maharashtra"/>
    <s v="Anil"/>
    <s v="Shipped"/>
    <n v="5"/>
  </r>
  <r>
    <s v="O00920"/>
    <d v="2025-12-29T00:00:00"/>
    <s v="C00920"/>
    <s v="Customer 920"/>
    <s v="Laptop"/>
    <s v="Electronics"/>
    <s v="Dell"/>
    <n v="3"/>
    <n v="6944"/>
    <n v="0.05"/>
    <n v="19790.400000000001"/>
    <n v="3097.14"/>
    <s v="UPI"/>
    <s v="Delhi"/>
    <s v="Delhi"/>
    <s v="Anil"/>
    <s v="Cancelled"/>
    <n v="5"/>
  </r>
  <r>
    <s v="O00921"/>
    <d v="2025-10-13T00:00:00"/>
    <s v="C00921"/>
    <s v="Customer 921"/>
    <s v="Laptop"/>
    <s v="Electronics"/>
    <s v="Dell"/>
    <n v="5"/>
    <n v="5691"/>
    <n v="0.1"/>
    <n v="25609.5"/>
    <n v="3887.17"/>
    <s v="Card"/>
    <s v="Delhi"/>
    <s v="Delhi"/>
    <s v="Asha"/>
    <s v="Shipped"/>
    <n v="3"/>
  </r>
  <r>
    <s v="O00922"/>
    <d v="2025-06-18T00:00:00"/>
    <s v="C00922"/>
    <s v="Customer 922"/>
    <s v="Phone"/>
    <s v="Electronics"/>
    <s v="Samsung"/>
    <n v="2"/>
    <n v="13188"/>
    <n v="0.05"/>
    <n v="25057.200000000001"/>
    <n v="6186.75"/>
    <s v="COD"/>
    <s v="Mumbai"/>
    <s v="Maharashtra"/>
    <s v="John"/>
    <s v="Delivered"/>
    <n v="1"/>
  </r>
  <r>
    <s v="O00923"/>
    <d v="2025-02-08T00:00:00"/>
    <s v="C00923"/>
    <s v="Customer 923"/>
    <s v="Chair"/>
    <s v="Furniture"/>
    <s v="Ikea"/>
    <n v="3"/>
    <n v="6866"/>
    <n v="0.05"/>
    <n v="19568.099999999999"/>
    <n v="3408.93"/>
    <s v="Card"/>
    <s v="Kochi"/>
    <s v="Kerala"/>
    <s v="Rahul"/>
    <s v="Returned"/>
    <n v="1"/>
  </r>
  <r>
    <s v="O00924"/>
    <d v="2025-02-22T00:00:00"/>
    <s v="C00924"/>
    <s v="Customer 924"/>
    <s v="Shoes"/>
    <s v="Fashion"/>
    <s v="Nike"/>
    <n v="3"/>
    <n v="13976"/>
    <n v="0.15"/>
    <n v="35638.800000000003"/>
    <n v="9978.48"/>
    <s v="Net Banking"/>
    <s v="Hyderabad"/>
    <s v="Telangana"/>
    <s v="John"/>
    <s v="Shipped"/>
    <n v="5"/>
  </r>
  <r>
    <s v="O00925"/>
    <d v="2025-05-22T00:00:00"/>
    <s v="C00925"/>
    <s v="Customer 925"/>
    <s v="Book"/>
    <s v="Books"/>
    <s v="Penguin"/>
    <n v="2"/>
    <n v="1032"/>
    <n v="0.05"/>
    <n v="1960.8"/>
    <n v="180.62"/>
    <s v="Wallet"/>
    <s v="Delhi"/>
    <s v="Delhi"/>
    <s v="Asha"/>
    <s v="Cancelled"/>
    <n v="3"/>
  </r>
  <r>
    <s v="O00926"/>
    <d v="2025-09-09T00:00:00"/>
    <s v="C00926"/>
    <s v="Customer 926"/>
    <s v="Book"/>
    <s v="Books"/>
    <s v="Penguin"/>
    <n v="2"/>
    <n v="4435"/>
    <n v="0.2"/>
    <n v="7096"/>
    <n v="1622.14"/>
    <s v="COD"/>
    <s v="Mumbai"/>
    <s v="Maharashtra"/>
    <s v="Asha"/>
    <s v="Returned"/>
    <n v="3"/>
  </r>
  <r>
    <s v="O00927"/>
    <d v="2025-01-23T00:00:00"/>
    <s v="C00927"/>
    <s v="Customer 927"/>
    <s v="Headphones"/>
    <s v="Electronics"/>
    <s v="Sony"/>
    <n v="5"/>
    <n v="3110"/>
    <n v="0.1"/>
    <n v="13995"/>
    <n v="2105.6799999999998"/>
    <s v="Card"/>
    <s v="Chennai"/>
    <s v="Tamil Nadu"/>
    <s v="Anil"/>
    <s v="Cancelled"/>
    <n v="4"/>
  </r>
  <r>
    <s v="O00928"/>
    <d v="2025-03-20T00:00:00"/>
    <s v="C00928"/>
    <s v="Customer 928"/>
    <s v="Watch"/>
    <s v="Accessories"/>
    <s v="Fossil"/>
    <n v="2"/>
    <n v="7705"/>
    <n v="0.15"/>
    <n v="13098.5"/>
    <n v="2478.92"/>
    <s v="Card"/>
    <s v="Delhi"/>
    <s v="Delhi"/>
    <s v="Rahul"/>
    <s v="Returned"/>
    <n v="1"/>
  </r>
  <r>
    <s v="O00929"/>
    <d v="2025-04-08T00:00:00"/>
    <s v="C00929"/>
    <s v="Customer 929"/>
    <s v="Phone"/>
    <s v="Electronics"/>
    <s v="Samsung"/>
    <n v="2"/>
    <n v="7591"/>
    <n v="0.1"/>
    <n v="13663.8"/>
    <n v="3329.87"/>
    <s v="COD"/>
    <s v="Bengaluru"/>
    <s v="Karnataka"/>
    <s v="Rahul"/>
    <s v="Cancelled"/>
    <n v="5"/>
  </r>
  <r>
    <s v="O00930"/>
    <d v="2025-12-18T00:00:00"/>
    <s v="C00930"/>
    <s v="Customer 930"/>
    <s v="Laptop"/>
    <s v="Electronics"/>
    <s v="Dell"/>
    <n v="3"/>
    <n v="2693"/>
    <n v="0.05"/>
    <n v="7675.05"/>
    <n v="1100.2"/>
    <s v="Wallet"/>
    <s v="Bengaluru"/>
    <s v="Karnataka"/>
    <s v="Asha"/>
    <s v="Cancelled"/>
    <n v="1"/>
  </r>
  <r>
    <s v="O00931"/>
    <d v="2025-08-20T00:00:00"/>
    <s v="C00931"/>
    <s v="Customer 931"/>
    <s v="Mixer"/>
    <s v="Home"/>
    <s v="Philips"/>
    <n v="4"/>
    <n v="1345"/>
    <n v="0"/>
    <n v="5380"/>
    <n v="1321.18"/>
    <s v="Wallet"/>
    <s v="Delhi"/>
    <s v="Delhi"/>
    <s v="Priya"/>
    <s v="Shipped"/>
    <n v="1"/>
  </r>
  <r>
    <s v="O00932"/>
    <d v="2025-01-08T00:00:00"/>
    <s v="C00932"/>
    <s v="Customer 932"/>
    <s v="Shoes"/>
    <s v="Fashion"/>
    <s v="Nike"/>
    <n v="5"/>
    <n v="8860"/>
    <n v="0"/>
    <n v="44300"/>
    <n v="12638.66"/>
    <s v="Net Banking"/>
    <s v="Delhi"/>
    <s v="Delhi"/>
    <s v="Rahul"/>
    <s v="Returned"/>
    <n v="2"/>
  </r>
  <r>
    <s v="O00933"/>
    <d v="2025-04-02T00:00:00"/>
    <s v="C00933"/>
    <s v="Customer 933"/>
    <s v="Watch"/>
    <s v="Accessories"/>
    <s v="Fossil"/>
    <n v="4"/>
    <n v="2947"/>
    <n v="0.05"/>
    <n v="11198.6"/>
    <n v="2307.0700000000002"/>
    <s v="UPI"/>
    <s v="Mumbai"/>
    <s v="Maharashtra"/>
    <s v="Rahul"/>
    <s v="Cancelled"/>
    <n v="2"/>
  </r>
  <r>
    <s v="O00934"/>
    <d v="2025-11-23T00:00:00"/>
    <s v="C00934"/>
    <s v="Customer 934"/>
    <s v="Laptop"/>
    <s v="Electronics"/>
    <s v="Dell"/>
    <n v="3"/>
    <n v="10019"/>
    <n v="0.1"/>
    <n v="27051.3"/>
    <n v="4778.08"/>
    <s v="COD"/>
    <s v="Chennai"/>
    <s v="Tamil Nadu"/>
    <s v="Anil"/>
    <s v="Cancelled"/>
    <n v="4"/>
  </r>
  <r>
    <s v="O00935"/>
    <d v="2025-06-13T00:00:00"/>
    <s v="C00935"/>
    <s v="Customer 935"/>
    <s v="Shoes"/>
    <s v="Fashion"/>
    <s v="Nike"/>
    <n v="1"/>
    <n v="12009"/>
    <n v="0.2"/>
    <n v="9607.2000000000007"/>
    <n v="1372.77"/>
    <s v="Net Banking"/>
    <s v="Hyderabad"/>
    <s v="Telangana"/>
    <s v="Priya"/>
    <s v="Cancelled"/>
    <n v="5"/>
  </r>
  <r>
    <s v="O00936"/>
    <d v="2025-04-06T00:00:00"/>
    <s v="C00936"/>
    <s v="Customer 936"/>
    <s v="Headphones"/>
    <s v="Electronics"/>
    <s v="Sony"/>
    <n v="4"/>
    <n v="511"/>
    <n v="0.2"/>
    <n v="1635.2"/>
    <n v="214.1"/>
    <s v="Card"/>
    <s v="Mumbai"/>
    <s v="Maharashtra"/>
    <s v="John"/>
    <s v="Returned"/>
    <n v="3"/>
  </r>
  <r>
    <s v="O00937"/>
    <d v="2025-10-24T00:00:00"/>
    <s v="C00937"/>
    <s v="Customer 937"/>
    <s v="Chair"/>
    <s v="Furniture"/>
    <s v="Ikea"/>
    <n v="3"/>
    <n v="12690"/>
    <n v="0.15"/>
    <n v="32359.5"/>
    <n v="3309.07"/>
    <s v="UPI"/>
    <s v="Delhi"/>
    <s v="Delhi"/>
    <s v="Rahul"/>
    <s v="Shipped"/>
    <n v="4"/>
  </r>
  <r>
    <s v="O00938"/>
    <d v="2025-12-24T00:00:00"/>
    <s v="C00938"/>
    <s v="Customer 938"/>
    <s v="Watch"/>
    <s v="Accessories"/>
    <s v="Fossil"/>
    <n v="3"/>
    <n v="11492"/>
    <n v="0.1"/>
    <n v="31028.400000000001"/>
    <n v="9048.86"/>
    <s v="Card"/>
    <s v="Bengaluru"/>
    <s v="Karnataka"/>
    <s v="John"/>
    <s v="Returned"/>
    <n v="3"/>
  </r>
  <r>
    <s v="O00939"/>
    <d v="2025-12-10T00:00:00"/>
    <s v="C00939"/>
    <s v="Customer 939"/>
    <s v="Phone"/>
    <s v="Electronics"/>
    <s v="Samsung"/>
    <n v="4"/>
    <n v="8158"/>
    <n v="0.15"/>
    <n v="27737.200000000001"/>
    <n v="2418.9699999999998"/>
    <s v="UPI"/>
    <s v="Kochi"/>
    <s v="Kerala"/>
    <s v="Priya"/>
    <s v="Cancelled"/>
    <n v="5"/>
  </r>
  <r>
    <s v="O00940"/>
    <d v="2025-01-06T00:00:00"/>
    <s v="C00940"/>
    <s v="Customer 940"/>
    <s v="Laptop"/>
    <s v="Electronics"/>
    <s v="Dell"/>
    <n v="2"/>
    <n v="9321"/>
    <n v="0.05"/>
    <n v="17709.900000000001"/>
    <n v="4614.25"/>
    <s v="Net Banking"/>
    <s v="Mumbai"/>
    <s v="Maharashtra"/>
    <s v="Anil"/>
    <s v="Cancelled"/>
    <n v="5"/>
  </r>
  <r>
    <s v="O00941"/>
    <d v="2025-02-18T00:00:00"/>
    <s v="C00941"/>
    <s v="Customer 941"/>
    <s v="Chair"/>
    <s v="Furniture"/>
    <s v="Ikea"/>
    <n v="5"/>
    <n v="10124"/>
    <n v="0.15"/>
    <n v="43027"/>
    <n v="7067.46"/>
    <s v="COD"/>
    <s v="Bengaluru"/>
    <s v="Karnataka"/>
    <s v="Asha"/>
    <s v="Shipped"/>
    <n v="5"/>
  </r>
  <r>
    <s v="O00942"/>
    <d v="2025-01-25T00:00:00"/>
    <s v="C00942"/>
    <s v="Customer 942"/>
    <s v="Shoes"/>
    <s v="Fashion"/>
    <s v="Nike"/>
    <n v="2"/>
    <n v="7815"/>
    <n v="0"/>
    <n v="15630"/>
    <n v="4047.71"/>
    <s v="COD"/>
    <s v="Mumbai"/>
    <s v="Maharashtra"/>
    <s v="Rahul"/>
    <s v="Shipped"/>
    <n v="5"/>
  </r>
  <r>
    <s v="O00943"/>
    <d v="2025-01-26T00:00:00"/>
    <s v="C00943"/>
    <s v="Customer 943"/>
    <s v="Laptop"/>
    <s v="Electronics"/>
    <s v="Dell"/>
    <n v="3"/>
    <n v="14344"/>
    <n v="0.05"/>
    <n v="40880.400000000001"/>
    <n v="7159.73"/>
    <s v="COD"/>
    <s v="Mumbai"/>
    <s v="Maharashtra"/>
    <s v="Priya"/>
    <s v="Shipped"/>
    <n v="2"/>
  </r>
  <r>
    <s v="O00944"/>
    <d v="2025-11-02T00:00:00"/>
    <s v="C00944"/>
    <s v="Customer 944"/>
    <s v="Phone"/>
    <s v="Electronics"/>
    <s v="Samsung"/>
    <n v="4"/>
    <n v="4933"/>
    <n v="0.15"/>
    <n v="16772.2"/>
    <n v="1381.13"/>
    <s v="Card"/>
    <s v="Bengaluru"/>
    <s v="Karnataka"/>
    <s v="Asha"/>
    <s v="Shipped"/>
    <n v="5"/>
  </r>
  <r>
    <s v="O00945"/>
    <d v="2025-09-14T00:00:00"/>
    <s v="C00945"/>
    <s v="Customer 945"/>
    <s v="Chair"/>
    <s v="Furniture"/>
    <s v="Ikea"/>
    <n v="4"/>
    <n v="2079"/>
    <n v="0.15"/>
    <n v="7068.6"/>
    <n v="654.55999999999995"/>
    <s v="COD"/>
    <s v="Kochi"/>
    <s v="Kerala"/>
    <s v="Rahul"/>
    <s v="Shipped"/>
    <n v="4"/>
  </r>
  <r>
    <s v="O00946"/>
    <d v="2025-05-04T00:00:00"/>
    <s v="C00946"/>
    <s v="Customer 946"/>
    <s v="Book"/>
    <s v="Books"/>
    <s v="Penguin"/>
    <n v="4"/>
    <n v="2521"/>
    <n v="0.2"/>
    <n v="8067.2"/>
    <n v="1981.02"/>
    <s v="Net Banking"/>
    <s v="Kochi"/>
    <s v="Kerala"/>
    <s v="Anil"/>
    <s v="Returned"/>
    <n v="5"/>
  </r>
  <r>
    <s v="O00947"/>
    <d v="2025-01-13T00:00:00"/>
    <s v="C00947"/>
    <s v="Customer 947"/>
    <s v="Headphones"/>
    <s v="Electronics"/>
    <s v="Sony"/>
    <n v="1"/>
    <n v="10285"/>
    <n v="0.1"/>
    <n v="9256.5"/>
    <n v="2085.0300000000002"/>
    <s v="Wallet"/>
    <s v="Chennai"/>
    <s v="Tamil Nadu"/>
    <s v="Priya"/>
    <s v="Returned"/>
    <n v="3"/>
  </r>
  <r>
    <s v="O00948"/>
    <d v="2025-12-11T00:00:00"/>
    <s v="C00948"/>
    <s v="Customer 948"/>
    <s v="Watch"/>
    <s v="Accessories"/>
    <s v="Fossil"/>
    <n v="3"/>
    <n v="5652"/>
    <n v="0.1"/>
    <n v="15260.4"/>
    <n v="1919.93"/>
    <s v="COD"/>
    <s v="Chennai"/>
    <s v="Tamil Nadu"/>
    <s v="Rahul"/>
    <s v="Returned"/>
    <n v="2"/>
  </r>
  <r>
    <s v="O00949"/>
    <d v="2025-06-02T00:00:00"/>
    <s v="C00949"/>
    <s v="Customer 949"/>
    <s v="Laptop"/>
    <s v="Electronics"/>
    <s v="Dell"/>
    <n v="5"/>
    <n v="8423"/>
    <n v="0"/>
    <n v="42115"/>
    <n v="7320.36"/>
    <s v="Card"/>
    <s v="Chennai"/>
    <s v="Tamil Nadu"/>
    <s v="Asha"/>
    <s v="Returned"/>
    <n v="5"/>
  </r>
  <r>
    <s v="O00950"/>
    <d v="2025-08-08T00:00:00"/>
    <s v="C00950"/>
    <s v="Customer 950"/>
    <s v="Headphones"/>
    <s v="Electronics"/>
    <s v="Sony"/>
    <n v="4"/>
    <n v="626"/>
    <n v="0.2"/>
    <n v="2003.2"/>
    <n v="400.13"/>
    <s v="Net Banking"/>
    <s v="Mumbai"/>
    <s v="Maharashtra"/>
    <s v="Asha"/>
    <s v="Cancelled"/>
    <n v="2"/>
  </r>
  <r>
    <s v="O00951"/>
    <d v="2025-08-16T00:00:00"/>
    <s v="C00951"/>
    <s v="Customer 951"/>
    <s v="Book"/>
    <s v="Books"/>
    <s v="Penguin"/>
    <n v="1"/>
    <n v="8313"/>
    <n v="0.05"/>
    <n v="7897.35"/>
    <n v="754.8"/>
    <s v="Net Banking"/>
    <s v="Bengaluru"/>
    <s v="Karnataka"/>
    <s v="Rahul"/>
    <s v="Cancelled"/>
    <n v="3"/>
  </r>
  <r>
    <s v="O00952"/>
    <d v="2025-08-17T00:00:00"/>
    <s v="C00952"/>
    <s v="Customer 952"/>
    <s v="Laptop"/>
    <s v="Electronics"/>
    <s v="Dell"/>
    <n v="1"/>
    <n v="5688"/>
    <n v="0.2"/>
    <n v="4550.3999999999996"/>
    <n v="545.73"/>
    <s v="Net Banking"/>
    <s v="Chennai"/>
    <s v="Tamil Nadu"/>
    <s v="Priya"/>
    <s v="Returned"/>
    <n v="5"/>
  </r>
  <r>
    <s v="O00953"/>
    <d v="2025-09-14T00:00:00"/>
    <s v="C00953"/>
    <s v="Customer 953"/>
    <s v="Phone"/>
    <s v="Electronics"/>
    <s v="Samsung"/>
    <n v="4"/>
    <n v="6142"/>
    <n v="0.05"/>
    <n v="23339.599999999999"/>
    <n v="6287.78"/>
    <s v="COD"/>
    <s v="Delhi"/>
    <s v="Delhi"/>
    <s v="Priya"/>
    <s v="Returned"/>
    <n v="1"/>
  </r>
  <r>
    <s v="O00954"/>
    <d v="2025-06-24T00:00:00"/>
    <s v="C00954"/>
    <s v="Customer 954"/>
    <s v="Shoes"/>
    <s v="Fashion"/>
    <s v="Nike"/>
    <n v="2"/>
    <n v="1114"/>
    <n v="0.1"/>
    <n v="2005.2"/>
    <n v="307.93"/>
    <s v="Wallet"/>
    <s v="Hyderabad"/>
    <s v="Telangana"/>
    <s v="John"/>
    <s v="Shipped"/>
    <n v="4"/>
  </r>
  <r>
    <s v="O00955"/>
    <d v="2025-12-08T00:00:00"/>
    <s v="C00955"/>
    <s v="Customer 955"/>
    <s v="Chair"/>
    <s v="Furniture"/>
    <s v="Ikea"/>
    <n v="3"/>
    <n v="14494"/>
    <n v="0.2"/>
    <n v="34785.599999999999"/>
    <n v="5415.09"/>
    <s v="Net Banking"/>
    <s v="Delhi"/>
    <s v="Delhi"/>
    <s v="Priya"/>
    <s v="Returned"/>
    <n v="3"/>
  </r>
  <r>
    <s v="O00956"/>
    <d v="2025-10-07T00:00:00"/>
    <s v="C00956"/>
    <s v="Customer 956"/>
    <s v="Laptop"/>
    <s v="Electronics"/>
    <s v="Dell"/>
    <n v="2"/>
    <n v="555"/>
    <n v="0"/>
    <n v="1110"/>
    <n v="124.01"/>
    <s v="Wallet"/>
    <s v="Bengaluru"/>
    <s v="Karnataka"/>
    <s v="Asha"/>
    <s v="Shipped"/>
    <n v="1"/>
  </r>
  <r>
    <s v="O00957"/>
    <d v="2025-12-01T00:00:00"/>
    <s v="C00957"/>
    <s v="Customer 957"/>
    <s v="Mixer"/>
    <s v="Home"/>
    <s v="Philips"/>
    <n v="5"/>
    <n v="12581"/>
    <n v="0.15"/>
    <n v="53469.25"/>
    <n v="8816.66"/>
    <s v="UPI"/>
    <s v="Chennai"/>
    <s v="Tamil Nadu"/>
    <s v="Rahul"/>
    <s v="Shipped"/>
    <n v="4"/>
  </r>
  <r>
    <s v="O00958"/>
    <d v="2025-01-30T00:00:00"/>
    <s v="C00958"/>
    <s v="Customer 958"/>
    <s v="Mixer"/>
    <s v="Home"/>
    <s v="Philips"/>
    <n v="5"/>
    <n v="11530"/>
    <n v="0.15"/>
    <n v="49002.5"/>
    <n v="11278.36"/>
    <s v="COD"/>
    <s v="Hyderabad"/>
    <s v="Telangana"/>
    <s v="Anil"/>
    <s v="Cancelled"/>
    <n v="5"/>
  </r>
  <r>
    <s v="O00959"/>
    <d v="2025-05-17T00:00:00"/>
    <s v="C00959"/>
    <s v="Customer 959"/>
    <s v="Watch"/>
    <s v="Accessories"/>
    <s v="Fossil"/>
    <n v="1"/>
    <n v="14300"/>
    <n v="0.05"/>
    <n v="13585"/>
    <n v="1222.53"/>
    <s v="Net Banking"/>
    <s v="Delhi"/>
    <s v="Delhi"/>
    <s v="Asha"/>
    <s v="Cancelled"/>
    <n v="1"/>
  </r>
  <r>
    <s v="O00960"/>
    <d v="2025-02-20T00:00:00"/>
    <s v="C00960"/>
    <s v="Customer 960"/>
    <s v="Watch"/>
    <s v="Accessories"/>
    <s v="Fossil"/>
    <n v="1"/>
    <n v="12691"/>
    <n v="0.05"/>
    <n v="12056.45"/>
    <n v="987.17"/>
    <s v="Card"/>
    <s v="Kochi"/>
    <s v="Kerala"/>
    <s v="Asha"/>
    <s v="Shipped"/>
    <n v="2"/>
  </r>
  <r>
    <s v="O00961"/>
    <d v="2025-02-13T00:00:00"/>
    <s v="C00961"/>
    <s v="Customer 961"/>
    <s v="Chair"/>
    <s v="Furniture"/>
    <s v="Ikea"/>
    <n v="2"/>
    <n v="11475"/>
    <n v="0"/>
    <n v="22950"/>
    <n v="4879.13"/>
    <s v="COD"/>
    <s v="Hyderabad"/>
    <s v="Telangana"/>
    <s v="Asha"/>
    <s v="Delivered"/>
    <n v="2"/>
  </r>
  <r>
    <s v="O00962"/>
    <d v="2025-03-01T00:00:00"/>
    <s v="C00962"/>
    <s v="Customer 962"/>
    <s v="Headphones"/>
    <s v="Electronics"/>
    <s v="Sony"/>
    <n v="4"/>
    <n v="14019"/>
    <n v="0.15"/>
    <n v="47664.6"/>
    <n v="6272.81"/>
    <s v="Wallet"/>
    <s v="Mumbai"/>
    <s v="Maharashtra"/>
    <s v="Rahul"/>
    <s v="Delivered"/>
    <n v="4"/>
  </r>
  <r>
    <s v="O00963"/>
    <d v="2025-01-03T00:00:00"/>
    <s v="C00963"/>
    <s v="Customer 963"/>
    <s v="Chair"/>
    <s v="Furniture"/>
    <s v="Ikea"/>
    <n v="2"/>
    <n v="13131"/>
    <n v="0.1"/>
    <n v="23635.8"/>
    <n v="3605.5"/>
    <s v="UPI"/>
    <s v="Delhi"/>
    <s v="Delhi"/>
    <s v="Asha"/>
    <s v="Shipped"/>
    <n v="2"/>
  </r>
  <r>
    <s v="O00964"/>
    <d v="2025-09-25T00:00:00"/>
    <s v="C00964"/>
    <s v="Customer 964"/>
    <s v="Watch"/>
    <s v="Accessories"/>
    <s v="Fossil"/>
    <n v="5"/>
    <n v="10542"/>
    <n v="0.15"/>
    <n v="44803.5"/>
    <n v="9611.82"/>
    <s v="COD"/>
    <s v="Kochi"/>
    <s v="Kerala"/>
    <s v="Asha"/>
    <s v="Delivered"/>
    <n v="3"/>
  </r>
  <r>
    <s v="O00965"/>
    <d v="2025-04-10T00:00:00"/>
    <s v="C00965"/>
    <s v="Customer 965"/>
    <s v="Headphones"/>
    <s v="Electronics"/>
    <s v="Sony"/>
    <n v="5"/>
    <n v="4730"/>
    <n v="0"/>
    <n v="23650"/>
    <n v="3264.79"/>
    <s v="Wallet"/>
    <s v="Delhi"/>
    <s v="Delhi"/>
    <s v="John"/>
    <s v="Delivered"/>
    <n v="4"/>
  </r>
  <r>
    <s v="O00966"/>
    <d v="2025-06-17T00:00:00"/>
    <s v="C00966"/>
    <s v="Customer 966"/>
    <s v="Watch"/>
    <s v="Accessories"/>
    <s v="Fossil"/>
    <n v="4"/>
    <n v="10434"/>
    <n v="0"/>
    <n v="41736"/>
    <n v="4186.5"/>
    <s v="Card"/>
    <s v="Bengaluru"/>
    <s v="Karnataka"/>
    <s v="Priya"/>
    <s v="Cancelled"/>
    <n v="2"/>
  </r>
  <r>
    <s v="O00967"/>
    <d v="2025-09-18T00:00:00"/>
    <s v="C00967"/>
    <s v="Customer 967"/>
    <s v="Shoes"/>
    <s v="Fashion"/>
    <s v="Nike"/>
    <n v="2"/>
    <n v="14285"/>
    <n v="0"/>
    <n v="28570"/>
    <n v="5696.67"/>
    <s v="Card"/>
    <s v="Mumbai"/>
    <s v="Maharashtra"/>
    <s v="Asha"/>
    <s v="Shipped"/>
    <n v="1"/>
  </r>
  <r>
    <s v="O00968"/>
    <d v="2025-05-17T00:00:00"/>
    <s v="C00968"/>
    <s v="Customer 968"/>
    <s v="Headphones"/>
    <s v="Electronics"/>
    <s v="Sony"/>
    <n v="1"/>
    <n v="492"/>
    <n v="0.05"/>
    <n v="467.4"/>
    <n v="107.48"/>
    <s v="COD"/>
    <s v="Mumbai"/>
    <s v="Maharashtra"/>
    <s v="Asha"/>
    <s v="Cancelled"/>
    <n v="5"/>
  </r>
  <r>
    <s v="O00969"/>
    <d v="2025-04-01T00:00:00"/>
    <s v="C00969"/>
    <s v="Customer 969"/>
    <s v="Book"/>
    <s v="Books"/>
    <s v="Penguin"/>
    <n v="2"/>
    <n v="13535"/>
    <n v="0.2"/>
    <n v="21656"/>
    <n v="3086.41"/>
    <s v="Net Banking"/>
    <s v="Hyderabad"/>
    <s v="Telangana"/>
    <s v="Rahul"/>
    <s v="Cancelled"/>
    <n v="4"/>
  </r>
  <r>
    <s v="O00970"/>
    <d v="2025-09-26T00:00:00"/>
    <s v="C00970"/>
    <s v="Customer 970"/>
    <s v="Watch"/>
    <s v="Accessories"/>
    <s v="Fossil"/>
    <n v="4"/>
    <n v="3903"/>
    <n v="0.05"/>
    <n v="14831.4"/>
    <n v="3374.42"/>
    <s v="COD"/>
    <s v="Hyderabad"/>
    <s v="Telangana"/>
    <s v="Priya"/>
    <s v="Delivered"/>
    <n v="5"/>
  </r>
  <r>
    <s v="O00971"/>
    <d v="2025-11-16T00:00:00"/>
    <s v="C00971"/>
    <s v="Customer 971"/>
    <s v="Phone"/>
    <s v="Electronics"/>
    <s v="Samsung"/>
    <n v="4"/>
    <n v="6964"/>
    <n v="0.15"/>
    <n v="23677.599999999999"/>
    <n v="1955.33"/>
    <s v="COD"/>
    <s v="Delhi"/>
    <s v="Delhi"/>
    <s v="Priya"/>
    <s v="Shipped"/>
    <n v="2"/>
  </r>
  <r>
    <s v="O00972"/>
    <d v="2025-02-23T00:00:00"/>
    <s v="C00972"/>
    <s v="Customer 972"/>
    <s v="Headphones"/>
    <s v="Electronics"/>
    <s v="Sony"/>
    <n v="5"/>
    <n v="4270"/>
    <n v="0.05"/>
    <n v="20282.5"/>
    <n v="5121.2299999999996"/>
    <s v="UPI"/>
    <s v="Kochi"/>
    <s v="Kerala"/>
    <s v="Priya"/>
    <s v="Returned"/>
    <n v="4"/>
  </r>
  <r>
    <s v="O00973"/>
    <d v="2025-03-15T00:00:00"/>
    <s v="C00973"/>
    <s v="Customer 973"/>
    <s v="Book"/>
    <s v="Books"/>
    <s v="Penguin"/>
    <n v="2"/>
    <n v="12098"/>
    <n v="0.05"/>
    <n v="22986.2"/>
    <n v="2447.61"/>
    <s v="UPI"/>
    <s v="Mumbai"/>
    <s v="Maharashtra"/>
    <s v="Anil"/>
    <s v="Returned"/>
    <n v="2"/>
  </r>
  <r>
    <s v="O00974"/>
    <d v="2025-09-07T00:00:00"/>
    <s v="C00974"/>
    <s v="Customer 974"/>
    <s v="Chair"/>
    <s v="Furniture"/>
    <s v="Ikea"/>
    <n v="1"/>
    <n v="8195"/>
    <n v="0.2"/>
    <n v="6556"/>
    <n v="1642.41"/>
    <s v="Net Banking"/>
    <s v="Hyderabad"/>
    <s v="Telangana"/>
    <s v="Rahul"/>
    <s v="Delivered"/>
    <n v="1"/>
  </r>
  <r>
    <s v="O00975"/>
    <d v="2025-03-29T00:00:00"/>
    <s v="C00975"/>
    <s v="Customer 975"/>
    <s v="Phone"/>
    <s v="Electronics"/>
    <s v="Samsung"/>
    <n v="5"/>
    <n v="6060"/>
    <n v="0.2"/>
    <n v="24240"/>
    <n v="6555.19"/>
    <s v="Net Banking"/>
    <s v="Mumbai"/>
    <s v="Maharashtra"/>
    <s v="Asha"/>
    <s v="Delivered"/>
    <n v="5"/>
  </r>
  <r>
    <s v="O00976"/>
    <d v="2025-11-30T00:00:00"/>
    <s v="C00976"/>
    <s v="Customer 976"/>
    <s v="Phone"/>
    <s v="Electronics"/>
    <s v="Samsung"/>
    <n v="5"/>
    <n v="7119"/>
    <n v="0.05"/>
    <n v="33815.25"/>
    <n v="6204.01"/>
    <s v="Wallet"/>
    <s v="Mumbai"/>
    <s v="Maharashtra"/>
    <s v="Anil"/>
    <s v="Cancelled"/>
    <n v="2"/>
  </r>
  <r>
    <s v="O00977"/>
    <d v="2025-10-07T00:00:00"/>
    <s v="C00977"/>
    <s v="Customer 977"/>
    <s v="Book"/>
    <s v="Books"/>
    <s v="Penguin"/>
    <n v="5"/>
    <n v="569"/>
    <n v="0.15"/>
    <n v="2418.25"/>
    <n v="296.43"/>
    <s v="COD"/>
    <s v="Hyderabad"/>
    <s v="Telangana"/>
    <s v="Anil"/>
    <s v="Cancelled"/>
    <n v="4"/>
  </r>
  <r>
    <s v="O00978"/>
    <d v="2025-11-13T00:00:00"/>
    <s v="C00978"/>
    <s v="Customer 978"/>
    <s v="Watch"/>
    <s v="Accessories"/>
    <s v="Fossil"/>
    <n v="1"/>
    <n v="9697"/>
    <n v="0"/>
    <n v="9697"/>
    <n v="1975.76"/>
    <s v="UPI"/>
    <s v="Hyderabad"/>
    <s v="Telangana"/>
    <s v="Anil"/>
    <s v="Returned"/>
    <n v="3"/>
  </r>
  <r>
    <s v="O00979"/>
    <d v="2025-11-05T00:00:00"/>
    <s v="C00979"/>
    <s v="Customer 979"/>
    <s v="Laptop"/>
    <s v="Electronics"/>
    <s v="Dell"/>
    <n v="2"/>
    <n v="5480"/>
    <n v="0.1"/>
    <n v="9864"/>
    <n v="2083.25"/>
    <s v="Card"/>
    <s v="Hyderabad"/>
    <s v="Telangana"/>
    <s v="John"/>
    <s v="Cancelled"/>
    <n v="2"/>
  </r>
  <r>
    <s v="O00980"/>
    <d v="2025-07-08T00:00:00"/>
    <s v="C00980"/>
    <s v="Customer 980"/>
    <s v="Laptop"/>
    <s v="Electronics"/>
    <s v="Dell"/>
    <n v="2"/>
    <n v="10475"/>
    <n v="0.15"/>
    <n v="17807.5"/>
    <n v="5234.22"/>
    <s v="UPI"/>
    <s v="Mumbai"/>
    <s v="Maharashtra"/>
    <s v="John"/>
    <s v="Delivered"/>
    <n v="4"/>
  </r>
  <r>
    <s v="O00981"/>
    <d v="2025-02-21T00:00:00"/>
    <s v="C00981"/>
    <s v="Customer 981"/>
    <s v="Laptop"/>
    <s v="Electronics"/>
    <s v="Dell"/>
    <n v="3"/>
    <n v="13724"/>
    <n v="0.2"/>
    <n v="32937.599999999999"/>
    <n v="3764.38"/>
    <s v="Card"/>
    <s v="Delhi"/>
    <s v="Delhi"/>
    <s v="Priya"/>
    <s v="Delivered"/>
    <n v="3"/>
  </r>
  <r>
    <s v="O00982"/>
    <d v="2025-12-13T00:00:00"/>
    <s v="C00982"/>
    <s v="Customer 982"/>
    <s v="Book"/>
    <s v="Books"/>
    <s v="Penguin"/>
    <n v="4"/>
    <n v="862"/>
    <n v="0.2"/>
    <n v="2758.4"/>
    <n v="331.06"/>
    <s v="Net Banking"/>
    <s v="Chennai"/>
    <s v="Tamil Nadu"/>
    <s v="Asha"/>
    <s v="Cancelled"/>
    <n v="3"/>
  </r>
  <r>
    <s v="O00983"/>
    <d v="2025-03-03T00:00:00"/>
    <s v="C00983"/>
    <s v="Customer 983"/>
    <s v="Watch"/>
    <s v="Accessories"/>
    <s v="Fossil"/>
    <n v="5"/>
    <n v="10272"/>
    <n v="0.05"/>
    <n v="48792"/>
    <n v="13481.86"/>
    <s v="UPI"/>
    <s v="Hyderabad"/>
    <s v="Telangana"/>
    <s v="Anil"/>
    <s v="Shipped"/>
    <n v="3"/>
  </r>
  <r>
    <s v="O00984"/>
    <d v="2025-06-25T00:00:00"/>
    <s v="C00984"/>
    <s v="Customer 984"/>
    <s v="Shoes"/>
    <s v="Fashion"/>
    <s v="Nike"/>
    <n v="3"/>
    <n v="6952"/>
    <n v="0"/>
    <n v="20856"/>
    <n v="5723.4"/>
    <s v="Card"/>
    <s v="Bengaluru"/>
    <s v="Karnataka"/>
    <s v="John"/>
    <s v="Returned"/>
    <n v="1"/>
  </r>
  <r>
    <s v="O00985"/>
    <d v="2025-02-13T00:00:00"/>
    <s v="C00985"/>
    <s v="Customer 985"/>
    <s v="Phone"/>
    <s v="Electronics"/>
    <s v="Samsung"/>
    <n v="4"/>
    <n v="5890"/>
    <n v="0"/>
    <n v="23560"/>
    <n v="5308.57"/>
    <s v="Net Banking"/>
    <s v="Chennai"/>
    <s v="Tamil Nadu"/>
    <s v="Priya"/>
    <s v="Cancelled"/>
    <n v="5"/>
  </r>
  <r>
    <s v="O00986"/>
    <d v="2025-12-17T00:00:00"/>
    <s v="C00986"/>
    <s v="Customer 986"/>
    <s v="Chair"/>
    <s v="Furniture"/>
    <s v="Ikea"/>
    <n v="5"/>
    <n v="9546"/>
    <n v="0.2"/>
    <n v="38184"/>
    <n v="10551.65"/>
    <s v="Card"/>
    <s v="Mumbai"/>
    <s v="Maharashtra"/>
    <s v="John"/>
    <s v="Delivered"/>
    <n v="1"/>
  </r>
  <r>
    <s v="O00987"/>
    <d v="2025-12-10T00:00:00"/>
    <s v="C00987"/>
    <s v="Customer 987"/>
    <s v="Headphones"/>
    <s v="Electronics"/>
    <s v="Sony"/>
    <n v="4"/>
    <n v="8187"/>
    <n v="0.05"/>
    <n v="31110.6"/>
    <n v="8064.31"/>
    <s v="Wallet"/>
    <s v="Kochi"/>
    <s v="Kerala"/>
    <s v="Asha"/>
    <s v="Shipped"/>
    <n v="4"/>
  </r>
  <r>
    <s v="O00988"/>
    <d v="2025-06-16T00:00:00"/>
    <s v="C00988"/>
    <s v="Customer 988"/>
    <s v="Headphones"/>
    <s v="Electronics"/>
    <s v="Sony"/>
    <n v="1"/>
    <n v="10073"/>
    <n v="0.1"/>
    <n v="9065.7000000000007"/>
    <n v="827.38"/>
    <s v="UPI"/>
    <s v="Mumbai"/>
    <s v="Maharashtra"/>
    <s v="Rahul"/>
    <s v="Shipped"/>
    <n v="4"/>
  </r>
  <r>
    <s v="O00989"/>
    <d v="2025-03-18T00:00:00"/>
    <s v="C00989"/>
    <s v="Customer 989"/>
    <s v="Mixer"/>
    <s v="Home"/>
    <s v="Philips"/>
    <n v="3"/>
    <n v="8997"/>
    <n v="0.1"/>
    <n v="24291.9"/>
    <n v="5111.33"/>
    <s v="Wallet"/>
    <s v="Mumbai"/>
    <s v="Maharashtra"/>
    <s v="John"/>
    <s v="Delivered"/>
    <n v="3"/>
  </r>
  <r>
    <s v="O00990"/>
    <d v="2025-11-11T00:00:00"/>
    <s v="C00990"/>
    <s v="Customer 990"/>
    <s v="Mixer"/>
    <s v="Home"/>
    <s v="Philips"/>
    <n v="1"/>
    <n v="10287"/>
    <n v="0.1"/>
    <n v="9258.2999999999993"/>
    <n v="886.32"/>
    <s v="Card"/>
    <s v="Chennai"/>
    <s v="Tamil Nadu"/>
    <s v="Priya"/>
    <s v="Cancelled"/>
    <n v="2"/>
  </r>
  <r>
    <s v="O00991"/>
    <d v="2025-10-13T00:00:00"/>
    <s v="C00991"/>
    <s v="Customer 991"/>
    <s v="Mixer"/>
    <s v="Home"/>
    <s v="Philips"/>
    <n v="1"/>
    <n v="6364"/>
    <n v="0.1"/>
    <n v="5727.6"/>
    <n v="882.03"/>
    <s v="UPI"/>
    <s v="Mumbai"/>
    <s v="Maharashtra"/>
    <s v="John"/>
    <s v="Cancelled"/>
    <n v="1"/>
  </r>
  <r>
    <s v="O00992"/>
    <d v="2025-04-08T00:00:00"/>
    <s v="C00992"/>
    <s v="Customer 992"/>
    <s v="Mixer"/>
    <s v="Home"/>
    <s v="Philips"/>
    <n v="2"/>
    <n v="9175"/>
    <n v="0.05"/>
    <n v="17432.5"/>
    <n v="4118.45"/>
    <s v="Card"/>
    <s v="Kochi"/>
    <s v="Kerala"/>
    <s v="Rahul"/>
    <s v="Shipped"/>
    <n v="1"/>
  </r>
  <r>
    <s v="O00993"/>
    <d v="2025-05-28T00:00:00"/>
    <s v="C00993"/>
    <s v="Customer 993"/>
    <s v="Shoes"/>
    <s v="Fashion"/>
    <s v="Nike"/>
    <n v="5"/>
    <n v="14129"/>
    <n v="0.15"/>
    <n v="60048.25"/>
    <n v="17535.82"/>
    <s v="COD"/>
    <s v="Delhi"/>
    <s v="Delhi"/>
    <s v="John"/>
    <s v="Cancelled"/>
    <n v="5"/>
  </r>
  <r>
    <s v="O00994"/>
    <d v="2025-07-31T00:00:00"/>
    <s v="C00994"/>
    <s v="Customer 994"/>
    <s v="Mixer"/>
    <s v="Home"/>
    <s v="Philips"/>
    <n v="3"/>
    <n v="4296"/>
    <n v="0"/>
    <n v="12888"/>
    <n v="3589.04"/>
    <s v="COD"/>
    <s v="Chennai"/>
    <s v="Tamil Nadu"/>
    <s v="John"/>
    <s v="Cancelled"/>
    <n v="1"/>
  </r>
  <r>
    <s v="O00995"/>
    <d v="2025-10-14T00:00:00"/>
    <s v="C00995"/>
    <s v="Customer 995"/>
    <s v="Watch"/>
    <s v="Accessories"/>
    <s v="Fossil"/>
    <n v="1"/>
    <n v="7317"/>
    <n v="0.2"/>
    <n v="5853.6"/>
    <n v="743.52"/>
    <s v="COD"/>
    <s v="Hyderabad"/>
    <s v="Telangana"/>
    <s v="John"/>
    <s v="Shipped"/>
    <n v="3"/>
  </r>
  <r>
    <s v="O00996"/>
    <d v="2025-07-30T00:00:00"/>
    <s v="C00996"/>
    <s v="Customer 996"/>
    <s v="Laptop"/>
    <s v="Electronics"/>
    <s v="Dell"/>
    <n v="4"/>
    <n v="1505"/>
    <n v="0.2"/>
    <n v="4816"/>
    <n v="511.57"/>
    <s v="UPI"/>
    <s v="Mumbai"/>
    <s v="Maharashtra"/>
    <s v="Priya"/>
    <s v="Delivered"/>
    <n v="4"/>
  </r>
  <r>
    <s v="O00997"/>
    <d v="2025-07-13T00:00:00"/>
    <s v="C00997"/>
    <s v="Customer 997"/>
    <s v="Headphones"/>
    <s v="Electronics"/>
    <s v="Sony"/>
    <n v="1"/>
    <n v="5919"/>
    <n v="0"/>
    <n v="5919"/>
    <n v="680.59"/>
    <s v="UPI"/>
    <s v="Hyderabad"/>
    <s v="Telangana"/>
    <s v="Asha"/>
    <s v="Delivered"/>
    <n v="3"/>
  </r>
  <r>
    <s v="O00998"/>
    <d v="2025-09-18T00:00:00"/>
    <s v="C00998"/>
    <s v="Customer 998"/>
    <s v="Mixer"/>
    <s v="Home"/>
    <s v="Philips"/>
    <n v="5"/>
    <n v="701"/>
    <n v="0.1"/>
    <n v="3154.5"/>
    <n v="460.32"/>
    <s v="Card"/>
    <s v="Hyderabad"/>
    <s v="Telangana"/>
    <s v="Priya"/>
    <s v="Returned"/>
    <n v="2"/>
  </r>
  <r>
    <s v="O00999"/>
    <d v="2025-01-23T00:00:00"/>
    <s v="C00999"/>
    <s v="Customer 999"/>
    <s v="Book"/>
    <s v="Books"/>
    <s v="Penguin"/>
    <n v="1"/>
    <n v="9578"/>
    <n v="0.1"/>
    <n v="8620.2000000000007"/>
    <n v="1226.19"/>
    <s v="UPI"/>
    <s v="Mumbai"/>
    <s v="Maharashtra"/>
    <s v="John"/>
    <s v="Cancelled"/>
    <n v="1"/>
  </r>
  <r>
    <s v="O01000"/>
    <d v="2025-05-10T00:00:00"/>
    <s v="C01000"/>
    <s v="Customer 1000"/>
    <s v="Shoes"/>
    <s v="Fashion"/>
    <s v="Nike"/>
    <n v="5"/>
    <n v="5977"/>
    <n v="0.15"/>
    <n v="25402.25"/>
    <n v="5802.19"/>
    <s v="COD"/>
    <s v="Hyderabad"/>
    <s v="Telangana"/>
    <s v="Rahul"/>
    <s v="Cancelled"/>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M1253"/>
    <d v="2022-08-07T00:00:00"/>
    <x v="0"/>
    <x v="0"/>
    <s v="Ac Milan"/>
    <n v="3"/>
    <x v="0"/>
    <x v="0"/>
    <n v="64034"/>
    <x v="0"/>
    <s v="Anthony Taylor"/>
    <x v="0"/>
  </r>
  <r>
    <s v="M1439"/>
    <d v="2022-08-09T00:00:00"/>
    <x v="1"/>
    <x v="1"/>
    <s v="Bayern Munich"/>
    <n v="2"/>
    <x v="1"/>
    <x v="0"/>
    <n v="49406"/>
    <x v="1"/>
    <s v="Anthony Taylor"/>
    <x v="0"/>
  </r>
  <r>
    <s v="M1277"/>
    <d v="2022-08-14T00:00:00"/>
    <x v="2"/>
    <x v="1"/>
    <s v="Juventus"/>
    <n v="1"/>
    <x v="2"/>
    <x v="1"/>
    <n v="17408"/>
    <x v="2"/>
    <s v="Michael Oliver"/>
    <x v="1"/>
  </r>
  <r>
    <s v="M1575"/>
    <d v="2022-08-15T00:00:00"/>
    <x v="3"/>
    <x v="0"/>
    <s v="Inter Milan"/>
    <n v="2"/>
    <x v="1"/>
    <x v="0"/>
    <n v="0"/>
    <x v="3"/>
    <s v="A. Taylor"/>
    <x v="2"/>
  </r>
  <r>
    <s v="M1154"/>
    <d v="2022-08-16T00:00:00"/>
    <x v="0"/>
    <x v="2"/>
    <s v="Liverpool"/>
    <n v="2"/>
    <x v="1"/>
    <x v="0"/>
    <n v="58334"/>
    <x v="4"/>
    <s v="A. Taylor"/>
    <x v="0"/>
  </r>
  <r>
    <s v="M1580"/>
    <d v="2022-08-17T00:00:00"/>
    <x v="4"/>
    <x v="3"/>
    <s v="Newcastle United"/>
    <n v="1"/>
    <x v="3"/>
    <x v="0"/>
    <n v="36967"/>
    <x v="0"/>
    <s v="Daniele Orsato"/>
    <x v="3"/>
  </r>
  <r>
    <s v="M1553"/>
    <d v="2022-08-18T00:00:00"/>
    <x v="3"/>
    <x v="2"/>
    <s v="Borussia Dortmund"/>
    <n v="0"/>
    <x v="1"/>
    <x v="1"/>
    <n v="21705"/>
    <x v="0"/>
    <s v="S. Marciniak"/>
    <x v="0"/>
  </r>
  <r>
    <s v="M1587"/>
    <d v="2022-08-19T00:00:00"/>
    <x v="4"/>
    <x v="4"/>
    <s v="Chelsea"/>
    <n v="5"/>
    <x v="0"/>
    <x v="0"/>
    <n v="28815"/>
    <x v="0"/>
    <s v="Unknown"/>
    <x v="2"/>
  </r>
  <r>
    <s v="M1363"/>
    <d v="2022-08-20T00:00:00"/>
    <x v="4"/>
    <x v="5"/>
    <s v="Bayern Munich"/>
    <n v="4"/>
    <x v="3"/>
    <x v="0"/>
    <n v="48806"/>
    <x v="5"/>
    <s v="A. Taylor"/>
    <x v="0"/>
  </r>
  <r>
    <s v="M1511"/>
    <d v="2022-08-22T00:00:00"/>
    <x v="3"/>
    <x v="5"/>
    <s v="Real Madrid"/>
    <n v="2"/>
    <x v="2"/>
    <x v="1"/>
    <n v="30237"/>
    <x v="6"/>
    <s v="Unknown"/>
    <x v="2"/>
  </r>
  <r>
    <s v="M1573"/>
    <d v="2022-08-22T00:00:00"/>
    <x v="0"/>
    <x v="6"/>
    <s v="Manchester City"/>
    <n v="0"/>
    <x v="2"/>
    <x v="1"/>
    <n v="53573"/>
    <x v="7"/>
    <s v="Unknown"/>
    <x v="0"/>
  </r>
  <r>
    <s v="M1353"/>
    <d v="2022-08-24T00:00:00"/>
    <x v="3"/>
    <x v="6"/>
    <s v="Borussia Dortmund"/>
    <n v="1"/>
    <x v="4"/>
    <x v="1"/>
    <n v="76293"/>
    <x v="6"/>
    <s v="C. Pawson"/>
    <x v="2"/>
  </r>
  <r>
    <s v="M1357"/>
    <d v="2022-08-26T00:00:00"/>
    <x v="4"/>
    <x v="1"/>
    <s v="Paris Saint-Germain"/>
    <n v="1"/>
    <x v="1"/>
    <x v="2"/>
    <n v="28171"/>
    <x v="1"/>
    <s v="M. Oliver"/>
    <x v="0"/>
  </r>
  <r>
    <s v="M1458"/>
    <d v="2022-08-26T00:00:00"/>
    <x v="3"/>
    <x v="7"/>
    <s v="Manchester City"/>
    <n v="2"/>
    <x v="0"/>
    <x v="2"/>
    <n v="37858"/>
    <x v="8"/>
    <s v="S. Marciniak"/>
    <x v="0"/>
  </r>
  <r>
    <s v="M1348"/>
    <d v="2022-08-29T00:00:00"/>
    <x v="0"/>
    <x v="8"/>
    <s v="Manchester United"/>
    <n v="1"/>
    <x v="3"/>
    <x v="0"/>
    <n v="60663"/>
    <x v="4"/>
    <s v="C. Pawson"/>
    <x v="4"/>
  </r>
  <r>
    <s v="M1184"/>
    <d v="2022-09-03T00:00:00"/>
    <x v="0"/>
    <x v="9"/>
    <s v="Barcelona"/>
    <n v="2"/>
    <x v="0"/>
    <x v="2"/>
    <n v="46677"/>
    <x v="3"/>
    <s v="M. Oliver"/>
    <x v="0"/>
  </r>
  <r>
    <s v="M1187"/>
    <d v="2022-09-03T00:00:00"/>
    <x v="2"/>
    <x v="0"/>
    <s v="Borussia Dortmund"/>
    <n v="1"/>
    <x v="3"/>
    <x v="0"/>
    <n v="22087"/>
    <x v="6"/>
    <s v="S. Marciniak"/>
    <x v="2"/>
  </r>
  <r>
    <s v="M1022"/>
    <d v="2022-09-13T00:00:00"/>
    <x v="2"/>
    <x v="1"/>
    <s v="Manchester City"/>
    <n v="2"/>
    <x v="1"/>
    <x v="0"/>
    <n v="9442"/>
    <x v="5"/>
    <s v="M. Oliver"/>
    <x v="2"/>
  </r>
  <r>
    <s v="M1001"/>
    <d v="2022-09-21T00:00:00"/>
    <x v="0"/>
    <x v="7"/>
    <s v="Liverpool"/>
    <n v="3"/>
    <x v="1"/>
    <x v="0"/>
    <n v="21934"/>
    <x v="8"/>
    <s v="Unknown"/>
    <x v="1"/>
  </r>
  <r>
    <s v="M1477"/>
    <d v="2022-09-21T00:00:00"/>
    <x v="0"/>
    <x v="10"/>
    <s v="Unknown"/>
    <n v="1"/>
    <x v="3"/>
    <x v="0"/>
    <n v="34701"/>
    <x v="7"/>
    <s v="Michael Oliver"/>
    <x v="3"/>
  </r>
  <r>
    <s v="M1071"/>
    <d v="2022-09-22T00:00:00"/>
    <x v="4"/>
    <x v="6"/>
    <s v="Barcelona"/>
    <n v="4"/>
    <x v="0"/>
    <x v="0"/>
    <n v="60490"/>
    <x v="2"/>
    <s v="A. Taylor"/>
    <x v="1"/>
  </r>
  <r>
    <s v="M1428"/>
    <d v="2022-09-22T00:00:00"/>
    <x v="2"/>
    <x v="6"/>
    <s v="Borussia Dortmund"/>
    <n v="2"/>
    <x v="5"/>
    <x v="1"/>
    <n v="63362"/>
    <x v="3"/>
    <s v="Unknown"/>
    <x v="4"/>
  </r>
  <r>
    <s v="M1199"/>
    <d v="2022-09-23T00:00:00"/>
    <x v="4"/>
    <x v="11"/>
    <s v="Liverpool"/>
    <n v="2"/>
    <x v="1"/>
    <x v="0"/>
    <n v="23935"/>
    <x v="7"/>
    <s v="C. Pawson"/>
    <x v="4"/>
  </r>
  <r>
    <s v="M1179"/>
    <d v="2022-09-24T00:00:00"/>
    <x v="1"/>
    <x v="12"/>
    <s v="Tottenham Hotspur"/>
    <n v="1"/>
    <x v="1"/>
    <x v="2"/>
    <n v="39403"/>
    <x v="3"/>
    <s v="Anthony Taylor"/>
    <x v="3"/>
  </r>
  <r>
    <s v="M1210"/>
    <d v="2022-09-28T00:00:00"/>
    <x v="3"/>
    <x v="1"/>
    <s v="Ac Milan"/>
    <n v="0"/>
    <x v="4"/>
    <x v="1"/>
    <n v="43188"/>
    <x v="8"/>
    <s v="A. Taylor"/>
    <x v="0"/>
  </r>
  <r>
    <s v="M1196"/>
    <d v="2022-10-03T00:00:00"/>
    <x v="4"/>
    <x v="7"/>
    <s v="Arsenal"/>
    <n v="0"/>
    <x v="0"/>
    <x v="1"/>
    <n v="13061"/>
    <x v="1"/>
    <s v="Anthony Taylor"/>
    <x v="2"/>
  </r>
  <r>
    <s v="M1023"/>
    <d v="2022-10-04T00:00:00"/>
    <x v="2"/>
    <x v="1"/>
    <s v="Paris Saint-Germain"/>
    <n v="3"/>
    <x v="3"/>
    <x v="0"/>
    <n v="0"/>
    <x v="8"/>
    <s v="Unknown"/>
    <x v="2"/>
  </r>
  <r>
    <s v="M1002"/>
    <d v="2022-10-05T00:00:00"/>
    <x v="3"/>
    <x v="8"/>
    <s v="Newcastle United"/>
    <n v="0"/>
    <x v="1"/>
    <x v="1"/>
    <n v="11978"/>
    <x v="4"/>
    <s v="A. Taylor"/>
    <x v="4"/>
  </r>
  <r>
    <s v="M1010"/>
    <d v="2022-10-05T00:00:00"/>
    <x v="0"/>
    <x v="0"/>
    <s v="Ac Milan"/>
    <n v="3"/>
    <x v="1"/>
    <x v="0"/>
    <n v="36153"/>
    <x v="9"/>
    <s v="S. Marciniak"/>
    <x v="2"/>
  </r>
  <r>
    <s v="M1509"/>
    <d v="2022-10-15T00:00:00"/>
    <x v="3"/>
    <x v="13"/>
    <s v="Ajax"/>
    <n v="2"/>
    <x v="0"/>
    <x v="2"/>
    <n v="70379"/>
    <x v="8"/>
    <s v="Michael Oliver"/>
    <x v="3"/>
  </r>
  <r>
    <s v="M1166"/>
    <d v="2022-10-20T00:00:00"/>
    <x v="4"/>
    <x v="7"/>
    <s v="Arsenal"/>
    <n v="1"/>
    <x v="1"/>
    <x v="2"/>
    <n v="77190"/>
    <x v="4"/>
    <s v="Michael Oliver"/>
    <x v="3"/>
  </r>
  <r>
    <s v="M1600"/>
    <d v="2022-10-23T00:00:00"/>
    <x v="0"/>
    <x v="0"/>
    <s v="Real Madrid"/>
    <n v="2"/>
    <x v="2"/>
    <x v="1"/>
    <n v="36798"/>
    <x v="4"/>
    <s v="Anthony Taylor"/>
    <x v="1"/>
  </r>
  <r>
    <s v="M1049"/>
    <d v="2022-10-30T00:00:00"/>
    <x v="3"/>
    <x v="13"/>
    <s v="Chelsea"/>
    <n v="2"/>
    <x v="3"/>
    <x v="0"/>
    <n v="34325"/>
    <x v="0"/>
    <s v="Daniele Orsato"/>
    <x v="1"/>
  </r>
  <r>
    <s v="M1306"/>
    <d v="2022-10-30T00:00:00"/>
    <x v="4"/>
    <x v="7"/>
    <s v="Atletico Madrid"/>
    <n v="2"/>
    <x v="0"/>
    <x v="2"/>
    <n v="51963"/>
    <x v="6"/>
    <s v="Daniele Orsato"/>
    <x v="1"/>
  </r>
  <r>
    <s v="M1403"/>
    <d v="2022-10-31T00:00:00"/>
    <x v="2"/>
    <x v="13"/>
    <s v="Newcastle United"/>
    <n v="1"/>
    <x v="1"/>
    <x v="2"/>
    <n v="0"/>
    <x v="10"/>
    <s v="M. Oliver"/>
    <x v="2"/>
  </r>
  <r>
    <s v="M1013"/>
    <d v="2022-11-05T00:00:00"/>
    <x v="0"/>
    <x v="1"/>
    <s v="Juventus"/>
    <n v="3"/>
    <x v="3"/>
    <x v="0"/>
    <n v="63833"/>
    <x v="9"/>
    <s v="Anthony Taylor"/>
    <x v="0"/>
  </r>
  <r>
    <s v="M1335"/>
    <d v="2022-11-08T00:00:00"/>
    <x v="4"/>
    <x v="12"/>
    <s v="Bayern Munich"/>
    <n v="0"/>
    <x v="0"/>
    <x v="1"/>
    <n v="10634"/>
    <x v="5"/>
    <s v="Michael Oliver"/>
    <x v="0"/>
  </r>
  <r>
    <s v="M1151"/>
    <d v="2022-11-10T00:00:00"/>
    <x v="4"/>
    <x v="14"/>
    <s v="Atletico Madrid"/>
    <n v="2"/>
    <x v="1"/>
    <x v="0"/>
    <n v="72156"/>
    <x v="9"/>
    <s v="Unknown"/>
    <x v="0"/>
  </r>
  <r>
    <s v="M1399"/>
    <d v="2022-11-10T00:00:00"/>
    <x v="4"/>
    <x v="0"/>
    <s v="Liverpool"/>
    <n v="1"/>
    <x v="0"/>
    <x v="1"/>
    <n v="0"/>
    <x v="11"/>
    <s v="Unknown"/>
    <x v="1"/>
  </r>
  <r>
    <s v="M1421"/>
    <d v="2022-11-10T00:00:00"/>
    <x v="2"/>
    <x v="1"/>
    <s v="Tottenham Hotspur"/>
    <n v="1"/>
    <x v="0"/>
    <x v="1"/>
    <n v="37512"/>
    <x v="8"/>
    <s v="A. Taylor"/>
    <x v="4"/>
  </r>
  <r>
    <s v="M1236"/>
    <d v="2022-11-16T00:00:00"/>
    <x v="4"/>
    <x v="7"/>
    <s v="Chelsea"/>
    <n v="0"/>
    <x v="1"/>
    <x v="1"/>
    <n v="21678"/>
    <x v="8"/>
    <s v="Michael Oliver"/>
    <x v="1"/>
  </r>
  <r>
    <s v="M1207"/>
    <d v="2022-11-22T00:00:00"/>
    <x v="2"/>
    <x v="10"/>
    <s v="Ajax"/>
    <n v="3"/>
    <x v="0"/>
    <x v="0"/>
    <n v="30081"/>
    <x v="1"/>
    <s v="S. Marciniak"/>
    <x v="4"/>
  </r>
  <r>
    <s v="M1382"/>
    <d v="2022-11-23T00:00:00"/>
    <x v="3"/>
    <x v="8"/>
    <s v="Ac Milan"/>
    <n v="3"/>
    <x v="4"/>
    <x v="1"/>
    <n v="59411"/>
    <x v="0"/>
    <s v="Michael Oliver"/>
    <x v="2"/>
  </r>
  <r>
    <s v="M1385"/>
    <d v="2022-11-24T00:00:00"/>
    <x v="3"/>
    <x v="1"/>
    <s v="Manchester United"/>
    <n v="1"/>
    <x v="1"/>
    <x v="2"/>
    <n v="71150"/>
    <x v="11"/>
    <s v="S. Marciniak"/>
    <x v="0"/>
  </r>
  <r>
    <s v="M1427"/>
    <d v="2022-11-25T00:00:00"/>
    <x v="3"/>
    <x v="14"/>
    <s v="Chelsea"/>
    <n v="3"/>
    <x v="2"/>
    <x v="2"/>
    <n v="61465"/>
    <x v="8"/>
    <s v="S. Marciniak"/>
    <x v="4"/>
  </r>
  <r>
    <s v="M1599"/>
    <d v="2022-12-03T00:00:00"/>
    <x v="4"/>
    <x v="4"/>
    <s v="Bayern Munich"/>
    <n v="1"/>
    <x v="0"/>
    <x v="1"/>
    <n v="56874"/>
    <x v="6"/>
    <s v="M. Oliver"/>
    <x v="0"/>
  </r>
  <r>
    <s v="M1393"/>
    <d v="2022-12-17T00:00:00"/>
    <x v="0"/>
    <x v="0"/>
    <s v="Borussia Dortmund"/>
    <n v="1"/>
    <x v="2"/>
    <x v="1"/>
    <n v="14810"/>
    <x v="3"/>
    <s v="Unknown"/>
    <x v="4"/>
  </r>
  <r>
    <s v="M1032"/>
    <d v="2022-12-18T00:00:00"/>
    <x v="0"/>
    <x v="1"/>
    <s v="Atletico Madrid"/>
    <n v="2"/>
    <x v="1"/>
    <x v="0"/>
    <n v="40771"/>
    <x v="9"/>
    <s v="M. Oliver"/>
    <x v="0"/>
  </r>
  <r>
    <s v="M1112"/>
    <d v="2022-12-19T00:00:00"/>
    <x v="2"/>
    <x v="1"/>
    <s v="Atletico Madrid"/>
    <n v="1"/>
    <x v="0"/>
    <x v="1"/>
    <n v="38317"/>
    <x v="2"/>
    <s v="Anthony Taylor"/>
    <x v="0"/>
  </r>
  <r>
    <s v="M1524"/>
    <d v="2022-12-19T00:00:00"/>
    <x v="0"/>
    <x v="9"/>
    <s v="Barcelona"/>
    <n v="1"/>
    <x v="1"/>
    <x v="2"/>
    <n v="10670"/>
    <x v="12"/>
    <s v="Unknown"/>
    <x v="0"/>
  </r>
  <r>
    <s v="M1578"/>
    <d v="2022-12-19T00:00:00"/>
    <x v="4"/>
    <x v="13"/>
    <s v="Paris Saint-Germain"/>
    <n v="1"/>
    <x v="1"/>
    <x v="2"/>
    <n v="67845"/>
    <x v="7"/>
    <s v="Unknown"/>
    <x v="2"/>
  </r>
  <r>
    <s v="M1254"/>
    <d v="2022-12-20T00:00:00"/>
    <x v="2"/>
    <x v="1"/>
    <s v="Ajax"/>
    <n v="5"/>
    <x v="1"/>
    <x v="0"/>
    <n v="0"/>
    <x v="1"/>
    <s v="Michael Oliver"/>
    <x v="4"/>
  </r>
  <r>
    <s v="M1496"/>
    <d v="2022-12-27T00:00:00"/>
    <x v="2"/>
    <x v="8"/>
    <s v="Manchester United"/>
    <n v="1"/>
    <x v="0"/>
    <x v="1"/>
    <n v="47998"/>
    <x v="9"/>
    <s v="Anthony Taylor"/>
    <x v="3"/>
  </r>
  <r>
    <s v="M1542"/>
    <d v="2022-12-27T00:00:00"/>
    <x v="0"/>
    <x v="6"/>
    <s v="Barcelona"/>
    <n v="2"/>
    <x v="1"/>
    <x v="0"/>
    <n v="75777"/>
    <x v="7"/>
    <s v="Unknown"/>
    <x v="0"/>
  </r>
  <r>
    <s v="M1502"/>
    <d v="2022-12-28T00:00:00"/>
    <x v="0"/>
    <x v="7"/>
    <s v="Barcelona"/>
    <n v="1"/>
    <x v="3"/>
    <x v="0"/>
    <n v="0"/>
    <x v="2"/>
    <s v="Unknown"/>
    <x v="3"/>
  </r>
  <r>
    <s v="M1035"/>
    <d v="2022-12-29T00:00:00"/>
    <x v="0"/>
    <x v="8"/>
    <s v="Liverpool"/>
    <n v="2"/>
    <x v="0"/>
    <x v="2"/>
    <n v="54245"/>
    <x v="5"/>
    <s v="A. Taylor"/>
    <x v="3"/>
  </r>
  <r>
    <s v="M1396"/>
    <d v="2022-12-30T00:00:00"/>
    <x v="0"/>
    <x v="11"/>
    <s v="Liverpool"/>
    <n v="1"/>
    <x v="3"/>
    <x v="3"/>
    <n v="18330"/>
    <x v="4"/>
    <s v="Anthony Taylor"/>
    <x v="3"/>
  </r>
  <r>
    <s v="M1027"/>
    <d v="2023-01-02T00:00:00"/>
    <x v="3"/>
    <x v="15"/>
    <s v="Chelsea"/>
    <n v="1"/>
    <x v="2"/>
    <x v="1"/>
    <n v="21333"/>
    <x v="11"/>
    <s v="Unknown"/>
    <x v="4"/>
  </r>
  <r>
    <s v="M1508"/>
    <d v="2023-01-04T00:00:00"/>
    <x v="3"/>
    <x v="12"/>
    <s v="Bayern Munich"/>
    <n v="2"/>
    <x v="4"/>
    <x v="1"/>
    <n v="12588"/>
    <x v="13"/>
    <s v="Daniele Orsato"/>
    <x v="0"/>
  </r>
  <r>
    <s v="M1198"/>
    <d v="2023-01-05T00:00:00"/>
    <x v="4"/>
    <x v="5"/>
    <s v="Newcastle United"/>
    <n v="2"/>
    <x v="0"/>
    <x v="2"/>
    <n v="49707"/>
    <x v="8"/>
    <s v="C. Pawson"/>
    <x v="4"/>
  </r>
  <r>
    <s v="M1350"/>
    <d v="2023-01-09T00:00:00"/>
    <x v="0"/>
    <x v="1"/>
    <s v="Manchester City"/>
    <n v="2"/>
    <x v="1"/>
    <x v="0"/>
    <n v="78805"/>
    <x v="10"/>
    <s v="Daniele Orsato"/>
    <x v="0"/>
  </r>
  <r>
    <s v="M1536"/>
    <d v="2023-01-11T00:00:00"/>
    <x v="5"/>
    <x v="0"/>
    <s v="Tottenham Hotspur"/>
    <n v="2"/>
    <x v="0"/>
    <x v="2"/>
    <n v="76789"/>
    <x v="7"/>
    <s v="M. Oliver"/>
    <x v="2"/>
  </r>
  <r>
    <s v="M1249"/>
    <d v="2023-01-15T00:00:00"/>
    <x v="1"/>
    <x v="14"/>
    <s v="Atletico Madrid"/>
    <n v="2"/>
    <x v="0"/>
    <x v="2"/>
    <n v="18737"/>
    <x v="9"/>
    <s v="Anthony Taylor"/>
    <x v="1"/>
  </r>
  <r>
    <s v="M1291"/>
    <d v="2023-01-16T00:00:00"/>
    <x v="0"/>
    <x v="3"/>
    <s v="Unknown"/>
    <n v="1"/>
    <x v="1"/>
    <x v="2"/>
    <n v="59568"/>
    <x v="0"/>
    <s v="S. Marciniak"/>
    <x v="1"/>
  </r>
  <r>
    <s v="M1344"/>
    <d v="2023-01-20T00:00:00"/>
    <x v="3"/>
    <x v="0"/>
    <s v="Bayern Munich"/>
    <n v="1"/>
    <x v="0"/>
    <x v="1"/>
    <n v="45845"/>
    <x v="6"/>
    <s v="M. Oliver"/>
    <x v="4"/>
  </r>
  <r>
    <s v="M1019"/>
    <d v="2023-01-23T00:00:00"/>
    <x v="3"/>
    <x v="16"/>
    <s v="Manchester United"/>
    <n v="2"/>
    <x v="2"/>
    <x v="1"/>
    <n v="24983"/>
    <x v="10"/>
    <s v="Unknown"/>
    <x v="0"/>
  </r>
  <r>
    <s v="M1309"/>
    <d v="2023-01-23T00:00:00"/>
    <x v="0"/>
    <x v="15"/>
    <s v="Ajax"/>
    <n v="0"/>
    <x v="4"/>
    <x v="1"/>
    <n v="54156"/>
    <x v="7"/>
    <s v="S. Marciniak"/>
    <x v="0"/>
  </r>
  <r>
    <s v="M1437"/>
    <d v="2023-01-28T00:00:00"/>
    <x v="4"/>
    <x v="4"/>
    <s v="Juventus"/>
    <n v="0"/>
    <x v="1"/>
    <x v="1"/>
    <n v="61373"/>
    <x v="3"/>
    <s v="Unknown"/>
    <x v="0"/>
  </r>
  <r>
    <s v="M1540"/>
    <d v="2023-02-01T00:00:00"/>
    <x v="3"/>
    <x v="16"/>
    <s v="Manchester United"/>
    <n v="2"/>
    <x v="0"/>
    <x v="2"/>
    <n v="54125"/>
    <x v="0"/>
    <s v="C. Pawson"/>
    <x v="2"/>
  </r>
  <r>
    <s v="M1370"/>
    <d v="2023-02-02T00:00:00"/>
    <x v="3"/>
    <x v="12"/>
    <s v="Liverpool"/>
    <n v="1"/>
    <x v="0"/>
    <x v="1"/>
    <n v="13786"/>
    <x v="12"/>
    <s v="S. Marciniak"/>
    <x v="2"/>
  </r>
  <r>
    <s v="M1464"/>
    <d v="2023-02-03T00:00:00"/>
    <x v="2"/>
    <x v="8"/>
    <s v="Manchester United"/>
    <n v="3"/>
    <x v="6"/>
    <x v="1"/>
    <n v="75128"/>
    <x v="4"/>
    <s v="A. Taylor"/>
    <x v="4"/>
  </r>
  <r>
    <s v="M1535"/>
    <d v="2023-02-03T00:00:00"/>
    <x v="3"/>
    <x v="1"/>
    <s v="Inter Milan"/>
    <n v="3"/>
    <x v="1"/>
    <x v="0"/>
    <n v="65565"/>
    <x v="5"/>
    <s v="Anthony Taylor"/>
    <x v="3"/>
  </r>
  <r>
    <s v="M1588"/>
    <d v="2023-02-04T00:00:00"/>
    <x v="0"/>
    <x v="13"/>
    <s v="Real Madrid"/>
    <n v="2"/>
    <x v="1"/>
    <x v="0"/>
    <n v="16334"/>
    <x v="0"/>
    <s v="Michael Oliver"/>
    <x v="4"/>
  </r>
  <r>
    <s v="M1526"/>
    <d v="2023-02-07T00:00:00"/>
    <x v="3"/>
    <x v="14"/>
    <s v="Liverpool"/>
    <n v="2"/>
    <x v="3"/>
    <x v="0"/>
    <n v="79185"/>
    <x v="13"/>
    <s v="M. Oliver"/>
    <x v="4"/>
  </r>
  <r>
    <s v="M1452"/>
    <d v="2023-02-11T00:00:00"/>
    <x v="0"/>
    <x v="3"/>
    <s v="Liverpool"/>
    <n v="3"/>
    <x v="4"/>
    <x v="1"/>
    <n v="26639"/>
    <x v="8"/>
    <s v="Michael Oliver"/>
    <x v="3"/>
  </r>
  <r>
    <s v="M1089"/>
    <d v="2023-02-20T00:00:00"/>
    <x v="2"/>
    <x v="11"/>
    <s v="Borussia Dortmund"/>
    <n v="4"/>
    <x v="1"/>
    <x v="0"/>
    <n v="43187"/>
    <x v="8"/>
    <s v="Anthony Taylor"/>
    <x v="2"/>
  </r>
  <r>
    <s v="M1451"/>
    <d v="2023-02-21T00:00:00"/>
    <x v="2"/>
    <x v="15"/>
    <s v="Manchester United"/>
    <n v="3"/>
    <x v="2"/>
    <x v="2"/>
    <n v="55714"/>
    <x v="6"/>
    <s v="S. Marciniak"/>
    <x v="0"/>
  </r>
  <r>
    <s v="M1343"/>
    <d v="2023-02-22T00:00:00"/>
    <x v="4"/>
    <x v="1"/>
    <s v="Paris Saint-Germain"/>
    <n v="0"/>
    <x v="3"/>
    <x v="2"/>
    <n v="54576"/>
    <x v="3"/>
    <s v="S. Marciniak"/>
    <x v="2"/>
  </r>
  <r>
    <s v="M1411"/>
    <d v="2023-02-23T00:00:00"/>
    <x v="1"/>
    <x v="8"/>
    <s v="Juventus"/>
    <n v="3"/>
    <x v="2"/>
    <x v="2"/>
    <n v="62356"/>
    <x v="7"/>
    <s v="Daniele Orsato"/>
    <x v="4"/>
  </r>
  <r>
    <s v="M1446"/>
    <d v="2023-02-23T00:00:00"/>
    <x v="3"/>
    <x v="15"/>
    <s v="Bayern Munich"/>
    <n v="2"/>
    <x v="1"/>
    <x v="0"/>
    <n v="26478"/>
    <x v="3"/>
    <s v="Anthony Taylor"/>
    <x v="0"/>
  </r>
  <r>
    <s v="M1037"/>
    <d v="2023-03-01T00:00:00"/>
    <x v="0"/>
    <x v="17"/>
    <s v="Bayern Munich"/>
    <n v="4"/>
    <x v="3"/>
    <x v="0"/>
    <n v="22529"/>
    <x v="2"/>
    <s v="Unknown"/>
    <x v="2"/>
  </r>
  <r>
    <s v="M1214"/>
    <d v="2023-03-06T00:00:00"/>
    <x v="2"/>
    <x v="10"/>
    <s v="Barcelona"/>
    <n v="1"/>
    <x v="1"/>
    <x v="2"/>
    <n v="67429"/>
    <x v="12"/>
    <s v="Michael Oliver"/>
    <x v="1"/>
  </r>
  <r>
    <s v="M1589"/>
    <d v="2023-03-08T00:00:00"/>
    <x v="3"/>
    <x v="8"/>
    <s v="Inter Milan"/>
    <n v="0"/>
    <x v="1"/>
    <x v="1"/>
    <n v="54023"/>
    <x v="6"/>
    <s v="Unknown"/>
    <x v="4"/>
  </r>
  <r>
    <s v="M1218"/>
    <d v="2023-03-09T00:00:00"/>
    <x v="1"/>
    <x v="8"/>
    <s v="Manchester United"/>
    <n v="1"/>
    <x v="2"/>
    <x v="1"/>
    <n v="61355"/>
    <x v="0"/>
    <s v="M. Oliver"/>
    <x v="0"/>
  </r>
  <r>
    <s v="M1026"/>
    <d v="2023-03-12T00:00:00"/>
    <x v="4"/>
    <x v="2"/>
    <s v="Inter Milan"/>
    <n v="1"/>
    <x v="1"/>
    <x v="2"/>
    <n v="26873"/>
    <x v="3"/>
    <s v="Michael Oliver"/>
    <x v="3"/>
  </r>
  <r>
    <s v="M1235"/>
    <d v="2023-03-12T00:00:00"/>
    <x v="2"/>
    <x v="0"/>
    <s v="Liverpool"/>
    <n v="2"/>
    <x v="0"/>
    <x v="2"/>
    <n v="15153"/>
    <x v="8"/>
    <s v="Unknown"/>
    <x v="2"/>
  </r>
  <r>
    <s v="M1135"/>
    <d v="2023-03-14T00:00:00"/>
    <x v="0"/>
    <x v="4"/>
    <s v="Arsenal"/>
    <n v="2"/>
    <x v="3"/>
    <x v="0"/>
    <n v="55455"/>
    <x v="6"/>
    <s v="Unknown"/>
    <x v="4"/>
  </r>
  <r>
    <s v="M1227"/>
    <d v="2023-03-14T00:00:00"/>
    <x v="4"/>
    <x v="8"/>
    <s v="Benfica"/>
    <n v="1"/>
    <x v="1"/>
    <x v="2"/>
    <n v="28348"/>
    <x v="3"/>
    <s v="A. Taylor"/>
    <x v="0"/>
  </r>
  <r>
    <s v="M1346"/>
    <d v="2023-03-19T00:00:00"/>
    <x v="0"/>
    <x v="10"/>
    <s v="Tottenham Hotspur"/>
    <n v="1"/>
    <x v="0"/>
    <x v="1"/>
    <n v="77743"/>
    <x v="11"/>
    <s v="S. Marciniak"/>
    <x v="3"/>
  </r>
  <r>
    <s v="M1311"/>
    <d v="2023-03-24T00:00:00"/>
    <x v="0"/>
    <x v="1"/>
    <s v="Inter Milan"/>
    <n v="0"/>
    <x v="1"/>
    <x v="1"/>
    <n v="30042"/>
    <x v="2"/>
    <s v="A. Taylor"/>
    <x v="4"/>
  </r>
  <r>
    <s v="M1128"/>
    <d v="2023-03-26T00:00:00"/>
    <x v="0"/>
    <x v="2"/>
    <s v="Real Madrid"/>
    <n v="0"/>
    <x v="2"/>
    <x v="1"/>
    <n v="59440"/>
    <x v="14"/>
    <s v="S. Marciniak"/>
    <x v="4"/>
  </r>
  <r>
    <s v="M1326"/>
    <d v="2023-03-29T00:00:00"/>
    <x v="3"/>
    <x v="15"/>
    <s v="Paris Saint-Germain"/>
    <n v="3"/>
    <x v="1"/>
    <x v="0"/>
    <n v="54457"/>
    <x v="13"/>
    <s v="Unknown"/>
    <x v="2"/>
  </r>
  <r>
    <s v="M1447"/>
    <d v="2023-03-30T00:00:00"/>
    <x v="4"/>
    <x v="3"/>
    <s v="Atletico Madrid"/>
    <n v="1"/>
    <x v="2"/>
    <x v="1"/>
    <n v="34537"/>
    <x v="9"/>
    <s v="A. Taylor"/>
    <x v="3"/>
  </r>
  <r>
    <s v="M1369"/>
    <d v="2023-04-05T00:00:00"/>
    <x v="2"/>
    <x v="2"/>
    <s v="Newcastle United"/>
    <n v="0"/>
    <x v="6"/>
    <x v="3"/>
    <n v="67733"/>
    <x v="7"/>
    <s v="Unknown"/>
    <x v="3"/>
  </r>
  <r>
    <s v="M1183"/>
    <d v="2023-04-07T00:00:00"/>
    <x v="3"/>
    <x v="0"/>
    <s v="Manchester City"/>
    <n v="0"/>
    <x v="1"/>
    <x v="1"/>
    <n v="68414"/>
    <x v="5"/>
    <s v="Anthony Taylor"/>
    <x v="0"/>
  </r>
  <r>
    <s v="M1443"/>
    <d v="2023-04-10T00:00:00"/>
    <x v="0"/>
    <x v="10"/>
    <s v="Arsenal"/>
    <n v="1"/>
    <x v="0"/>
    <x v="1"/>
    <n v="57677"/>
    <x v="8"/>
    <s v="C. Pawson"/>
    <x v="0"/>
  </r>
  <r>
    <s v="M1445"/>
    <d v="2023-04-11T00:00:00"/>
    <x v="0"/>
    <x v="15"/>
    <s v="Tottenham Hotspur"/>
    <n v="2"/>
    <x v="1"/>
    <x v="0"/>
    <n v="35434"/>
    <x v="2"/>
    <s v="M. Oliver"/>
    <x v="3"/>
  </r>
  <r>
    <s v="M1191"/>
    <d v="2023-04-12T00:00:00"/>
    <x v="4"/>
    <x v="2"/>
    <s v="Chelsea"/>
    <n v="3"/>
    <x v="1"/>
    <x v="0"/>
    <n v="0"/>
    <x v="3"/>
    <s v="S. Marciniak"/>
    <x v="2"/>
  </r>
  <r>
    <s v="M1206"/>
    <d v="2023-04-20T00:00:00"/>
    <x v="3"/>
    <x v="10"/>
    <s v="Unknown"/>
    <n v="3"/>
    <x v="2"/>
    <x v="2"/>
    <n v="32350"/>
    <x v="6"/>
    <s v="Michael Oliver"/>
    <x v="0"/>
  </r>
  <r>
    <s v="M1204"/>
    <d v="2023-04-23T00:00:00"/>
    <x v="2"/>
    <x v="4"/>
    <s v="Barcelona"/>
    <n v="2"/>
    <x v="3"/>
    <x v="0"/>
    <n v="0"/>
    <x v="2"/>
    <s v="Unknown"/>
    <x v="0"/>
  </r>
  <r>
    <s v="M1386"/>
    <d v="2023-04-25T00:00:00"/>
    <x v="1"/>
    <x v="16"/>
    <s v="Inter Milan"/>
    <n v="1"/>
    <x v="3"/>
    <x v="0"/>
    <n v="16306"/>
    <x v="11"/>
    <s v="Michael Oliver"/>
    <x v="0"/>
  </r>
  <r>
    <s v="M1457"/>
    <d v="2023-04-25T00:00:00"/>
    <x v="4"/>
    <x v="12"/>
    <s v="Ac Milan"/>
    <n v="2"/>
    <x v="1"/>
    <x v="0"/>
    <n v="66261"/>
    <x v="11"/>
    <s v="Anthony Taylor"/>
    <x v="3"/>
  </r>
  <r>
    <s v="M1034"/>
    <d v="2023-04-26T00:00:00"/>
    <x v="1"/>
    <x v="0"/>
    <s v="Tottenham Hotspur"/>
    <n v="2"/>
    <x v="1"/>
    <x v="0"/>
    <n v="18008"/>
    <x v="11"/>
    <s v="Unknown"/>
    <x v="0"/>
  </r>
  <r>
    <s v="M1341"/>
    <d v="2023-04-30T00:00:00"/>
    <x v="0"/>
    <x v="6"/>
    <s v="Tottenham Hotspur"/>
    <n v="2"/>
    <x v="0"/>
    <x v="2"/>
    <n v="78034"/>
    <x v="9"/>
    <s v="M. Oliver"/>
    <x v="0"/>
  </r>
  <r>
    <s v="M1241"/>
    <d v="2023-05-02T00:00:00"/>
    <x v="2"/>
    <x v="10"/>
    <s v="Paris Saint-Germain"/>
    <n v="3"/>
    <x v="1"/>
    <x v="0"/>
    <n v="23264"/>
    <x v="0"/>
    <s v="Michael Oliver"/>
    <x v="4"/>
  </r>
  <r>
    <s v="M1066"/>
    <d v="2023-05-05T00:00:00"/>
    <x v="2"/>
    <x v="7"/>
    <s v="Newcastle United"/>
    <n v="3"/>
    <x v="1"/>
    <x v="0"/>
    <n v="58189"/>
    <x v="0"/>
    <s v="A. Taylor"/>
    <x v="0"/>
  </r>
  <r>
    <s v="M1329"/>
    <d v="2023-05-05T00:00:00"/>
    <x v="0"/>
    <x v="18"/>
    <s v="Liverpool"/>
    <n v="5"/>
    <x v="2"/>
    <x v="0"/>
    <n v="44849"/>
    <x v="13"/>
    <s v="Michael Oliver"/>
    <x v="4"/>
  </r>
  <r>
    <s v="M1417"/>
    <d v="2023-05-05T00:00:00"/>
    <x v="3"/>
    <x v="10"/>
    <s v="Tottenham Hotspur"/>
    <n v="3"/>
    <x v="0"/>
    <x v="0"/>
    <n v="12294"/>
    <x v="1"/>
    <s v="A. Taylor"/>
    <x v="2"/>
  </r>
  <r>
    <s v="M1368"/>
    <d v="2023-05-06T00:00:00"/>
    <x v="0"/>
    <x v="11"/>
    <s v="Arsenal"/>
    <n v="3"/>
    <x v="0"/>
    <x v="0"/>
    <n v="22348"/>
    <x v="1"/>
    <s v="Unknown"/>
    <x v="4"/>
  </r>
  <r>
    <s v="M1203"/>
    <d v="2023-05-12T00:00:00"/>
    <x v="1"/>
    <x v="13"/>
    <s v="Inter Milan"/>
    <n v="1"/>
    <x v="1"/>
    <x v="2"/>
    <n v="81116"/>
    <x v="9"/>
    <s v="S. Marciniak"/>
    <x v="0"/>
  </r>
  <r>
    <s v="M1517"/>
    <d v="2023-05-12T00:00:00"/>
    <x v="3"/>
    <x v="1"/>
    <s v="Real Madrid"/>
    <n v="1"/>
    <x v="1"/>
    <x v="2"/>
    <n v="45306"/>
    <x v="12"/>
    <s v="Michael Oliver"/>
    <x v="2"/>
  </r>
  <r>
    <s v="M1244"/>
    <d v="2023-05-15T00:00:00"/>
    <x v="0"/>
    <x v="6"/>
    <s v="Arsenal"/>
    <n v="2"/>
    <x v="4"/>
    <x v="1"/>
    <n v="42681"/>
    <x v="3"/>
    <s v="A. Taylor"/>
    <x v="0"/>
  </r>
  <r>
    <s v="M1387"/>
    <d v="2023-05-18T00:00:00"/>
    <x v="1"/>
    <x v="3"/>
    <s v="Ajax"/>
    <n v="3"/>
    <x v="2"/>
    <x v="2"/>
    <n v="18006"/>
    <x v="0"/>
    <s v="Daniele Orsato"/>
    <x v="0"/>
  </r>
  <r>
    <s v="M1221"/>
    <d v="2023-05-23T00:00:00"/>
    <x v="3"/>
    <x v="11"/>
    <s v="Tottenham Hotspur"/>
    <n v="1"/>
    <x v="0"/>
    <x v="1"/>
    <n v="13776"/>
    <x v="11"/>
    <s v="M. Oliver"/>
    <x v="2"/>
  </r>
  <r>
    <s v="M1563"/>
    <d v="2023-05-24T00:00:00"/>
    <x v="1"/>
    <x v="7"/>
    <s v="Benfica"/>
    <n v="3"/>
    <x v="0"/>
    <x v="0"/>
    <n v="63788"/>
    <x v="8"/>
    <s v="Daniele Orsato"/>
    <x v="1"/>
  </r>
  <r>
    <s v="M1296"/>
    <d v="2023-05-26T00:00:00"/>
    <x v="4"/>
    <x v="0"/>
    <s v="Real Madrid"/>
    <n v="0"/>
    <x v="1"/>
    <x v="1"/>
    <n v="47789"/>
    <x v="14"/>
    <s v="Anthony Taylor"/>
    <x v="3"/>
  </r>
  <r>
    <s v="M1478"/>
    <d v="2023-05-27T00:00:00"/>
    <x v="2"/>
    <x v="7"/>
    <s v="Chelsea"/>
    <n v="3"/>
    <x v="0"/>
    <x v="0"/>
    <n v="35238"/>
    <x v="6"/>
    <s v="Unknown"/>
    <x v="1"/>
  </r>
  <r>
    <s v="M1134"/>
    <d v="2023-05-30T00:00:00"/>
    <x v="2"/>
    <x v="2"/>
    <s v="Juventus"/>
    <n v="3"/>
    <x v="0"/>
    <x v="0"/>
    <n v="27464"/>
    <x v="1"/>
    <s v="Unknown"/>
    <x v="3"/>
  </r>
  <r>
    <s v="M1525"/>
    <d v="2023-06-03T00:00:00"/>
    <x v="3"/>
    <x v="7"/>
    <s v="Newcastle United"/>
    <n v="2"/>
    <x v="3"/>
    <x v="0"/>
    <n v="13616"/>
    <x v="6"/>
    <s v="Unknown"/>
    <x v="0"/>
  </r>
  <r>
    <s v="M1557"/>
    <d v="2023-06-03T00:00:00"/>
    <x v="4"/>
    <x v="6"/>
    <s v="Inter Milan"/>
    <n v="2"/>
    <x v="3"/>
    <x v="0"/>
    <n v="73983"/>
    <x v="1"/>
    <s v="Unknown"/>
    <x v="0"/>
  </r>
  <r>
    <s v="M1579"/>
    <d v="2023-06-08T00:00:00"/>
    <x v="0"/>
    <x v="2"/>
    <s v="Manchester United"/>
    <n v="0"/>
    <x v="0"/>
    <x v="1"/>
    <n v="21905"/>
    <x v="7"/>
    <s v="Unknown"/>
    <x v="2"/>
  </r>
  <r>
    <s v="M1061"/>
    <d v="2023-06-09T00:00:00"/>
    <x v="4"/>
    <x v="5"/>
    <s v="Borussia Dortmund"/>
    <n v="2"/>
    <x v="3"/>
    <x v="0"/>
    <n v="51869"/>
    <x v="4"/>
    <s v="Unknown"/>
    <x v="0"/>
  </r>
  <r>
    <s v="M1030"/>
    <d v="2023-06-14T00:00:00"/>
    <x v="0"/>
    <x v="3"/>
    <s v="Real Madrid"/>
    <n v="1"/>
    <x v="1"/>
    <x v="2"/>
    <n v="79566"/>
    <x v="11"/>
    <s v="S. Marciniak"/>
    <x v="1"/>
  </r>
  <r>
    <s v="M1568"/>
    <d v="2023-06-15T00:00:00"/>
    <x v="4"/>
    <x v="0"/>
    <s v="Atletico Madrid"/>
    <n v="0"/>
    <x v="4"/>
    <x v="1"/>
    <n v="49049"/>
    <x v="12"/>
    <s v="A. Taylor"/>
    <x v="4"/>
  </r>
  <r>
    <s v="M1237"/>
    <d v="2023-06-20T00:00:00"/>
    <x v="4"/>
    <x v="11"/>
    <s v="Barcelona"/>
    <n v="1"/>
    <x v="3"/>
    <x v="3"/>
    <n v="71080"/>
    <x v="8"/>
    <s v="A. Taylor"/>
    <x v="4"/>
  </r>
  <r>
    <s v="M1312"/>
    <d v="2023-06-24T00:00:00"/>
    <x v="4"/>
    <x v="13"/>
    <s v="Barcelona"/>
    <n v="1"/>
    <x v="1"/>
    <x v="2"/>
    <n v="38889"/>
    <x v="6"/>
    <s v="Daniele Orsato"/>
    <x v="4"/>
  </r>
  <r>
    <s v="M1178"/>
    <d v="2023-06-25T00:00:00"/>
    <x v="0"/>
    <x v="1"/>
    <s v="Juventus"/>
    <n v="1"/>
    <x v="4"/>
    <x v="1"/>
    <n v="65840"/>
    <x v="5"/>
    <s v="A. Taylor"/>
    <x v="0"/>
  </r>
  <r>
    <s v="M1017"/>
    <d v="2023-06-27T00:00:00"/>
    <x v="3"/>
    <x v="5"/>
    <s v="Juventus"/>
    <n v="2"/>
    <x v="2"/>
    <x v="1"/>
    <n v="8574"/>
    <x v="9"/>
    <s v="S. Marciniak"/>
    <x v="0"/>
  </r>
  <r>
    <s v="M1008"/>
    <d v="2023-06-30T00:00:00"/>
    <x v="2"/>
    <x v="18"/>
    <s v="Tottenham Hotspur"/>
    <n v="1"/>
    <x v="1"/>
    <x v="2"/>
    <n v="17858"/>
    <x v="9"/>
    <s v="Michael Oliver"/>
    <x v="0"/>
  </r>
  <r>
    <s v="M1009"/>
    <d v="2023-07-01T00:00:00"/>
    <x v="3"/>
    <x v="3"/>
    <s v="Unknown"/>
    <n v="2"/>
    <x v="1"/>
    <x v="0"/>
    <n v="37285"/>
    <x v="8"/>
    <s v="S. Marciniak"/>
    <x v="1"/>
  </r>
  <r>
    <s v="M1455"/>
    <d v="2023-07-08T00:00:00"/>
    <x v="0"/>
    <x v="12"/>
    <s v="Inter Milan"/>
    <n v="0"/>
    <x v="0"/>
    <x v="1"/>
    <n v="29392"/>
    <x v="5"/>
    <s v="Daniele Orsato"/>
    <x v="0"/>
  </r>
  <r>
    <s v="M1392"/>
    <d v="2023-07-10T00:00:00"/>
    <x v="1"/>
    <x v="5"/>
    <s v="Manchester City"/>
    <n v="2"/>
    <x v="6"/>
    <x v="1"/>
    <n v="67040"/>
    <x v="11"/>
    <s v="Unknown"/>
    <x v="2"/>
  </r>
  <r>
    <s v="M1054"/>
    <d v="2023-07-14T00:00:00"/>
    <x v="3"/>
    <x v="10"/>
    <s v="Inter Milan"/>
    <n v="2"/>
    <x v="1"/>
    <x v="0"/>
    <n v="52433"/>
    <x v="5"/>
    <s v="A. Taylor"/>
    <x v="4"/>
  </r>
  <r>
    <s v="M1157"/>
    <d v="2023-07-18T00:00:00"/>
    <x v="1"/>
    <x v="11"/>
    <s v="Manchester City"/>
    <n v="3"/>
    <x v="0"/>
    <x v="0"/>
    <n v="20051"/>
    <x v="3"/>
    <s v="Unknown"/>
    <x v="2"/>
  </r>
  <r>
    <s v="M1376"/>
    <d v="2023-07-20T00:00:00"/>
    <x v="2"/>
    <x v="7"/>
    <s v="Newcastle United"/>
    <n v="1"/>
    <x v="4"/>
    <x v="1"/>
    <n v="45181"/>
    <x v="14"/>
    <s v="Michael Oliver"/>
    <x v="1"/>
  </r>
  <r>
    <s v="M1052"/>
    <d v="2023-07-23T00:00:00"/>
    <x v="3"/>
    <x v="3"/>
    <s v="Paris Saint-Germain"/>
    <n v="2"/>
    <x v="1"/>
    <x v="0"/>
    <n v="8553"/>
    <x v="7"/>
    <s v="C. Pawson"/>
    <x v="2"/>
  </r>
  <r>
    <s v="M1136"/>
    <d v="2023-07-23T00:00:00"/>
    <x v="4"/>
    <x v="2"/>
    <s v="Manchester United"/>
    <n v="1"/>
    <x v="3"/>
    <x v="0"/>
    <n v="77455"/>
    <x v="5"/>
    <s v="Anthony Taylor"/>
    <x v="0"/>
  </r>
  <r>
    <s v="M1122"/>
    <d v="2023-07-26T00:00:00"/>
    <x v="1"/>
    <x v="3"/>
    <s v="Newcastle United"/>
    <n v="1"/>
    <x v="2"/>
    <x v="1"/>
    <n v="78079"/>
    <x v="4"/>
    <s v="Unknown"/>
    <x v="2"/>
  </r>
  <r>
    <s v="M1239"/>
    <d v="2023-07-27T00:00:00"/>
    <x v="4"/>
    <x v="15"/>
    <s v="Paris Saint-Germain"/>
    <n v="4"/>
    <x v="3"/>
    <x v="0"/>
    <n v="73430"/>
    <x v="1"/>
    <s v="C. Pawson"/>
    <x v="1"/>
  </r>
  <r>
    <s v="M1494"/>
    <d v="2023-07-31T00:00:00"/>
    <x v="3"/>
    <x v="1"/>
    <s v="Manchester United"/>
    <n v="3"/>
    <x v="0"/>
    <x v="0"/>
    <n v="38337"/>
    <x v="7"/>
    <s v="Daniele Orsato"/>
    <x v="0"/>
  </r>
  <r>
    <s v="M1512"/>
    <d v="2023-08-02T00:00:00"/>
    <x v="0"/>
    <x v="15"/>
    <s v="Arsenal"/>
    <n v="2"/>
    <x v="0"/>
    <x v="2"/>
    <n v="71873"/>
    <x v="0"/>
    <s v="M. Oliver"/>
    <x v="2"/>
  </r>
  <r>
    <s v="M1193"/>
    <d v="2023-08-05T00:00:00"/>
    <x v="0"/>
    <x v="15"/>
    <s v="Atletico Madrid"/>
    <n v="2"/>
    <x v="1"/>
    <x v="0"/>
    <n v="51481"/>
    <x v="8"/>
    <s v="C. Pawson"/>
    <x v="4"/>
  </r>
  <r>
    <s v="M1077"/>
    <d v="2023-08-08T00:00:00"/>
    <x v="2"/>
    <x v="12"/>
    <s v="Manchester City"/>
    <n v="2"/>
    <x v="1"/>
    <x v="0"/>
    <n v="53108"/>
    <x v="7"/>
    <s v="C. Pawson"/>
    <x v="0"/>
  </r>
  <r>
    <s v="M1554"/>
    <d v="2023-08-19T00:00:00"/>
    <x v="4"/>
    <x v="12"/>
    <s v="Chelsea"/>
    <n v="2"/>
    <x v="1"/>
    <x v="0"/>
    <n v="53470"/>
    <x v="0"/>
    <s v="Michael Oliver"/>
    <x v="0"/>
  </r>
  <r>
    <s v="M1398"/>
    <d v="2023-08-25T00:00:00"/>
    <x v="3"/>
    <x v="2"/>
    <s v="Arsenal"/>
    <n v="0"/>
    <x v="0"/>
    <x v="3"/>
    <n v="43268"/>
    <x v="8"/>
    <s v="C. Pawson"/>
    <x v="3"/>
  </r>
  <r>
    <s v="M1469"/>
    <d v="2023-08-26T00:00:00"/>
    <x v="4"/>
    <x v="15"/>
    <s v="Ac Milan"/>
    <n v="2"/>
    <x v="3"/>
    <x v="0"/>
    <n v="0"/>
    <x v="8"/>
    <s v="Anthony Taylor"/>
    <x v="0"/>
  </r>
  <r>
    <s v="M1078"/>
    <d v="2023-08-27T00:00:00"/>
    <x v="4"/>
    <x v="1"/>
    <s v="Real Madrid"/>
    <n v="0"/>
    <x v="0"/>
    <x v="1"/>
    <n v="81268"/>
    <x v="6"/>
    <s v="A. Taylor"/>
    <x v="4"/>
  </r>
  <r>
    <s v="M1597"/>
    <d v="2023-08-28T00:00:00"/>
    <x v="4"/>
    <x v="16"/>
    <s v="Real Madrid"/>
    <n v="0"/>
    <x v="0"/>
    <x v="1"/>
    <n v="72713"/>
    <x v="4"/>
    <s v="C. Pawson"/>
    <x v="1"/>
  </r>
  <r>
    <s v="M1046"/>
    <d v="2023-08-31T00:00:00"/>
    <x v="0"/>
    <x v="1"/>
    <s v="Bayern Munich"/>
    <n v="1"/>
    <x v="1"/>
    <x v="2"/>
    <n v="45085"/>
    <x v="0"/>
    <s v="Unknown"/>
    <x v="0"/>
  </r>
  <r>
    <s v="M1541"/>
    <d v="2023-09-03T00:00:00"/>
    <x v="0"/>
    <x v="9"/>
    <s v="Benfica"/>
    <n v="2"/>
    <x v="1"/>
    <x v="0"/>
    <n v="42723"/>
    <x v="1"/>
    <s v="Daniele Orsato"/>
    <x v="0"/>
  </r>
  <r>
    <s v="M1315"/>
    <d v="2023-09-08T00:00:00"/>
    <x v="4"/>
    <x v="5"/>
    <s v="Manchester City"/>
    <n v="2"/>
    <x v="1"/>
    <x v="0"/>
    <n v="77668"/>
    <x v="8"/>
    <s v="S. Marciniak"/>
    <x v="0"/>
  </r>
  <r>
    <s v="M1160"/>
    <d v="2023-09-09T00:00:00"/>
    <x v="0"/>
    <x v="6"/>
    <s v="Chelsea"/>
    <n v="1"/>
    <x v="3"/>
    <x v="0"/>
    <n v="31718"/>
    <x v="6"/>
    <s v="Unknown"/>
    <x v="0"/>
  </r>
  <r>
    <s v="M1374"/>
    <d v="2023-09-09T00:00:00"/>
    <x v="0"/>
    <x v="1"/>
    <s v="Manchester United"/>
    <n v="4"/>
    <x v="1"/>
    <x v="0"/>
    <n v="20555"/>
    <x v="13"/>
    <s v="S. Marciniak"/>
    <x v="1"/>
  </r>
  <r>
    <s v="M1055"/>
    <d v="2023-09-12T00:00:00"/>
    <x v="4"/>
    <x v="2"/>
    <s v="Unknown"/>
    <n v="0"/>
    <x v="3"/>
    <x v="2"/>
    <n v="18045"/>
    <x v="14"/>
    <s v="Daniele Orsato"/>
    <x v="4"/>
  </r>
  <r>
    <s v="M1561"/>
    <d v="2023-09-12T00:00:00"/>
    <x v="3"/>
    <x v="11"/>
    <s v="Atletico Madrid"/>
    <n v="2"/>
    <x v="0"/>
    <x v="2"/>
    <n v="31377"/>
    <x v="6"/>
    <s v="C. Pawson"/>
    <x v="3"/>
  </r>
  <r>
    <s v="M1069"/>
    <d v="2023-09-13T00:00:00"/>
    <x v="2"/>
    <x v="11"/>
    <s v="Chelsea"/>
    <n v="0"/>
    <x v="0"/>
    <x v="3"/>
    <n v="25044"/>
    <x v="14"/>
    <s v="Anthony Taylor"/>
    <x v="0"/>
  </r>
  <r>
    <s v="M1448"/>
    <d v="2023-09-18T00:00:00"/>
    <x v="0"/>
    <x v="18"/>
    <s v="Real Madrid"/>
    <n v="1"/>
    <x v="1"/>
    <x v="2"/>
    <n v="13664"/>
    <x v="4"/>
    <s v="Unknown"/>
    <x v="2"/>
  </r>
  <r>
    <s v="M1251"/>
    <d v="2023-09-25T00:00:00"/>
    <x v="3"/>
    <x v="6"/>
    <s v="Bayern Munich"/>
    <n v="2"/>
    <x v="1"/>
    <x v="0"/>
    <n v="66890"/>
    <x v="6"/>
    <s v="M. Oliver"/>
    <x v="0"/>
  </r>
  <r>
    <s v="M1345"/>
    <d v="2023-09-25T00:00:00"/>
    <x v="4"/>
    <x v="12"/>
    <s v="Manchester City"/>
    <n v="2"/>
    <x v="0"/>
    <x v="2"/>
    <n v="47237"/>
    <x v="8"/>
    <s v="M. Oliver"/>
    <x v="2"/>
  </r>
  <r>
    <s v="M1530"/>
    <d v="2023-09-25T00:00:00"/>
    <x v="1"/>
    <x v="5"/>
    <s v="Bayern Munich"/>
    <n v="2"/>
    <x v="1"/>
    <x v="0"/>
    <n v="22470"/>
    <x v="1"/>
    <s v="Daniele Orsato"/>
    <x v="4"/>
  </r>
  <r>
    <s v="M1327"/>
    <d v="2023-09-28T00:00:00"/>
    <x v="3"/>
    <x v="9"/>
    <s v="Liverpool"/>
    <n v="3"/>
    <x v="2"/>
    <x v="2"/>
    <n v="54482"/>
    <x v="4"/>
    <s v="Unknown"/>
    <x v="0"/>
  </r>
  <r>
    <s v="M1042"/>
    <d v="2023-10-05T00:00:00"/>
    <x v="1"/>
    <x v="12"/>
    <s v="Tottenham Hotspur"/>
    <n v="2"/>
    <x v="0"/>
    <x v="2"/>
    <n v="81885"/>
    <x v="13"/>
    <s v="Daniele Orsato"/>
    <x v="0"/>
  </r>
  <r>
    <s v="M1314"/>
    <d v="2023-10-14T00:00:00"/>
    <x v="0"/>
    <x v="1"/>
    <s v="Borussia Dortmund"/>
    <n v="1"/>
    <x v="0"/>
    <x v="1"/>
    <n v="21836"/>
    <x v="6"/>
    <s v="Unknown"/>
    <x v="2"/>
  </r>
  <r>
    <s v="M1182"/>
    <d v="2023-10-16T00:00:00"/>
    <x v="3"/>
    <x v="1"/>
    <s v="Chelsea"/>
    <n v="3"/>
    <x v="0"/>
    <x v="0"/>
    <n v="77676"/>
    <x v="3"/>
    <s v="Anthony Taylor"/>
    <x v="3"/>
  </r>
  <r>
    <s v="M1559"/>
    <d v="2023-10-16T00:00:00"/>
    <x v="0"/>
    <x v="13"/>
    <s v="Manchester United"/>
    <n v="3"/>
    <x v="1"/>
    <x v="0"/>
    <n v="67463"/>
    <x v="2"/>
    <s v="S. Marciniak"/>
    <x v="3"/>
  </r>
  <r>
    <s v="M1082"/>
    <d v="2023-10-18T00:00:00"/>
    <x v="3"/>
    <x v="13"/>
    <s v="Arsenal"/>
    <n v="3"/>
    <x v="1"/>
    <x v="0"/>
    <n v="77265"/>
    <x v="9"/>
    <s v="C. Pawson"/>
    <x v="4"/>
  </r>
  <r>
    <s v="M1424"/>
    <d v="2023-10-21T00:00:00"/>
    <x v="3"/>
    <x v="15"/>
    <s v="Chelsea"/>
    <n v="2"/>
    <x v="0"/>
    <x v="2"/>
    <n v="60555"/>
    <x v="9"/>
    <s v="Unknown"/>
    <x v="1"/>
  </r>
  <r>
    <s v="M1486"/>
    <d v="2023-10-25T00:00:00"/>
    <x v="3"/>
    <x v="2"/>
    <s v="Real Madrid"/>
    <n v="4"/>
    <x v="0"/>
    <x v="0"/>
    <n v="29389"/>
    <x v="3"/>
    <s v="Unknown"/>
    <x v="4"/>
  </r>
  <r>
    <s v="M1273"/>
    <d v="2023-10-28T00:00:00"/>
    <x v="3"/>
    <x v="8"/>
    <s v="Paris Saint-Germain"/>
    <n v="3"/>
    <x v="3"/>
    <x v="0"/>
    <n v="63232"/>
    <x v="7"/>
    <s v="Michael Oliver"/>
    <x v="2"/>
  </r>
  <r>
    <s v="M1551"/>
    <d v="2023-10-29T00:00:00"/>
    <x v="5"/>
    <x v="0"/>
    <s v="Tottenham Hotspur"/>
    <n v="3"/>
    <x v="3"/>
    <x v="0"/>
    <n v="63966"/>
    <x v="14"/>
    <s v="Unknown"/>
    <x v="1"/>
  </r>
  <r>
    <s v="M1373"/>
    <d v="2023-10-30T00:00:00"/>
    <x v="1"/>
    <x v="1"/>
    <s v="Manchester United"/>
    <n v="0"/>
    <x v="2"/>
    <x v="1"/>
    <n v="19515"/>
    <x v="9"/>
    <s v="C. Pawson"/>
    <x v="1"/>
  </r>
  <r>
    <s v="M1257"/>
    <d v="2023-10-31T00:00:00"/>
    <x v="2"/>
    <x v="6"/>
    <s v="Borussia Dortmund"/>
    <n v="3"/>
    <x v="0"/>
    <x v="0"/>
    <n v="69186"/>
    <x v="8"/>
    <s v="Unknown"/>
    <x v="0"/>
  </r>
  <r>
    <s v="M1516"/>
    <d v="2023-10-31T00:00:00"/>
    <x v="1"/>
    <x v="0"/>
    <s v="Tottenham Hotspur"/>
    <n v="2"/>
    <x v="1"/>
    <x v="0"/>
    <n v="72313"/>
    <x v="6"/>
    <s v="Unknown"/>
    <x v="0"/>
  </r>
  <r>
    <s v="M1423"/>
    <d v="2023-11-02T00:00:00"/>
    <x v="2"/>
    <x v="4"/>
    <s v="Manchester United"/>
    <n v="1"/>
    <x v="2"/>
    <x v="1"/>
    <n v="44594"/>
    <x v="3"/>
    <s v="Daniele Orsato"/>
    <x v="3"/>
  </r>
  <r>
    <s v="M1092"/>
    <d v="2023-11-04T00:00:00"/>
    <x v="0"/>
    <x v="6"/>
    <s v="Barcelona"/>
    <n v="2"/>
    <x v="4"/>
    <x v="1"/>
    <n v="17859"/>
    <x v="11"/>
    <s v="Michael Oliver"/>
    <x v="3"/>
  </r>
  <r>
    <s v="M1231"/>
    <d v="2023-11-04T00:00:00"/>
    <x v="2"/>
    <x v="8"/>
    <s v="Manchester City"/>
    <n v="4"/>
    <x v="6"/>
    <x v="1"/>
    <n v="35668"/>
    <x v="10"/>
    <s v="Unknown"/>
    <x v="3"/>
  </r>
  <r>
    <s v="M1395"/>
    <d v="2023-11-05T00:00:00"/>
    <x v="0"/>
    <x v="7"/>
    <s v="Juventus"/>
    <n v="1"/>
    <x v="3"/>
    <x v="0"/>
    <n v="47154"/>
    <x v="11"/>
    <s v="S. Marciniak"/>
    <x v="3"/>
  </r>
  <r>
    <s v="M1124"/>
    <d v="2023-11-06T00:00:00"/>
    <x v="4"/>
    <x v="14"/>
    <s v="Benfica"/>
    <n v="3"/>
    <x v="0"/>
    <x v="0"/>
    <n v="81548"/>
    <x v="0"/>
    <s v="Anthony Taylor"/>
    <x v="0"/>
  </r>
  <r>
    <s v="M1339"/>
    <d v="2023-11-07T00:00:00"/>
    <x v="0"/>
    <x v="6"/>
    <s v="Barcelona"/>
    <n v="2"/>
    <x v="1"/>
    <x v="0"/>
    <n v="53532"/>
    <x v="13"/>
    <s v="Anthony Taylor"/>
    <x v="0"/>
  </r>
  <r>
    <s v="M1142"/>
    <d v="2023-11-11T00:00:00"/>
    <x v="4"/>
    <x v="15"/>
    <s v="Paris Saint-Germain"/>
    <n v="1"/>
    <x v="2"/>
    <x v="1"/>
    <n v="63024"/>
    <x v="2"/>
    <s v="Unknown"/>
    <x v="3"/>
  </r>
  <r>
    <s v="M1556"/>
    <d v="2023-11-12T00:00:00"/>
    <x v="2"/>
    <x v="6"/>
    <s v="Barcelona"/>
    <n v="3"/>
    <x v="0"/>
    <x v="0"/>
    <n v="81289"/>
    <x v="3"/>
    <s v="Unknown"/>
    <x v="2"/>
  </r>
  <r>
    <s v="M1258"/>
    <d v="2023-11-14T00:00:00"/>
    <x v="2"/>
    <x v="8"/>
    <s v="Tottenham Hotspur"/>
    <n v="1"/>
    <x v="1"/>
    <x v="2"/>
    <n v="33204"/>
    <x v="2"/>
    <s v="Anthony Taylor"/>
    <x v="1"/>
  </r>
  <r>
    <s v="M1513"/>
    <d v="2023-11-18T00:00:00"/>
    <x v="0"/>
    <x v="14"/>
    <s v="Real Madrid"/>
    <n v="0"/>
    <x v="1"/>
    <x v="1"/>
    <n v="0"/>
    <x v="4"/>
    <s v="S. Marciniak"/>
    <x v="0"/>
  </r>
  <r>
    <s v="M1538"/>
    <d v="2023-11-18T00:00:00"/>
    <x v="1"/>
    <x v="10"/>
    <s v="Borussia Dortmund"/>
    <n v="2"/>
    <x v="0"/>
    <x v="2"/>
    <n v="39859"/>
    <x v="8"/>
    <s v="M. Oliver"/>
    <x v="2"/>
  </r>
  <r>
    <s v="M1338"/>
    <d v="2023-11-23T00:00:00"/>
    <x v="0"/>
    <x v="3"/>
    <s v="Juventus"/>
    <n v="1"/>
    <x v="3"/>
    <x v="0"/>
    <n v="8642"/>
    <x v="12"/>
    <s v="Unknown"/>
    <x v="1"/>
  </r>
  <r>
    <s v="M1566"/>
    <d v="2023-11-24T00:00:00"/>
    <x v="0"/>
    <x v="6"/>
    <s v="Borussia Dortmund"/>
    <n v="2"/>
    <x v="4"/>
    <x v="1"/>
    <n v="36100"/>
    <x v="1"/>
    <s v="Daniele Orsato"/>
    <x v="1"/>
  </r>
  <r>
    <s v="M1586"/>
    <d v="2023-11-27T00:00:00"/>
    <x v="0"/>
    <x v="13"/>
    <s v="Liverpool"/>
    <n v="2"/>
    <x v="1"/>
    <x v="0"/>
    <n v="44688"/>
    <x v="9"/>
    <s v="Anthony Taylor"/>
    <x v="0"/>
  </r>
  <r>
    <s v="M1028"/>
    <d v="2023-11-28T00:00:00"/>
    <x v="2"/>
    <x v="1"/>
    <s v="Ajax"/>
    <n v="1"/>
    <x v="1"/>
    <x v="2"/>
    <n v="61065"/>
    <x v="11"/>
    <s v="Michael Oliver"/>
    <x v="0"/>
  </r>
  <r>
    <s v="M1043"/>
    <d v="2023-11-28T00:00:00"/>
    <x v="0"/>
    <x v="3"/>
    <s v="Liverpool"/>
    <n v="3"/>
    <x v="6"/>
    <x v="1"/>
    <n v="62540"/>
    <x v="11"/>
    <s v="Michael Oliver"/>
    <x v="4"/>
  </r>
  <r>
    <s v="M1217"/>
    <d v="2023-12-07T00:00:00"/>
    <x v="5"/>
    <x v="10"/>
    <s v="Newcastle United"/>
    <n v="1"/>
    <x v="1"/>
    <x v="2"/>
    <n v="45377"/>
    <x v="14"/>
    <s v="Unknown"/>
    <x v="3"/>
  </r>
  <r>
    <s v="M1270"/>
    <d v="2023-12-10T00:00:00"/>
    <x v="4"/>
    <x v="14"/>
    <s v="Real Madrid"/>
    <n v="2"/>
    <x v="0"/>
    <x v="2"/>
    <n v="39869"/>
    <x v="4"/>
    <s v="S. Marciniak"/>
    <x v="3"/>
  </r>
  <r>
    <s v="M1282"/>
    <d v="2023-12-12T00:00:00"/>
    <x v="0"/>
    <x v="15"/>
    <s v="Barcelona"/>
    <n v="6"/>
    <x v="1"/>
    <x v="0"/>
    <n v="12652"/>
    <x v="5"/>
    <s v="Daniele Orsato"/>
    <x v="0"/>
  </r>
  <r>
    <s v="M1297"/>
    <d v="2023-12-19T00:00:00"/>
    <x v="3"/>
    <x v="0"/>
    <s v="Benfica"/>
    <n v="2"/>
    <x v="1"/>
    <x v="0"/>
    <n v="34130"/>
    <x v="14"/>
    <s v="Anthony Taylor"/>
    <x v="2"/>
  </r>
  <r>
    <s v="M1371"/>
    <d v="2023-12-22T00:00:00"/>
    <x v="0"/>
    <x v="1"/>
    <s v="Borussia Dortmund"/>
    <n v="5"/>
    <x v="1"/>
    <x v="0"/>
    <n v="47669"/>
    <x v="7"/>
    <s v="Michael Oliver"/>
    <x v="1"/>
  </r>
  <r>
    <s v="M1583"/>
    <d v="2023-12-23T00:00:00"/>
    <x v="2"/>
    <x v="6"/>
    <s v="Juventus"/>
    <n v="1"/>
    <x v="6"/>
    <x v="1"/>
    <n v="12892"/>
    <x v="12"/>
    <s v="Unknown"/>
    <x v="4"/>
  </r>
  <r>
    <s v="M1418"/>
    <d v="2023-12-24T00:00:00"/>
    <x v="1"/>
    <x v="18"/>
    <s v="Manchester United"/>
    <n v="0"/>
    <x v="3"/>
    <x v="2"/>
    <n v="34597"/>
    <x v="7"/>
    <s v="S. Marciniak"/>
    <x v="0"/>
  </r>
  <r>
    <s v="M1330"/>
    <d v="2023-12-25T00:00:00"/>
    <x v="2"/>
    <x v="12"/>
    <s v="Liverpool"/>
    <n v="0"/>
    <x v="1"/>
    <x v="1"/>
    <n v="59972"/>
    <x v="14"/>
    <s v="Michael Oliver"/>
    <x v="0"/>
  </r>
  <r>
    <s v="M1337"/>
    <d v="2023-12-26T00:00:00"/>
    <x v="0"/>
    <x v="7"/>
    <s v="Tottenham Hotspur"/>
    <n v="0"/>
    <x v="0"/>
    <x v="1"/>
    <n v="0"/>
    <x v="3"/>
    <s v="Unknown"/>
    <x v="4"/>
  </r>
  <r>
    <s v="M1481"/>
    <d v="2023-12-28T00:00:00"/>
    <x v="4"/>
    <x v="1"/>
    <s v="Manchester United"/>
    <n v="1"/>
    <x v="2"/>
    <x v="1"/>
    <n v="38063"/>
    <x v="8"/>
    <s v="S. Marciniak"/>
    <x v="4"/>
  </r>
  <r>
    <s v="M1501"/>
    <d v="2023-12-31T00:00:00"/>
    <x v="3"/>
    <x v="9"/>
    <s v="Ac Milan"/>
    <n v="1"/>
    <x v="1"/>
    <x v="2"/>
    <n v="15628"/>
    <x v="13"/>
    <s v="Unknown"/>
    <x v="0"/>
  </r>
  <r>
    <s v="M1116"/>
    <d v="2024-01-03T00:00:00"/>
    <x v="4"/>
    <x v="15"/>
    <s v="Bayern Munich"/>
    <n v="2"/>
    <x v="0"/>
    <x v="2"/>
    <n v="46200"/>
    <x v="8"/>
    <s v="Unknown"/>
    <x v="2"/>
  </r>
  <r>
    <s v="M1242"/>
    <d v="2024-01-09T00:00:00"/>
    <x v="1"/>
    <x v="15"/>
    <s v="Bayern Munich"/>
    <n v="2"/>
    <x v="3"/>
    <x v="0"/>
    <n v="47169"/>
    <x v="10"/>
    <s v="A. Taylor"/>
    <x v="2"/>
  </r>
  <r>
    <s v="M1307"/>
    <d v="2024-01-12T00:00:00"/>
    <x v="3"/>
    <x v="1"/>
    <s v="Liverpool"/>
    <n v="1"/>
    <x v="0"/>
    <x v="1"/>
    <n v="37471"/>
    <x v="14"/>
    <s v="S. Marciniak"/>
    <x v="0"/>
  </r>
  <r>
    <s v="M1431"/>
    <d v="2024-01-12T00:00:00"/>
    <x v="0"/>
    <x v="6"/>
    <s v="Borussia Dortmund"/>
    <n v="2"/>
    <x v="0"/>
    <x v="2"/>
    <n v="52492"/>
    <x v="8"/>
    <s v="Anthony Taylor"/>
    <x v="2"/>
  </r>
  <r>
    <s v="M1531"/>
    <d v="2024-01-18T00:00:00"/>
    <x v="1"/>
    <x v="8"/>
    <s v="Chelsea"/>
    <n v="3"/>
    <x v="1"/>
    <x v="0"/>
    <n v="44618"/>
    <x v="8"/>
    <s v="Daniele Orsato"/>
    <x v="2"/>
  </r>
  <r>
    <s v="M1355"/>
    <d v="2024-01-21T00:00:00"/>
    <x v="0"/>
    <x v="10"/>
    <s v="Manchester United"/>
    <n v="2"/>
    <x v="0"/>
    <x v="2"/>
    <n v="73531"/>
    <x v="14"/>
    <s v="Unknown"/>
    <x v="3"/>
  </r>
  <r>
    <s v="M1515"/>
    <d v="2024-01-22T00:00:00"/>
    <x v="4"/>
    <x v="18"/>
    <s v="Chelsea"/>
    <n v="2"/>
    <x v="0"/>
    <x v="2"/>
    <n v="58113"/>
    <x v="0"/>
    <s v="Anthony Taylor"/>
    <x v="4"/>
  </r>
  <r>
    <s v="M1029"/>
    <d v="2024-01-26T00:00:00"/>
    <x v="2"/>
    <x v="1"/>
    <s v="Tottenham Hotspur"/>
    <n v="4"/>
    <x v="2"/>
    <x v="0"/>
    <n v="63944"/>
    <x v="2"/>
    <s v="Unknown"/>
    <x v="4"/>
  </r>
  <r>
    <s v="M1548"/>
    <d v="2024-01-26T00:00:00"/>
    <x v="2"/>
    <x v="3"/>
    <s v="Chelsea"/>
    <n v="1"/>
    <x v="1"/>
    <x v="2"/>
    <n v="55165"/>
    <x v="1"/>
    <s v="Anthony Taylor"/>
    <x v="1"/>
  </r>
  <r>
    <s v="M1354"/>
    <d v="2024-02-02T00:00:00"/>
    <x v="0"/>
    <x v="5"/>
    <s v="Liverpool"/>
    <n v="2"/>
    <x v="3"/>
    <x v="0"/>
    <n v="52410"/>
    <x v="6"/>
    <s v="Daniele Orsato"/>
    <x v="3"/>
  </r>
  <r>
    <s v="M1426"/>
    <d v="2024-02-18T00:00:00"/>
    <x v="2"/>
    <x v="1"/>
    <s v="Manchester City"/>
    <n v="2"/>
    <x v="2"/>
    <x v="1"/>
    <n v="47663"/>
    <x v="12"/>
    <s v="Michael Oliver"/>
    <x v="0"/>
  </r>
  <r>
    <s v="M1004"/>
    <d v="2024-02-21T00:00:00"/>
    <x v="1"/>
    <x v="15"/>
    <s v="Manchester City"/>
    <n v="1"/>
    <x v="4"/>
    <x v="1"/>
    <n v="21896"/>
    <x v="5"/>
    <s v="Daniele Orsato"/>
    <x v="1"/>
  </r>
  <r>
    <s v="M1147"/>
    <d v="2024-02-22T00:00:00"/>
    <x v="3"/>
    <x v="6"/>
    <s v="Juventus"/>
    <n v="2"/>
    <x v="2"/>
    <x v="1"/>
    <n v="81472"/>
    <x v="11"/>
    <s v="C. Pawson"/>
    <x v="1"/>
  </r>
  <r>
    <s v="M1130"/>
    <d v="2024-02-24T00:00:00"/>
    <x v="4"/>
    <x v="9"/>
    <s v="Newcastle United"/>
    <n v="0"/>
    <x v="1"/>
    <x v="1"/>
    <n v="66787"/>
    <x v="12"/>
    <s v="S. Marciniak"/>
    <x v="1"/>
  </r>
  <r>
    <s v="M1360"/>
    <d v="2024-03-01T00:00:00"/>
    <x v="0"/>
    <x v="12"/>
    <s v="Newcastle United"/>
    <n v="3"/>
    <x v="1"/>
    <x v="0"/>
    <n v="80994"/>
    <x v="14"/>
    <s v="M. Oliver"/>
    <x v="3"/>
  </r>
  <r>
    <s v="M1091"/>
    <d v="2024-03-02T00:00:00"/>
    <x v="2"/>
    <x v="2"/>
    <s v="Borussia Dortmund"/>
    <n v="2"/>
    <x v="1"/>
    <x v="0"/>
    <n v="0"/>
    <x v="6"/>
    <s v="A. Taylor"/>
    <x v="0"/>
  </r>
  <r>
    <s v="M1167"/>
    <d v="2024-03-02T00:00:00"/>
    <x v="3"/>
    <x v="5"/>
    <s v="Ajax"/>
    <n v="1"/>
    <x v="2"/>
    <x v="1"/>
    <n v="15363"/>
    <x v="6"/>
    <s v="S. Marciniak"/>
    <x v="1"/>
  </r>
  <r>
    <s v="M1490"/>
    <d v="2024-03-02T00:00:00"/>
    <x v="1"/>
    <x v="0"/>
    <s v="Barcelona"/>
    <n v="0"/>
    <x v="0"/>
    <x v="1"/>
    <n v="75911"/>
    <x v="6"/>
    <s v="Unknown"/>
    <x v="0"/>
  </r>
  <r>
    <s v="M1060"/>
    <d v="2024-03-08T00:00:00"/>
    <x v="3"/>
    <x v="15"/>
    <s v="Manchester United"/>
    <n v="1"/>
    <x v="1"/>
    <x v="2"/>
    <n v="19061"/>
    <x v="1"/>
    <s v="Michael Oliver"/>
    <x v="2"/>
  </r>
  <r>
    <s v="M1101"/>
    <d v="2024-03-12T00:00:00"/>
    <x v="0"/>
    <x v="6"/>
    <s v="Ajax"/>
    <n v="1"/>
    <x v="0"/>
    <x v="1"/>
    <n v="12283"/>
    <x v="8"/>
    <s v="A. Taylor"/>
    <x v="4"/>
  </r>
  <r>
    <s v="M1480"/>
    <d v="2024-03-12T00:00:00"/>
    <x v="4"/>
    <x v="0"/>
    <s v="Real Madrid"/>
    <n v="2"/>
    <x v="3"/>
    <x v="0"/>
    <n v="59297"/>
    <x v="3"/>
    <s v="S. Marciniak"/>
    <x v="0"/>
  </r>
  <r>
    <s v="M1007"/>
    <d v="2024-03-15T00:00:00"/>
    <x v="0"/>
    <x v="7"/>
    <s v="Chelsea"/>
    <n v="5"/>
    <x v="2"/>
    <x v="0"/>
    <n v="58323"/>
    <x v="7"/>
    <s v="Unknown"/>
    <x v="4"/>
  </r>
  <r>
    <s v="M1300"/>
    <d v="2024-03-19T00:00:00"/>
    <x v="3"/>
    <x v="11"/>
    <s v="Manchester City"/>
    <n v="2"/>
    <x v="3"/>
    <x v="3"/>
    <n v="40275"/>
    <x v="0"/>
    <s v="Daniele Orsato"/>
    <x v="3"/>
  </r>
  <r>
    <s v="M1401"/>
    <d v="2024-03-20T00:00:00"/>
    <x v="0"/>
    <x v="13"/>
    <s v="Bayern Munich"/>
    <n v="5"/>
    <x v="1"/>
    <x v="0"/>
    <n v="48916"/>
    <x v="6"/>
    <s v="Daniele Orsato"/>
    <x v="0"/>
  </r>
  <r>
    <s v="M1467"/>
    <d v="2024-03-20T00:00:00"/>
    <x v="0"/>
    <x v="18"/>
    <s v="Bayern Munich"/>
    <n v="2"/>
    <x v="1"/>
    <x v="0"/>
    <n v="14500"/>
    <x v="1"/>
    <s v="Unknown"/>
    <x v="2"/>
  </r>
  <r>
    <s v="M1084"/>
    <d v="2024-03-21T00:00:00"/>
    <x v="4"/>
    <x v="1"/>
    <s v="Barcelona"/>
    <n v="2"/>
    <x v="3"/>
    <x v="0"/>
    <n v="21946"/>
    <x v="13"/>
    <s v="M. Oliver"/>
    <x v="0"/>
  </r>
  <r>
    <s v="M1390"/>
    <d v="2024-03-26T00:00:00"/>
    <x v="3"/>
    <x v="2"/>
    <s v="Borussia Dortmund"/>
    <n v="0"/>
    <x v="3"/>
    <x v="3"/>
    <n v="59827"/>
    <x v="13"/>
    <s v="M. Oliver"/>
    <x v="2"/>
  </r>
  <r>
    <s v="M1400"/>
    <d v="2024-03-26T00:00:00"/>
    <x v="4"/>
    <x v="15"/>
    <s v="Manchester United"/>
    <n v="3"/>
    <x v="0"/>
    <x v="0"/>
    <n v="34671"/>
    <x v="5"/>
    <s v="M. Oliver"/>
    <x v="2"/>
  </r>
  <r>
    <s v="M1247"/>
    <d v="2024-03-27T00:00:00"/>
    <x v="0"/>
    <x v="6"/>
    <s v="Bayern Munich"/>
    <n v="1"/>
    <x v="1"/>
    <x v="2"/>
    <n v="71176"/>
    <x v="1"/>
    <s v="Unknown"/>
    <x v="4"/>
  </r>
  <r>
    <s v="M1172"/>
    <d v="2024-03-28T00:00:00"/>
    <x v="3"/>
    <x v="6"/>
    <s v="Manchester United"/>
    <n v="3"/>
    <x v="3"/>
    <x v="0"/>
    <n v="77513"/>
    <x v="11"/>
    <s v="S. Marciniak"/>
    <x v="0"/>
  </r>
  <r>
    <s v="M1083"/>
    <d v="2024-03-29T00:00:00"/>
    <x v="0"/>
    <x v="18"/>
    <s v="Arsenal"/>
    <n v="1"/>
    <x v="3"/>
    <x v="0"/>
    <n v="78510"/>
    <x v="1"/>
    <s v="C. Pawson"/>
    <x v="1"/>
  </r>
  <r>
    <s v="M1491"/>
    <d v="2024-03-30T00:00:00"/>
    <x v="3"/>
    <x v="10"/>
    <s v="Manchester United"/>
    <n v="4"/>
    <x v="1"/>
    <x v="0"/>
    <n v="19293"/>
    <x v="5"/>
    <s v="Michael Oliver"/>
    <x v="0"/>
  </r>
  <r>
    <s v="M1223"/>
    <d v="2024-04-04T00:00:00"/>
    <x v="3"/>
    <x v="5"/>
    <s v="Atletico Madrid"/>
    <n v="2"/>
    <x v="0"/>
    <x v="2"/>
    <n v="78274"/>
    <x v="14"/>
    <s v="C. Pawson"/>
    <x v="0"/>
  </r>
  <r>
    <s v="M1202"/>
    <d v="2024-04-06T00:00:00"/>
    <x v="0"/>
    <x v="8"/>
    <s v="Manchester City"/>
    <n v="3"/>
    <x v="0"/>
    <x v="0"/>
    <n v="55881"/>
    <x v="4"/>
    <s v="A. Taylor"/>
    <x v="1"/>
  </r>
  <r>
    <s v="M1430"/>
    <d v="2024-04-06T00:00:00"/>
    <x v="3"/>
    <x v="5"/>
    <s v="Real Madrid"/>
    <n v="3"/>
    <x v="2"/>
    <x v="2"/>
    <n v="32241"/>
    <x v="7"/>
    <s v="Anthony Taylor"/>
    <x v="0"/>
  </r>
  <r>
    <s v="M1299"/>
    <d v="2024-04-07T00:00:00"/>
    <x v="2"/>
    <x v="9"/>
    <s v="Liverpool"/>
    <n v="1"/>
    <x v="4"/>
    <x v="1"/>
    <n v="71284"/>
    <x v="0"/>
    <s v="Michael Oliver"/>
    <x v="0"/>
  </r>
  <r>
    <s v="M1388"/>
    <d v="2024-04-10T00:00:00"/>
    <x v="4"/>
    <x v="6"/>
    <s v="Manchester City"/>
    <n v="1"/>
    <x v="6"/>
    <x v="1"/>
    <n v="72358"/>
    <x v="8"/>
    <s v="S. Marciniak"/>
    <x v="2"/>
  </r>
  <r>
    <s v="M1209"/>
    <d v="2024-04-12T00:00:00"/>
    <x v="5"/>
    <x v="6"/>
    <s v="Bayern Munich"/>
    <n v="2"/>
    <x v="3"/>
    <x v="0"/>
    <n v="28710"/>
    <x v="1"/>
    <s v="S. Marciniak"/>
    <x v="0"/>
  </r>
  <r>
    <s v="M1414"/>
    <d v="2024-04-12T00:00:00"/>
    <x v="0"/>
    <x v="18"/>
    <s v="Inter Milan"/>
    <n v="1"/>
    <x v="2"/>
    <x v="1"/>
    <n v="38378"/>
    <x v="1"/>
    <s v="C. Pawson"/>
    <x v="4"/>
  </r>
  <r>
    <s v="M1440"/>
    <d v="2024-04-18T00:00:00"/>
    <x v="2"/>
    <x v="10"/>
    <s v="Barcelona"/>
    <n v="1"/>
    <x v="2"/>
    <x v="1"/>
    <n v="46619"/>
    <x v="14"/>
    <s v="Unknown"/>
    <x v="0"/>
  </r>
  <r>
    <s v="M1081"/>
    <d v="2024-04-19T00:00:00"/>
    <x v="2"/>
    <x v="15"/>
    <s v="Chelsea"/>
    <n v="1"/>
    <x v="3"/>
    <x v="0"/>
    <n v="49859"/>
    <x v="5"/>
    <s v="Unknown"/>
    <x v="4"/>
  </r>
  <r>
    <s v="M1432"/>
    <d v="2024-04-20T00:00:00"/>
    <x v="1"/>
    <x v="5"/>
    <s v="Chelsea"/>
    <n v="1"/>
    <x v="2"/>
    <x v="1"/>
    <n v="42652"/>
    <x v="9"/>
    <s v="C. Pawson"/>
    <x v="0"/>
  </r>
  <r>
    <s v="M1292"/>
    <d v="2024-04-23T00:00:00"/>
    <x v="0"/>
    <x v="1"/>
    <s v="Manchester United"/>
    <n v="1"/>
    <x v="2"/>
    <x v="1"/>
    <n v="25867"/>
    <x v="5"/>
    <s v="Michael Oliver"/>
    <x v="0"/>
  </r>
  <r>
    <s v="M1121"/>
    <d v="2024-04-24T00:00:00"/>
    <x v="1"/>
    <x v="7"/>
    <s v="Manchester United"/>
    <n v="3"/>
    <x v="3"/>
    <x v="0"/>
    <n v="25724"/>
    <x v="5"/>
    <s v="C. Pawson"/>
    <x v="3"/>
  </r>
  <r>
    <s v="M1148"/>
    <d v="2024-04-24T00:00:00"/>
    <x v="0"/>
    <x v="13"/>
    <s v="Chelsea"/>
    <n v="4"/>
    <x v="1"/>
    <x v="0"/>
    <n v="27276"/>
    <x v="9"/>
    <s v="Daniele Orsato"/>
    <x v="1"/>
  </r>
  <r>
    <s v="M1175"/>
    <d v="2024-04-25T00:00:00"/>
    <x v="2"/>
    <x v="16"/>
    <s v="Chelsea"/>
    <n v="5"/>
    <x v="2"/>
    <x v="0"/>
    <n v="56713"/>
    <x v="8"/>
    <s v="Unknown"/>
    <x v="0"/>
  </r>
  <r>
    <s v="M1505"/>
    <d v="2024-05-03T00:00:00"/>
    <x v="4"/>
    <x v="13"/>
    <s v="Manchester United"/>
    <n v="1"/>
    <x v="1"/>
    <x v="2"/>
    <n v="44764"/>
    <x v="13"/>
    <s v="S. Marciniak"/>
    <x v="2"/>
  </r>
  <r>
    <s v="M1286"/>
    <d v="2024-05-06T00:00:00"/>
    <x v="0"/>
    <x v="17"/>
    <s v="Paris Saint-Germain"/>
    <n v="0"/>
    <x v="1"/>
    <x v="1"/>
    <n v="60705"/>
    <x v="5"/>
    <s v="C. Pawson"/>
    <x v="2"/>
  </r>
  <r>
    <s v="M1545"/>
    <d v="2024-05-08T00:00:00"/>
    <x v="3"/>
    <x v="3"/>
    <s v="Chelsea"/>
    <n v="1"/>
    <x v="1"/>
    <x v="2"/>
    <n v="0"/>
    <x v="2"/>
    <s v="C. Pawson"/>
    <x v="2"/>
  </r>
  <r>
    <s v="M1383"/>
    <d v="2024-05-13T00:00:00"/>
    <x v="3"/>
    <x v="0"/>
    <s v="Barcelona"/>
    <n v="3"/>
    <x v="0"/>
    <x v="0"/>
    <n v="12197"/>
    <x v="2"/>
    <s v="S. Marciniak"/>
    <x v="4"/>
  </r>
  <r>
    <s v="M1180"/>
    <d v="2024-05-14T00:00:00"/>
    <x v="1"/>
    <x v="0"/>
    <s v="Manchester United"/>
    <n v="4"/>
    <x v="2"/>
    <x v="0"/>
    <n v="27642"/>
    <x v="1"/>
    <s v="M. Oliver"/>
    <x v="3"/>
  </r>
  <r>
    <s v="M1380"/>
    <d v="2024-05-15T00:00:00"/>
    <x v="2"/>
    <x v="13"/>
    <s v="Manchester United"/>
    <n v="2"/>
    <x v="3"/>
    <x v="0"/>
    <n v="16179"/>
    <x v="6"/>
    <s v="Unknown"/>
    <x v="0"/>
  </r>
  <r>
    <s v="M1415"/>
    <d v="2024-05-19T00:00:00"/>
    <x v="0"/>
    <x v="15"/>
    <s v="Juventus"/>
    <n v="1"/>
    <x v="1"/>
    <x v="2"/>
    <n v="33133"/>
    <x v="14"/>
    <s v="A. Taylor"/>
    <x v="0"/>
  </r>
  <r>
    <s v="M1107"/>
    <d v="2024-05-21T00:00:00"/>
    <x v="2"/>
    <x v="5"/>
    <s v="Newcastle United"/>
    <n v="3"/>
    <x v="6"/>
    <x v="1"/>
    <n v="58696"/>
    <x v="12"/>
    <s v="Daniele Orsato"/>
    <x v="1"/>
  </r>
  <r>
    <s v="M1334"/>
    <d v="2024-05-23T00:00:00"/>
    <x v="3"/>
    <x v="10"/>
    <s v="Chelsea"/>
    <n v="3"/>
    <x v="1"/>
    <x v="0"/>
    <n v="25617"/>
    <x v="9"/>
    <s v="Unknown"/>
    <x v="3"/>
  </r>
  <r>
    <s v="M1328"/>
    <d v="2024-05-24T00:00:00"/>
    <x v="3"/>
    <x v="8"/>
    <s v="Arsenal"/>
    <n v="5"/>
    <x v="1"/>
    <x v="0"/>
    <n v="43541"/>
    <x v="13"/>
    <s v="Unknown"/>
    <x v="4"/>
  </r>
  <r>
    <s v="M1294"/>
    <d v="2024-05-26T00:00:00"/>
    <x v="4"/>
    <x v="9"/>
    <s v="Inter Milan"/>
    <n v="3"/>
    <x v="3"/>
    <x v="0"/>
    <n v="59329"/>
    <x v="6"/>
    <s v="Anthony Taylor"/>
    <x v="4"/>
  </r>
  <r>
    <s v="M1245"/>
    <d v="2024-06-06T00:00:00"/>
    <x v="0"/>
    <x v="14"/>
    <s v="Chelsea"/>
    <n v="1"/>
    <x v="0"/>
    <x v="1"/>
    <n v="42782"/>
    <x v="8"/>
    <s v="S. Marciniak"/>
    <x v="4"/>
  </r>
  <r>
    <s v="M1050"/>
    <d v="2024-06-07T00:00:00"/>
    <x v="0"/>
    <x v="11"/>
    <s v="Bayern Munich"/>
    <n v="2"/>
    <x v="0"/>
    <x v="2"/>
    <n v="47863"/>
    <x v="4"/>
    <s v="C. Pawson"/>
    <x v="4"/>
  </r>
  <r>
    <s v="M1413"/>
    <d v="2024-06-09T00:00:00"/>
    <x v="4"/>
    <x v="5"/>
    <s v="Paris Saint-Germain"/>
    <n v="2"/>
    <x v="3"/>
    <x v="0"/>
    <n v="43703"/>
    <x v="0"/>
    <s v="M. Oliver"/>
    <x v="3"/>
  </r>
  <r>
    <s v="M1506"/>
    <d v="2024-06-10T00:00:00"/>
    <x v="1"/>
    <x v="7"/>
    <s v="Borussia Dortmund"/>
    <n v="3"/>
    <x v="1"/>
    <x v="0"/>
    <n v="48538"/>
    <x v="14"/>
    <s v="Unknown"/>
    <x v="1"/>
  </r>
  <r>
    <s v="M1269"/>
    <d v="2024-06-12T00:00:00"/>
    <x v="2"/>
    <x v="10"/>
    <s v="Arsenal"/>
    <n v="1"/>
    <x v="4"/>
    <x v="1"/>
    <n v="33406"/>
    <x v="2"/>
    <s v="Anthony Taylor"/>
    <x v="4"/>
  </r>
  <r>
    <s v="M1213"/>
    <d v="2024-06-27T00:00:00"/>
    <x v="1"/>
    <x v="15"/>
    <s v="Arsenal"/>
    <n v="2"/>
    <x v="1"/>
    <x v="0"/>
    <n v="53768"/>
    <x v="3"/>
    <s v="Michael Oliver"/>
    <x v="3"/>
  </r>
  <r>
    <s v="M1465"/>
    <d v="2024-06-29T00:00:00"/>
    <x v="2"/>
    <x v="7"/>
    <s v="Newcastle United"/>
    <n v="1"/>
    <x v="3"/>
    <x v="0"/>
    <n v="68066"/>
    <x v="0"/>
    <s v="Unknown"/>
    <x v="0"/>
  </r>
  <r>
    <s v="M1473"/>
    <d v="2024-07-03T00:00:00"/>
    <x v="0"/>
    <x v="5"/>
    <s v="Benfica"/>
    <n v="5"/>
    <x v="1"/>
    <x v="0"/>
    <n v="26611"/>
    <x v="3"/>
    <s v="Unknown"/>
    <x v="3"/>
  </r>
  <r>
    <s v="M1564"/>
    <d v="2024-07-04T00:00:00"/>
    <x v="2"/>
    <x v="1"/>
    <s v="Arsenal"/>
    <n v="1"/>
    <x v="1"/>
    <x v="2"/>
    <n v="43558"/>
    <x v="9"/>
    <s v="Daniele Orsato"/>
    <x v="3"/>
  </r>
  <r>
    <s v="M1005"/>
    <d v="2024-07-05T00:00:00"/>
    <x v="4"/>
    <x v="5"/>
    <s v="Paris Saint-Germain"/>
    <n v="2"/>
    <x v="2"/>
    <x v="1"/>
    <n v="78784"/>
    <x v="5"/>
    <s v="Daniele Orsato"/>
    <x v="1"/>
  </r>
  <r>
    <s v="M1500"/>
    <d v="2024-07-05T00:00:00"/>
    <x v="3"/>
    <x v="2"/>
    <s v="Arsenal"/>
    <n v="1"/>
    <x v="4"/>
    <x v="1"/>
    <n v="27171"/>
    <x v="1"/>
    <s v="Michael Oliver"/>
    <x v="2"/>
  </r>
  <r>
    <s v="M1264"/>
    <d v="2024-07-06T00:00:00"/>
    <x v="3"/>
    <x v="10"/>
    <s v="Manchester United"/>
    <n v="4"/>
    <x v="0"/>
    <x v="0"/>
    <n v="50277"/>
    <x v="10"/>
    <s v="Daniele Orsato"/>
    <x v="0"/>
  </r>
  <r>
    <s v="M1233"/>
    <d v="2024-07-07T00:00:00"/>
    <x v="2"/>
    <x v="12"/>
    <s v="Tottenham Hotspur"/>
    <n v="4"/>
    <x v="2"/>
    <x v="0"/>
    <n v="14013"/>
    <x v="7"/>
    <s v="Unknown"/>
    <x v="3"/>
  </r>
  <r>
    <s v="M1117"/>
    <d v="2024-07-08T00:00:00"/>
    <x v="4"/>
    <x v="1"/>
    <s v="Newcastle United"/>
    <n v="5"/>
    <x v="1"/>
    <x v="0"/>
    <n v="41280"/>
    <x v="14"/>
    <s v="C. Pawson"/>
    <x v="2"/>
  </r>
  <r>
    <s v="M1475"/>
    <d v="2024-07-08T00:00:00"/>
    <x v="0"/>
    <x v="3"/>
    <s v="Manchester City"/>
    <n v="4"/>
    <x v="3"/>
    <x v="0"/>
    <n v="74546"/>
    <x v="4"/>
    <s v="S. Marciniak"/>
    <x v="4"/>
  </r>
  <r>
    <s v="M1487"/>
    <d v="2024-07-16T00:00:00"/>
    <x v="1"/>
    <x v="5"/>
    <s v="Manchester United"/>
    <n v="1"/>
    <x v="1"/>
    <x v="2"/>
    <n v="51893"/>
    <x v="0"/>
    <s v="C. Pawson"/>
    <x v="2"/>
  </r>
  <r>
    <s v="M1169"/>
    <d v="2024-07-17T00:00:00"/>
    <x v="4"/>
    <x v="7"/>
    <s v="Liverpool"/>
    <n v="1"/>
    <x v="0"/>
    <x v="1"/>
    <n v="25401"/>
    <x v="9"/>
    <s v="Anthony Taylor"/>
    <x v="3"/>
  </r>
  <r>
    <s v="M1120"/>
    <d v="2024-07-22T00:00:00"/>
    <x v="2"/>
    <x v="9"/>
    <s v="Inter Milan"/>
    <n v="1"/>
    <x v="1"/>
    <x v="2"/>
    <n v="26427"/>
    <x v="8"/>
    <s v="Anthony Taylor"/>
    <x v="4"/>
  </r>
  <r>
    <s v="M1476"/>
    <d v="2024-07-22T00:00:00"/>
    <x v="4"/>
    <x v="6"/>
    <s v="Juventus"/>
    <n v="2"/>
    <x v="0"/>
    <x v="2"/>
    <n v="78479"/>
    <x v="7"/>
    <s v="Daniele Orsato"/>
    <x v="1"/>
  </r>
  <r>
    <s v="M1025"/>
    <d v="2024-07-26T00:00:00"/>
    <x v="0"/>
    <x v="7"/>
    <s v="Newcastle United"/>
    <n v="1"/>
    <x v="1"/>
    <x v="2"/>
    <n v="21399"/>
    <x v="11"/>
    <s v="Daniele Orsato"/>
    <x v="4"/>
  </r>
  <r>
    <s v="M1290"/>
    <d v="2024-07-29T00:00:00"/>
    <x v="0"/>
    <x v="10"/>
    <s v="Chelsea"/>
    <n v="2"/>
    <x v="1"/>
    <x v="0"/>
    <n v="58316"/>
    <x v="5"/>
    <s v="C. Pawson"/>
    <x v="2"/>
  </r>
  <r>
    <s v="M1379"/>
    <d v="2024-08-05T00:00:00"/>
    <x v="1"/>
    <x v="5"/>
    <s v="Inter Milan"/>
    <n v="2"/>
    <x v="2"/>
    <x v="1"/>
    <n v="74349"/>
    <x v="0"/>
    <s v="Daniele Orsato"/>
    <x v="3"/>
  </r>
  <r>
    <s v="M1100"/>
    <d v="2024-08-10T00:00:00"/>
    <x v="4"/>
    <x v="13"/>
    <s v="Real Madrid"/>
    <n v="2"/>
    <x v="1"/>
    <x v="0"/>
    <n v="15264"/>
    <x v="12"/>
    <s v="C. Pawson"/>
    <x v="0"/>
  </r>
  <r>
    <s v="M1074"/>
    <d v="2024-08-11T00:00:00"/>
    <x v="0"/>
    <x v="6"/>
    <s v="Newcastle United"/>
    <n v="2"/>
    <x v="2"/>
    <x v="1"/>
    <n v="65580"/>
    <x v="1"/>
    <s v="Unknown"/>
    <x v="4"/>
  </r>
  <r>
    <s v="M1137"/>
    <d v="2024-08-11T00:00:00"/>
    <x v="3"/>
    <x v="15"/>
    <s v="Juventus"/>
    <n v="2"/>
    <x v="3"/>
    <x v="0"/>
    <n v="37538"/>
    <x v="9"/>
    <s v="M. Oliver"/>
    <x v="4"/>
  </r>
  <r>
    <s v="M1171"/>
    <d v="2024-08-12T00:00:00"/>
    <x v="1"/>
    <x v="5"/>
    <s v="Manchester United"/>
    <n v="1"/>
    <x v="4"/>
    <x v="1"/>
    <n v="72236"/>
    <x v="12"/>
    <s v="A. Taylor"/>
    <x v="2"/>
  </r>
  <r>
    <s v="M1018"/>
    <d v="2024-08-13T00:00:00"/>
    <x v="2"/>
    <x v="1"/>
    <s v="Liverpool"/>
    <n v="3"/>
    <x v="2"/>
    <x v="2"/>
    <n v="39885"/>
    <x v="11"/>
    <s v="A. Taylor"/>
    <x v="0"/>
  </r>
  <r>
    <s v="M1565"/>
    <d v="2024-08-13T00:00:00"/>
    <x v="4"/>
    <x v="12"/>
    <s v="Newcastle United"/>
    <n v="3"/>
    <x v="0"/>
    <x v="0"/>
    <n v="62762"/>
    <x v="1"/>
    <s v="Michael Oliver"/>
    <x v="1"/>
  </r>
  <r>
    <s v="M1594"/>
    <d v="2024-08-15T00:00:00"/>
    <x v="0"/>
    <x v="9"/>
    <s v="Paris Saint-Germain"/>
    <n v="3"/>
    <x v="1"/>
    <x v="0"/>
    <n v="79142"/>
    <x v="13"/>
    <s v="Daniele Orsato"/>
    <x v="2"/>
  </r>
  <r>
    <s v="M1197"/>
    <d v="2024-08-20T00:00:00"/>
    <x v="0"/>
    <x v="14"/>
    <s v="Bayern Munich"/>
    <n v="1"/>
    <x v="4"/>
    <x v="1"/>
    <n v="28611"/>
    <x v="8"/>
    <s v="Unknown"/>
    <x v="3"/>
  </r>
  <r>
    <s v="M1224"/>
    <d v="2024-08-24T00:00:00"/>
    <x v="4"/>
    <x v="18"/>
    <s v="Manchester United"/>
    <n v="1"/>
    <x v="3"/>
    <x v="0"/>
    <n v="48827"/>
    <x v="6"/>
    <s v="M. Oliver"/>
    <x v="0"/>
  </r>
  <r>
    <s v="M1080"/>
    <d v="2024-08-25T00:00:00"/>
    <x v="4"/>
    <x v="7"/>
    <s v="Barcelona"/>
    <n v="2"/>
    <x v="0"/>
    <x v="2"/>
    <n v="80640"/>
    <x v="0"/>
    <s v="S. Marciniak"/>
    <x v="4"/>
  </r>
  <r>
    <s v="M1332"/>
    <d v="2024-08-25T00:00:00"/>
    <x v="3"/>
    <x v="17"/>
    <s v="Paris Saint-Germain"/>
    <n v="2"/>
    <x v="1"/>
    <x v="0"/>
    <n v="8824"/>
    <x v="13"/>
    <s v="Anthony Taylor"/>
    <x v="4"/>
  </r>
  <r>
    <s v="M1041"/>
    <d v="2024-08-26T00:00:00"/>
    <x v="0"/>
    <x v="1"/>
    <s v="Ac Milan"/>
    <n v="2"/>
    <x v="3"/>
    <x v="0"/>
    <n v="0"/>
    <x v="7"/>
    <s v="S. Marciniak"/>
    <x v="1"/>
  </r>
  <r>
    <s v="M1150"/>
    <d v="2024-08-27T00:00:00"/>
    <x v="3"/>
    <x v="2"/>
    <s v="Arsenal"/>
    <n v="1"/>
    <x v="1"/>
    <x v="2"/>
    <n v="19635"/>
    <x v="11"/>
    <s v="Unknown"/>
    <x v="2"/>
  </r>
  <r>
    <s v="M1581"/>
    <d v="2024-08-30T00:00:00"/>
    <x v="1"/>
    <x v="4"/>
    <s v="Real Madrid"/>
    <n v="2"/>
    <x v="2"/>
    <x v="1"/>
    <n v="19015"/>
    <x v="13"/>
    <s v="Michael Oliver"/>
    <x v="4"/>
  </r>
  <r>
    <s v="M1144"/>
    <d v="2024-09-02T00:00:00"/>
    <x v="3"/>
    <x v="15"/>
    <s v="Liverpool"/>
    <n v="3"/>
    <x v="0"/>
    <x v="0"/>
    <n v="51707"/>
    <x v="8"/>
    <s v="Anthony Taylor"/>
    <x v="0"/>
  </r>
  <r>
    <s v="M1425"/>
    <d v="2024-09-05T00:00:00"/>
    <x v="2"/>
    <x v="10"/>
    <s v="Bayern Munich"/>
    <n v="2"/>
    <x v="0"/>
    <x v="2"/>
    <n v="47621"/>
    <x v="8"/>
    <s v="Anthony Taylor"/>
    <x v="0"/>
  </r>
  <r>
    <s v="M1265"/>
    <d v="2024-09-09T00:00:00"/>
    <x v="5"/>
    <x v="6"/>
    <s v="Manchester City"/>
    <n v="1"/>
    <x v="0"/>
    <x v="1"/>
    <n v="38036"/>
    <x v="7"/>
    <s v="Michael Oliver"/>
    <x v="0"/>
  </r>
  <r>
    <s v="M1173"/>
    <d v="2024-09-10T00:00:00"/>
    <x v="3"/>
    <x v="6"/>
    <s v="Atletico Madrid"/>
    <n v="1"/>
    <x v="1"/>
    <x v="2"/>
    <n v="30197"/>
    <x v="2"/>
    <s v="Unknown"/>
    <x v="1"/>
  </r>
  <r>
    <s v="M1590"/>
    <d v="2024-09-12T00:00:00"/>
    <x v="0"/>
    <x v="13"/>
    <s v="Manchester United"/>
    <n v="1"/>
    <x v="3"/>
    <x v="0"/>
    <n v="72109"/>
    <x v="2"/>
    <s v="Unknown"/>
    <x v="0"/>
  </r>
  <r>
    <s v="M1462"/>
    <d v="2024-09-14T00:00:00"/>
    <x v="4"/>
    <x v="8"/>
    <s v="Bayern Munich"/>
    <n v="1"/>
    <x v="1"/>
    <x v="2"/>
    <n v="66720"/>
    <x v="6"/>
    <s v="Unknown"/>
    <x v="1"/>
  </r>
  <r>
    <s v="M1067"/>
    <d v="2024-09-15T00:00:00"/>
    <x v="4"/>
    <x v="2"/>
    <s v="Juventus"/>
    <n v="1"/>
    <x v="4"/>
    <x v="1"/>
    <n v="0"/>
    <x v="13"/>
    <s v="Unknown"/>
    <x v="0"/>
  </r>
  <r>
    <s v="M1274"/>
    <d v="2024-09-16T00:00:00"/>
    <x v="3"/>
    <x v="2"/>
    <s v="Chelsea"/>
    <n v="2"/>
    <x v="1"/>
    <x v="0"/>
    <n v="52745"/>
    <x v="7"/>
    <s v="Unknown"/>
    <x v="4"/>
  </r>
  <r>
    <s v="M1176"/>
    <d v="2024-09-21T00:00:00"/>
    <x v="0"/>
    <x v="14"/>
    <s v="Manchester City"/>
    <n v="2"/>
    <x v="1"/>
    <x v="0"/>
    <n v="34674"/>
    <x v="6"/>
    <s v="Michael Oliver"/>
    <x v="3"/>
  </r>
  <r>
    <s v="M1056"/>
    <d v="2024-09-25T00:00:00"/>
    <x v="0"/>
    <x v="8"/>
    <s v="Arsenal"/>
    <n v="2"/>
    <x v="1"/>
    <x v="0"/>
    <n v="22470"/>
    <x v="6"/>
    <s v="Daniele Orsato"/>
    <x v="2"/>
  </r>
  <r>
    <s v="M1215"/>
    <d v="2024-09-25T00:00:00"/>
    <x v="5"/>
    <x v="1"/>
    <s v="Manchester City"/>
    <n v="3"/>
    <x v="1"/>
    <x v="0"/>
    <n v="51417"/>
    <x v="9"/>
    <s v="S. Marciniak"/>
    <x v="2"/>
  </r>
  <r>
    <s v="M1164"/>
    <d v="2024-09-26T00:00:00"/>
    <x v="0"/>
    <x v="9"/>
    <s v="Real Madrid"/>
    <n v="2"/>
    <x v="0"/>
    <x v="2"/>
    <n v="67447"/>
    <x v="6"/>
    <s v="A. Taylor"/>
    <x v="3"/>
  </r>
  <r>
    <s v="M1405"/>
    <d v="2024-10-01T00:00:00"/>
    <x v="3"/>
    <x v="1"/>
    <s v="Ac Milan"/>
    <n v="3"/>
    <x v="1"/>
    <x v="0"/>
    <n v="70736"/>
    <x v="9"/>
    <s v="A. Taylor"/>
    <x v="0"/>
  </r>
  <r>
    <s v="M1318"/>
    <d v="2024-10-04T00:00:00"/>
    <x v="4"/>
    <x v="6"/>
    <s v="Real Madrid"/>
    <n v="1"/>
    <x v="3"/>
    <x v="0"/>
    <n v="63948"/>
    <x v="1"/>
    <s v="Unknown"/>
    <x v="4"/>
  </r>
  <r>
    <s v="M1063"/>
    <d v="2024-10-07T00:00:00"/>
    <x v="4"/>
    <x v="2"/>
    <s v="Juventus"/>
    <n v="3"/>
    <x v="4"/>
    <x v="1"/>
    <n v="79045"/>
    <x v="2"/>
    <s v="Unknown"/>
    <x v="0"/>
  </r>
  <r>
    <s v="M1498"/>
    <d v="2024-10-09T00:00:00"/>
    <x v="2"/>
    <x v="6"/>
    <s v="Borussia Dortmund"/>
    <n v="3"/>
    <x v="2"/>
    <x v="2"/>
    <n v="27384"/>
    <x v="7"/>
    <s v="S. Marciniak"/>
    <x v="1"/>
  </r>
  <r>
    <s v="M1316"/>
    <d v="2024-10-12T00:00:00"/>
    <x v="4"/>
    <x v="5"/>
    <s v="Atletico Madrid"/>
    <n v="2"/>
    <x v="1"/>
    <x v="0"/>
    <n v="31113"/>
    <x v="13"/>
    <s v="C. Pawson"/>
    <x v="0"/>
  </r>
  <r>
    <s v="M1582"/>
    <d v="2024-10-12T00:00:00"/>
    <x v="2"/>
    <x v="0"/>
    <s v="Juventus"/>
    <n v="0"/>
    <x v="1"/>
    <x v="1"/>
    <n v="41278"/>
    <x v="13"/>
    <s v="Daniele Orsato"/>
    <x v="1"/>
  </r>
  <r>
    <s v="M1301"/>
    <d v="2024-10-13T00:00:00"/>
    <x v="2"/>
    <x v="18"/>
    <s v="Inter Milan"/>
    <n v="1"/>
    <x v="4"/>
    <x v="1"/>
    <n v="80016"/>
    <x v="1"/>
    <s v="Unknown"/>
    <x v="1"/>
  </r>
  <r>
    <s v="M1367"/>
    <d v="2024-10-13T00:00:00"/>
    <x v="1"/>
    <x v="12"/>
    <s v="Manchester City"/>
    <n v="2"/>
    <x v="0"/>
    <x v="2"/>
    <n v="67843"/>
    <x v="7"/>
    <s v="A. Taylor"/>
    <x v="1"/>
  </r>
  <r>
    <s v="M1552"/>
    <d v="2024-10-15T00:00:00"/>
    <x v="4"/>
    <x v="10"/>
    <s v="Tottenham Hotspur"/>
    <n v="3"/>
    <x v="2"/>
    <x v="2"/>
    <n v="24276"/>
    <x v="2"/>
    <s v="Unknown"/>
    <x v="0"/>
  </r>
  <r>
    <s v="M1366"/>
    <d v="2024-10-16T00:00:00"/>
    <x v="4"/>
    <x v="6"/>
    <s v="Bayern Munich"/>
    <n v="0"/>
    <x v="0"/>
    <x v="1"/>
    <n v="25632"/>
    <x v="12"/>
    <s v="C. Pawson"/>
    <x v="3"/>
  </r>
  <r>
    <s v="M1406"/>
    <d v="2024-10-17T00:00:00"/>
    <x v="3"/>
    <x v="2"/>
    <s v="Manchester United"/>
    <n v="4"/>
    <x v="0"/>
    <x v="0"/>
    <n v="76240"/>
    <x v="6"/>
    <s v="Michael Oliver"/>
    <x v="1"/>
  </r>
  <r>
    <s v="M1011"/>
    <d v="2024-10-19T00:00:00"/>
    <x v="0"/>
    <x v="7"/>
    <s v="Real Madrid"/>
    <n v="3"/>
    <x v="0"/>
    <x v="0"/>
    <n v="43218"/>
    <x v="1"/>
    <s v="A. Taylor"/>
    <x v="4"/>
  </r>
  <r>
    <s v="M1119"/>
    <d v="2024-10-19T00:00:00"/>
    <x v="0"/>
    <x v="18"/>
    <s v="Bayern Munich"/>
    <n v="1"/>
    <x v="0"/>
    <x v="1"/>
    <n v="73607"/>
    <x v="13"/>
    <s v="C. Pawson"/>
    <x v="2"/>
  </r>
  <r>
    <s v="M1298"/>
    <d v="2024-10-19T00:00:00"/>
    <x v="1"/>
    <x v="2"/>
    <s v="Manchester United"/>
    <n v="1"/>
    <x v="0"/>
    <x v="1"/>
    <n v="66200"/>
    <x v="0"/>
    <s v="Daniele Orsato"/>
    <x v="4"/>
  </r>
  <r>
    <s v="M1409"/>
    <d v="2024-10-22T00:00:00"/>
    <x v="3"/>
    <x v="5"/>
    <s v="Barcelona"/>
    <n v="2"/>
    <x v="2"/>
    <x v="1"/>
    <n v="68551"/>
    <x v="13"/>
    <s v="M. Oliver"/>
    <x v="4"/>
  </r>
  <r>
    <s v="M1111"/>
    <d v="2024-10-23T00:00:00"/>
    <x v="3"/>
    <x v="9"/>
    <s v="Borussia Dortmund"/>
    <n v="0"/>
    <x v="2"/>
    <x v="3"/>
    <n v="58308"/>
    <x v="0"/>
    <s v="Unknown"/>
    <x v="0"/>
  </r>
  <r>
    <s v="M1533"/>
    <d v="2024-10-24T00:00:00"/>
    <x v="0"/>
    <x v="5"/>
    <s v="Juventus"/>
    <n v="2"/>
    <x v="2"/>
    <x v="1"/>
    <n v="38616"/>
    <x v="14"/>
    <s v="Michael Oliver"/>
    <x v="1"/>
  </r>
  <r>
    <s v="M1546"/>
    <d v="2024-10-26T00:00:00"/>
    <x v="0"/>
    <x v="2"/>
    <s v="Manchester United"/>
    <n v="2"/>
    <x v="2"/>
    <x v="1"/>
    <n v="81186"/>
    <x v="1"/>
    <s v="Unknown"/>
    <x v="3"/>
  </r>
  <r>
    <s v="M1539"/>
    <d v="2024-10-27T00:00:00"/>
    <x v="3"/>
    <x v="1"/>
    <s v="Chelsea"/>
    <n v="1"/>
    <x v="1"/>
    <x v="2"/>
    <n v="34755"/>
    <x v="4"/>
    <s v="M. Oliver"/>
    <x v="4"/>
  </r>
  <r>
    <s v="M1454"/>
    <d v="2024-10-28T00:00:00"/>
    <x v="4"/>
    <x v="6"/>
    <s v="Tottenham Hotspur"/>
    <n v="5"/>
    <x v="1"/>
    <x v="0"/>
    <n v="71184"/>
    <x v="6"/>
    <s v="Daniele Orsato"/>
    <x v="4"/>
  </r>
  <r>
    <s v="M1086"/>
    <d v="2024-10-29T00:00:00"/>
    <x v="0"/>
    <x v="18"/>
    <s v="Manchester United"/>
    <n v="2"/>
    <x v="0"/>
    <x v="2"/>
    <n v="28387"/>
    <x v="1"/>
    <s v="C. Pawson"/>
    <x v="1"/>
  </r>
  <r>
    <s v="M1098"/>
    <d v="2024-10-29T00:00:00"/>
    <x v="4"/>
    <x v="7"/>
    <s v="Benfica"/>
    <n v="3"/>
    <x v="0"/>
    <x v="0"/>
    <n v="20042"/>
    <x v="0"/>
    <s v="C. Pawson"/>
    <x v="3"/>
  </r>
  <r>
    <s v="M1158"/>
    <d v="2024-10-29T00:00:00"/>
    <x v="2"/>
    <x v="15"/>
    <s v="Barcelona"/>
    <n v="2"/>
    <x v="1"/>
    <x v="0"/>
    <n v="53000"/>
    <x v="12"/>
    <s v="S. Marciniak"/>
    <x v="2"/>
  </r>
  <r>
    <s v="M1534"/>
    <d v="2024-10-29T00:00:00"/>
    <x v="3"/>
    <x v="13"/>
    <s v="Real Madrid"/>
    <n v="3"/>
    <x v="2"/>
    <x v="2"/>
    <n v="15322"/>
    <x v="1"/>
    <s v="Unknown"/>
    <x v="4"/>
  </r>
  <r>
    <s v="M1051"/>
    <d v="2024-11-02T00:00:00"/>
    <x v="2"/>
    <x v="15"/>
    <s v="Manchester City"/>
    <n v="2"/>
    <x v="0"/>
    <x v="2"/>
    <n v="63608"/>
    <x v="8"/>
    <s v="Daniele Orsato"/>
    <x v="4"/>
  </r>
  <r>
    <s v="M1442"/>
    <d v="2024-11-04T00:00:00"/>
    <x v="0"/>
    <x v="11"/>
    <s v="Ajax"/>
    <n v="0"/>
    <x v="1"/>
    <x v="1"/>
    <n v="36181"/>
    <x v="2"/>
    <s v="M. Oliver"/>
    <x v="0"/>
  </r>
  <r>
    <s v="M1099"/>
    <d v="2024-11-05T00:00:00"/>
    <x v="0"/>
    <x v="6"/>
    <s v="Juventus"/>
    <n v="3"/>
    <x v="2"/>
    <x v="2"/>
    <n v="79618"/>
    <x v="14"/>
    <s v="Daniele Orsato"/>
    <x v="1"/>
  </r>
  <r>
    <s v="M1495"/>
    <d v="2024-11-06T00:00:00"/>
    <x v="5"/>
    <x v="15"/>
    <s v="Bayern Munich"/>
    <n v="1"/>
    <x v="3"/>
    <x v="0"/>
    <n v="78601"/>
    <x v="11"/>
    <s v="Anthony Taylor"/>
    <x v="4"/>
  </r>
  <r>
    <s v="M1212"/>
    <d v="2024-11-09T00:00:00"/>
    <x v="0"/>
    <x v="0"/>
    <s v="Inter Milan"/>
    <n v="1"/>
    <x v="3"/>
    <x v="0"/>
    <n v="0"/>
    <x v="14"/>
    <s v="Unknown"/>
    <x v="0"/>
  </r>
  <r>
    <s v="M1097"/>
    <d v="2024-11-14T00:00:00"/>
    <x v="0"/>
    <x v="10"/>
    <s v="Tottenham Hotspur"/>
    <n v="1"/>
    <x v="0"/>
    <x v="1"/>
    <n v="51728"/>
    <x v="3"/>
    <s v="Unknown"/>
    <x v="3"/>
  </r>
  <r>
    <s v="M1205"/>
    <d v="2024-11-16T00:00:00"/>
    <x v="1"/>
    <x v="15"/>
    <s v="Juventus"/>
    <n v="3"/>
    <x v="3"/>
    <x v="0"/>
    <n v="18220"/>
    <x v="14"/>
    <s v="Unknown"/>
    <x v="4"/>
  </r>
  <r>
    <s v="M1468"/>
    <d v="2024-11-16T00:00:00"/>
    <x v="2"/>
    <x v="18"/>
    <s v="Borussia Dortmund"/>
    <n v="0"/>
    <x v="0"/>
    <x v="1"/>
    <n v="24326"/>
    <x v="13"/>
    <s v="Daniele Orsato"/>
    <x v="2"/>
  </r>
  <r>
    <s v="M1110"/>
    <d v="2024-11-17T00:00:00"/>
    <x v="0"/>
    <x v="3"/>
    <s v="Liverpool"/>
    <n v="3"/>
    <x v="6"/>
    <x v="1"/>
    <n v="70037"/>
    <x v="6"/>
    <s v="C. Pawson"/>
    <x v="4"/>
  </r>
  <r>
    <s v="M1044"/>
    <d v="2024-11-21T00:00:00"/>
    <x v="2"/>
    <x v="17"/>
    <s v="Manchester City"/>
    <n v="3"/>
    <x v="2"/>
    <x v="2"/>
    <n v="43470"/>
    <x v="1"/>
    <s v="Anthony Taylor"/>
    <x v="0"/>
  </r>
  <r>
    <s v="M1263"/>
    <d v="2024-11-24T00:00:00"/>
    <x v="3"/>
    <x v="10"/>
    <s v="Chelsea"/>
    <n v="1"/>
    <x v="3"/>
    <x v="0"/>
    <n v="31455"/>
    <x v="8"/>
    <s v="Daniele Orsato"/>
    <x v="0"/>
  </r>
  <r>
    <s v="M1394"/>
    <d v="2024-11-25T00:00:00"/>
    <x v="3"/>
    <x v="15"/>
    <s v="Arsenal"/>
    <n v="2"/>
    <x v="1"/>
    <x v="0"/>
    <n v="57697"/>
    <x v="5"/>
    <s v="Unknown"/>
    <x v="0"/>
  </r>
  <r>
    <s v="M1105"/>
    <d v="2024-11-27T00:00:00"/>
    <x v="2"/>
    <x v="0"/>
    <s v="Juventus"/>
    <n v="1"/>
    <x v="2"/>
    <x v="1"/>
    <n v="8836"/>
    <x v="7"/>
    <s v="C. Pawson"/>
    <x v="0"/>
  </r>
  <r>
    <s v="M1252"/>
    <d v="2024-11-28T00:00:00"/>
    <x v="4"/>
    <x v="6"/>
    <s v="Real Madrid"/>
    <n v="2"/>
    <x v="3"/>
    <x v="0"/>
    <n v="48892"/>
    <x v="2"/>
    <s v="M. Oliver"/>
    <x v="0"/>
  </r>
  <r>
    <s v="M1349"/>
    <d v="2024-11-28T00:00:00"/>
    <x v="3"/>
    <x v="3"/>
    <s v="Real Madrid"/>
    <n v="1"/>
    <x v="1"/>
    <x v="2"/>
    <n v="78971"/>
    <x v="9"/>
    <s v="Michael Oliver"/>
    <x v="3"/>
  </r>
  <r>
    <s v="M1248"/>
    <d v="2024-11-29T00:00:00"/>
    <x v="3"/>
    <x v="9"/>
    <s v="Tottenham Hotspur"/>
    <n v="2"/>
    <x v="4"/>
    <x v="1"/>
    <n v="37127"/>
    <x v="6"/>
    <s v="A. Taylor"/>
    <x v="4"/>
  </r>
  <r>
    <s v="M1259"/>
    <d v="2024-12-06T00:00:00"/>
    <x v="0"/>
    <x v="4"/>
    <s v="Bayern Munich"/>
    <n v="2"/>
    <x v="4"/>
    <x v="1"/>
    <n v="40044"/>
    <x v="12"/>
    <s v="Anthony Taylor"/>
    <x v="1"/>
  </r>
  <r>
    <s v="M1378"/>
    <d v="2024-12-06T00:00:00"/>
    <x v="3"/>
    <x v="5"/>
    <s v="Liverpool"/>
    <n v="1"/>
    <x v="2"/>
    <x v="1"/>
    <n v="41156"/>
    <x v="8"/>
    <s v="Unknown"/>
    <x v="1"/>
  </r>
  <r>
    <s v="M1555"/>
    <d v="2024-12-06T00:00:00"/>
    <x v="4"/>
    <x v="15"/>
    <s v="Arsenal"/>
    <n v="2"/>
    <x v="1"/>
    <x v="0"/>
    <n v="45151"/>
    <x v="14"/>
    <s v="Unknown"/>
    <x v="0"/>
  </r>
  <r>
    <s v="M1062"/>
    <d v="2024-12-08T00:00:00"/>
    <x v="0"/>
    <x v="1"/>
    <s v="Unknown"/>
    <n v="1"/>
    <x v="2"/>
    <x v="1"/>
    <n v="58357"/>
    <x v="14"/>
    <s v="M. Oliver"/>
    <x v="3"/>
  </r>
  <r>
    <s v="M1255"/>
    <d v="2024-12-08T00:00:00"/>
    <x v="4"/>
    <x v="3"/>
    <s v="Bayern Munich"/>
    <n v="1"/>
    <x v="4"/>
    <x v="1"/>
    <n v="57979"/>
    <x v="3"/>
    <s v="Anthony Taylor"/>
    <x v="4"/>
  </r>
  <r>
    <s v="M1039"/>
    <d v="2024-12-15T00:00:00"/>
    <x v="1"/>
    <x v="1"/>
    <s v="Bayern Munich"/>
    <n v="3"/>
    <x v="3"/>
    <x v="0"/>
    <n v="25646"/>
    <x v="8"/>
    <s v="C. Pawson"/>
    <x v="2"/>
  </r>
  <r>
    <s v="M1194"/>
    <d v="2024-12-20T00:00:00"/>
    <x v="4"/>
    <x v="15"/>
    <s v="Atletico Madrid"/>
    <n v="1"/>
    <x v="1"/>
    <x v="2"/>
    <n v="14051"/>
    <x v="2"/>
    <s v="S. Marciniak"/>
    <x v="0"/>
  </r>
  <r>
    <s v="M1336"/>
    <d v="2024-12-24T00:00:00"/>
    <x v="0"/>
    <x v="15"/>
    <s v="Manchester United"/>
    <n v="1"/>
    <x v="0"/>
    <x v="1"/>
    <n v="48066"/>
    <x v="1"/>
    <s v="C. Pawson"/>
    <x v="1"/>
  </r>
  <r>
    <s v="M1441"/>
    <d v="2025-01-05T00:00:00"/>
    <x v="1"/>
    <x v="10"/>
    <s v="Manchester City"/>
    <n v="3"/>
    <x v="5"/>
    <x v="1"/>
    <n v="72748"/>
    <x v="0"/>
    <s v="Unknown"/>
    <x v="2"/>
  </r>
  <r>
    <s v="M1048"/>
    <d v="2025-01-06T00:00:00"/>
    <x v="4"/>
    <x v="6"/>
    <s v="Atletico Madrid"/>
    <n v="1"/>
    <x v="2"/>
    <x v="1"/>
    <n v="75533"/>
    <x v="5"/>
    <s v="Daniele Orsato"/>
    <x v="0"/>
  </r>
  <r>
    <s v="M1408"/>
    <d v="2025-01-08T00:00:00"/>
    <x v="0"/>
    <x v="1"/>
    <s v="Bayern Munich"/>
    <n v="1"/>
    <x v="2"/>
    <x v="1"/>
    <n v="42301"/>
    <x v="0"/>
    <s v="Anthony Taylor"/>
    <x v="1"/>
  </r>
  <r>
    <s v="M1493"/>
    <d v="2025-01-08T00:00:00"/>
    <x v="0"/>
    <x v="8"/>
    <s v="Ac Milan"/>
    <n v="2"/>
    <x v="4"/>
    <x v="1"/>
    <n v="11613"/>
    <x v="14"/>
    <s v="S. Marciniak"/>
    <x v="1"/>
  </r>
  <r>
    <s v="M1453"/>
    <d v="2025-01-13T00:00:00"/>
    <x v="0"/>
    <x v="5"/>
    <s v="Paris Saint-Germain"/>
    <n v="4"/>
    <x v="1"/>
    <x v="0"/>
    <n v="57340"/>
    <x v="13"/>
    <s v="S. Marciniak"/>
    <x v="2"/>
  </r>
  <r>
    <s v="M1497"/>
    <d v="2025-01-13T00:00:00"/>
    <x v="0"/>
    <x v="14"/>
    <s v="Ajax"/>
    <n v="1"/>
    <x v="2"/>
    <x v="1"/>
    <n v="0"/>
    <x v="1"/>
    <s v="Unknown"/>
    <x v="2"/>
  </r>
  <r>
    <s v="M1036"/>
    <d v="2025-01-14T00:00:00"/>
    <x v="3"/>
    <x v="2"/>
    <s v="Arsenal"/>
    <n v="3"/>
    <x v="0"/>
    <x v="0"/>
    <n v="77829"/>
    <x v="11"/>
    <s v="Unknown"/>
    <x v="3"/>
  </r>
  <r>
    <s v="M1537"/>
    <d v="2025-01-16T00:00:00"/>
    <x v="3"/>
    <x v="7"/>
    <s v="Real Madrid"/>
    <n v="0"/>
    <x v="2"/>
    <x v="1"/>
    <n v="45987"/>
    <x v="12"/>
    <s v="Unknown"/>
    <x v="0"/>
  </r>
  <r>
    <s v="M1342"/>
    <d v="2025-01-18T00:00:00"/>
    <x v="0"/>
    <x v="7"/>
    <s v="Arsenal"/>
    <n v="1"/>
    <x v="1"/>
    <x v="2"/>
    <n v="0"/>
    <x v="9"/>
    <s v="Unknown"/>
    <x v="2"/>
  </r>
  <r>
    <s v="M1096"/>
    <d v="2025-01-22T00:00:00"/>
    <x v="3"/>
    <x v="10"/>
    <s v="Bayern Munich"/>
    <n v="4"/>
    <x v="1"/>
    <x v="0"/>
    <n v="65632"/>
    <x v="8"/>
    <s v="Unknown"/>
    <x v="1"/>
  </r>
  <r>
    <s v="M1088"/>
    <d v="2025-01-23T00:00:00"/>
    <x v="4"/>
    <x v="15"/>
    <s v="Ajax"/>
    <n v="1"/>
    <x v="0"/>
    <x v="1"/>
    <n v="48526"/>
    <x v="9"/>
    <s v="M. Oliver"/>
    <x v="0"/>
  </r>
  <r>
    <s v="M1543"/>
    <d v="2025-01-23T00:00:00"/>
    <x v="2"/>
    <x v="0"/>
    <s v="Borussia Dortmund"/>
    <n v="5"/>
    <x v="0"/>
    <x v="0"/>
    <n v="0"/>
    <x v="6"/>
    <s v="Unknown"/>
    <x v="4"/>
  </r>
  <r>
    <s v="M1201"/>
    <d v="2025-01-28T00:00:00"/>
    <x v="1"/>
    <x v="15"/>
    <s v="Arsenal"/>
    <n v="6"/>
    <x v="2"/>
    <x v="0"/>
    <n v="54037"/>
    <x v="2"/>
    <s v="Anthony Taylor"/>
    <x v="0"/>
  </r>
  <r>
    <s v="M1260"/>
    <d v="2025-01-31T00:00:00"/>
    <x v="0"/>
    <x v="9"/>
    <s v="Manchester United"/>
    <n v="2"/>
    <x v="0"/>
    <x v="2"/>
    <n v="40577"/>
    <x v="2"/>
    <s v="M. Oliver"/>
    <x v="0"/>
  </r>
  <r>
    <s v="M1463"/>
    <d v="2025-02-01T00:00:00"/>
    <x v="0"/>
    <x v="12"/>
    <s v="Real Madrid"/>
    <n v="1"/>
    <x v="6"/>
    <x v="1"/>
    <n v="21953"/>
    <x v="3"/>
    <s v="Daniele Orsato"/>
    <x v="1"/>
  </r>
  <r>
    <s v="M1407"/>
    <d v="2025-02-05T00:00:00"/>
    <x v="2"/>
    <x v="11"/>
    <s v="Juventus"/>
    <n v="1"/>
    <x v="6"/>
    <x v="1"/>
    <n v="33760"/>
    <x v="1"/>
    <s v="M. Oliver"/>
    <x v="0"/>
  </r>
  <r>
    <s v="M1076"/>
    <d v="2025-02-09T00:00:00"/>
    <x v="3"/>
    <x v="0"/>
    <s v="Paris Saint-Germain"/>
    <n v="1"/>
    <x v="1"/>
    <x v="2"/>
    <n v="58174"/>
    <x v="0"/>
    <s v="M. Oliver"/>
    <x v="0"/>
  </r>
  <r>
    <s v="M1320"/>
    <d v="2025-02-09T00:00:00"/>
    <x v="0"/>
    <x v="2"/>
    <s v="Ac Milan"/>
    <n v="2"/>
    <x v="2"/>
    <x v="1"/>
    <n v="72018"/>
    <x v="1"/>
    <s v="Unknown"/>
    <x v="0"/>
  </r>
  <r>
    <s v="M1163"/>
    <d v="2025-02-11T00:00:00"/>
    <x v="2"/>
    <x v="2"/>
    <s v="Newcastle United"/>
    <n v="0"/>
    <x v="1"/>
    <x v="1"/>
    <n v="18557"/>
    <x v="8"/>
    <s v="Anthony Taylor"/>
    <x v="0"/>
  </r>
  <r>
    <s v="M1372"/>
    <d v="2025-02-12T00:00:00"/>
    <x v="0"/>
    <x v="11"/>
    <s v="Tottenham Hotspur"/>
    <n v="2"/>
    <x v="0"/>
    <x v="2"/>
    <n v="69060"/>
    <x v="5"/>
    <s v="Michael Oliver"/>
    <x v="1"/>
  </r>
  <r>
    <s v="M1479"/>
    <d v="2025-02-12T00:00:00"/>
    <x v="3"/>
    <x v="5"/>
    <s v="Ac Milan"/>
    <n v="0"/>
    <x v="2"/>
    <x v="1"/>
    <n v="37900"/>
    <x v="2"/>
    <s v="Unknown"/>
    <x v="0"/>
  </r>
  <r>
    <s v="M1132"/>
    <d v="2025-02-17T00:00:00"/>
    <x v="3"/>
    <x v="11"/>
    <s v="Paris Saint-Germain"/>
    <n v="0"/>
    <x v="1"/>
    <x v="1"/>
    <n v="11299"/>
    <x v="11"/>
    <s v="S. Marciniak"/>
    <x v="2"/>
  </r>
  <r>
    <s v="M1514"/>
    <d v="2025-02-17T00:00:00"/>
    <x v="1"/>
    <x v="10"/>
    <s v="Ajax"/>
    <n v="3"/>
    <x v="3"/>
    <x v="0"/>
    <n v="22029"/>
    <x v="10"/>
    <s v="Unknown"/>
    <x v="4"/>
  </r>
  <r>
    <s v="M1278"/>
    <d v="2025-02-19T00:00:00"/>
    <x v="3"/>
    <x v="13"/>
    <s v="Unknown"/>
    <n v="0"/>
    <x v="0"/>
    <x v="3"/>
    <n v="71834"/>
    <x v="8"/>
    <s v="Unknown"/>
    <x v="1"/>
  </r>
  <r>
    <s v="M1323"/>
    <d v="2025-02-22T00:00:00"/>
    <x v="4"/>
    <x v="2"/>
    <s v="Arsenal"/>
    <n v="2"/>
    <x v="2"/>
    <x v="1"/>
    <n v="80553"/>
    <x v="4"/>
    <s v="Anthony Taylor"/>
    <x v="0"/>
  </r>
  <r>
    <s v="M1189"/>
    <d v="2025-02-23T00:00:00"/>
    <x v="2"/>
    <x v="1"/>
    <s v="Borussia Dortmund"/>
    <n v="0"/>
    <x v="1"/>
    <x v="1"/>
    <n v="13992"/>
    <x v="0"/>
    <s v="Unknown"/>
    <x v="4"/>
  </r>
  <r>
    <s v="M1435"/>
    <d v="2025-02-23T00:00:00"/>
    <x v="0"/>
    <x v="15"/>
    <s v="Barcelona"/>
    <n v="0"/>
    <x v="2"/>
    <x v="1"/>
    <n v="19092"/>
    <x v="14"/>
    <s v="S. Marciniak"/>
    <x v="4"/>
  </r>
  <r>
    <s v="M1375"/>
    <d v="2025-03-02T00:00:00"/>
    <x v="4"/>
    <x v="1"/>
    <s v="Benfica"/>
    <n v="0"/>
    <x v="4"/>
    <x v="1"/>
    <n v="60273"/>
    <x v="14"/>
    <s v="M. Oliver"/>
    <x v="0"/>
  </r>
  <r>
    <s v="M1302"/>
    <d v="2025-03-03T00:00:00"/>
    <x v="2"/>
    <x v="11"/>
    <s v="Borussia Dortmund"/>
    <n v="4"/>
    <x v="1"/>
    <x v="0"/>
    <n v="17564"/>
    <x v="13"/>
    <s v="Daniele Orsato"/>
    <x v="4"/>
  </r>
  <r>
    <s v="M1127"/>
    <d v="2025-03-08T00:00:00"/>
    <x v="4"/>
    <x v="1"/>
    <s v="Bayern Munich"/>
    <n v="4"/>
    <x v="1"/>
    <x v="0"/>
    <n v="23792"/>
    <x v="1"/>
    <s v="M. Oliver"/>
    <x v="1"/>
  </r>
  <r>
    <s v="M1070"/>
    <d v="2025-03-10T00:00:00"/>
    <x v="0"/>
    <x v="11"/>
    <s v="Arsenal"/>
    <n v="2"/>
    <x v="2"/>
    <x v="1"/>
    <n v="23512"/>
    <x v="6"/>
    <s v="Unknown"/>
    <x v="3"/>
  </r>
  <r>
    <s v="M1570"/>
    <d v="2025-03-14T00:00:00"/>
    <x v="2"/>
    <x v="12"/>
    <s v="Real Madrid"/>
    <n v="5"/>
    <x v="0"/>
    <x v="0"/>
    <n v="80398"/>
    <x v="14"/>
    <s v="Michael Oliver"/>
    <x v="4"/>
  </r>
  <r>
    <s v="M1065"/>
    <d v="2025-03-15T00:00:00"/>
    <x v="3"/>
    <x v="13"/>
    <s v="Ac Milan"/>
    <n v="4"/>
    <x v="6"/>
    <x v="1"/>
    <n v="12034"/>
    <x v="3"/>
    <s v="M. Oliver"/>
    <x v="1"/>
  </r>
  <r>
    <s v="M1014"/>
    <d v="2025-03-16T00:00:00"/>
    <x v="0"/>
    <x v="5"/>
    <s v="Atletico Madrid"/>
    <n v="2"/>
    <x v="6"/>
    <x v="1"/>
    <n v="23514"/>
    <x v="8"/>
    <s v="Unknown"/>
    <x v="3"/>
  </r>
  <r>
    <s v="M1162"/>
    <d v="2025-03-18T00:00:00"/>
    <x v="2"/>
    <x v="15"/>
    <s v="Manchester United"/>
    <n v="1"/>
    <x v="1"/>
    <x v="2"/>
    <n v="15862"/>
    <x v="0"/>
    <s v="Unknown"/>
    <x v="1"/>
  </r>
  <r>
    <s v="M1272"/>
    <d v="2025-03-19T00:00:00"/>
    <x v="2"/>
    <x v="4"/>
    <s v="Borussia Dortmund"/>
    <n v="3"/>
    <x v="1"/>
    <x v="0"/>
    <n v="57089"/>
    <x v="0"/>
    <s v="Daniele Orsato"/>
    <x v="1"/>
  </r>
  <r>
    <s v="M1045"/>
    <d v="2025-03-21T00:00:00"/>
    <x v="4"/>
    <x v="16"/>
    <s v="Manchester United"/>
    <n v="1"/>
    <x v="2"/>
    <x v="1"/>
    <n v="54330"/>
    <x v="7"/>
    <s v="A. Taylor"/>
    <x v="2"/>
  </r>
  <r>
    <s v="M1433"/>
    <d v="2025-03-21T00:00:00"/>
    <x v="3"/>
    <x v="12"/>
    <s v="Liverpool"/>
    <n v="0"/>
    <x v="0"/>
    <x v="1"/>
    <n v="17834"/>
    <x v="14"/>
    <s v="A. Taylor"/>
    <x v="0"/>
  </r>
  <r>
    <s v="M1126"/>
    <d v="2025-03-23T00:00:00"/>
    <x v="3"/>
    <x v="7"/>
    <s v="Chelsea"/>
    <n v="0"/>
    <x v="2"/>
    <x v="1"/>
    <n v="0"/>
    <x v="9"/>
    <s v="Unknown"/>
    <x v="4"/>
  </r>
  <r>
    <s v="M1181"/>
    <d v="2025-03-25T00:00:00"/>
    <x v="4"/>
    <x v="17"/>
    <s v="Ac Milan"/>
    <n v="2"/>
    <x v="3"/>
    <x v="0"/>
    <n v="67299"/>
    <x v="9"/>
    <s v="M. Oliver"/>
    <x v="1"/>
  </r>
  <r>
    <s v="M1108"/>
    <d v="2025-03-26T00:00:00"/>
    <x v="4"/>
    <x v="2"/>
    <s v="Borussia Dortmund"/>
    <n v="2"/>
    <x v="2"/>
    <x v="1"/>
    <n v="28436"/>
    <x v="14"/>
    <s v="M. Oliver"/>
    <x v="2"/>
  </r>
  <r>
    <s v="M1567"/>
    <d v="2025-03-27T00:00:00"/>
    <x v="4"/>
    <x v="6"/>
    <s v="Manchester United"/>
    <n v="2"/>
    <x v="3"/>
    <x v="0"/>
    <n v="77179"/>
    <x v="6"/>
    <s v="Anthony Taylor"/>
    <x v="1"/>
  </r>
  <r>
    <s v="M1222"/>
    <d v="2025-03-28T00:00:00"/>
    <x v="3"/>
    <x v="3"/>
    <s v="Manchester City"/>
    <n v="2"/>
    <x v="3"/>
    <x v="0"/>
    <n v="26821"/>
    <x v="0"/>
    <s v="S. Marciniak"/>
    <x v="2"/>
  </r>
  <r>
    <s v="M1420"/>
    <d v="2025-03-29T00:00:00"/>
    <x v="0"/>
    <x v="11"/>
    <s v="Paris Saint-Germain"/>
    <n v="2"/>
    <x v="1"/>
    <x v="0"/>
    <n v="42403"/>
    <x v="2"/>
    <s v="Anthony Taylor"/>
    <x v="3"/>
  </r>
  <r>
    <s v="M1059"/>
    <d v="2025-03-30T00:00:00"/>
    <x v="2"/>
    <x v="12"/>
    <s v="Arsenal"/>
    <n v="1"/>
    <x v="0"/>
    <x v="1"/>
    <n v="76827"/>
    <x v="14"/>
    <s v="A. Taylor"/>
    <x v="3"/>
  </r>
  <r>
    <s v="M1285"/>
    <d v="2025-03-31T00:00:00"/>
    <x v="2"/>
    <x v="12"/>
    <s v="Barcelona"/>
    <n v="1"/>
    <x v="4"/>
    <x v="1"/>
    <n v="79676"/>
    <x v="9"/>
    <s v="M. Oliver"/>
    <x v="2"/>
  </r>
  <r>
    <s v="M1283"/>
    <d v="2025-04-01T00:00:00"/>
    <x v="0"/>
    <x v="5"/>
    <s v="Barcelona"/>
    <n v="0"/>
    <x v="3"/>
    <x v="2"/>
    <n v="19337"/>
    <x v="10"/>
    <s v="Daniele Orsato"/>
    <x v="4"/>
  </r>
  <r>
    <s v="M1031"/>
    <d v="2025-04-03T00:00:00"/>
    <x v="0"/>
    <x v="1"/>
    <s v="Barcelona"/>
    <n v="2"/>
    <x v="2"/>
    <x v="1"/>
    <n v="15955"/>
    <x v="10"/>
    <s v="Unknown"/>
    <x v="2"/>
  </r>
  <r>
    <s v="M1340"/>
    <d v="2025-04-05T00:00:00"/>
    <x v="5"/>
    <x v="3"/>
    <s v="Liverpool"/>
    <n v="0"/>
    <x v="1"/>
    <x v="1"/>
    <n v="22026"/>
    <x v="0"/>
    <s v="S. Marciniak"/>
    <x v="3"/>
  </r>
  <r>
    <s v="M1229"/>
    <d v="2025-04-06T00:00:00"/>
    <x v="0"/>
    <x v="2"/>
    <s v="Bayern Munich"/>
    <n v="2"/>
    <x v="1"/>
    <x v="0"/>
    <n v="68749"/>
    <x v="4"/>
    <s v="S. Marciniak"/>
    <x v="0"/>
  </r>
  <r>
    <s v="M1085"/>
    <d v="2025-04-07T00:00:00"/>
    <x v="0"/>
    <x v="2"/>
    <s v="Real Madrid"/>
    <n v="1"/>
    <x v="1"/>
    <x v="2"/>
    <n v="41592"/>
    <x v="13"/>
    <s v="Unknown"/>
    <x v="1"/>
  </r>
  <r>
    <s v="M1304"/>
    <d v="2025-04-08T00:00:00"/>
    <x v="4"/>
    <x v="15"/>
    <s v="Atletico Madrid"/>
    <n v="2"/>
    <x v="0"/>
    <x v="2"/>
    <n v="79756"/>
    <x v="11"/>
    <s v="S. Marciniak"/>
    <x v="4"/>
  </r>
  <r>
    <s v="M1177"/>
    <d v="2025-04-11T00:00:00"/>
    <x v="0"/>
    <x v="1"/>
    <s v="Bayern Munich"/>
    <n v="3"/>
    <x v="0"/>
    <x v="0"/>
    <n v="76121"/>
    <x v="13"/>
    <s v="Anthony Taylor"/>
    <x v="3"/>
  </r>
  <r>
    <s v="M1449"/>
    <d v="2025-04-11T00:00:00"/>
    <x v="0"/>
    <x v="3"/>
    <s v="Ajax"/>
    <n v="1"/>
    <x v="3"/>
    <x v="0"/>
    <n v="22974"/>
    <x v="13"/>
    <s v="Unknown"/>
    <x v="2"/>
  </r>
  <r>
    <s v="M1123"/>
    <d v="2025-04-13T00:00:00"/>
    <x v="1"/>
    <x v="0"/>
    <s v="Ajax"/>
    <n v="5"/>
    <x v="1"/>
    <x v="0"/>
    <n v="23595"/>
    <x v="14"/>
    <s v="Anthony Taylor"/>
    <x v="2"/>
  </r>
  <r>
    <s v="M1572"/>
    <d v="2025-04-13T00:00:00"/>
    <x v="4"/>
    <x v="17"/>
    <s v="Tottenham Hotspur"/>
    <n v="2"/>
    <x v="2"/>
    <x v="1"/>
    <n v="48852"/>
    <x v="0"/>
    <s v="Daniele Orsato"/>
    <x v="3"/>
  </r>
  <r>
    <s v="M1397"/>
    <d v="2025-04-15T00:00:00"/>
    <x v="0"/>
    <x v="9"/>
    <s v="Paris Saint-Germain"/>
    <n v="2"/>
    <x v="1"/>
    <x v="0"/>
    <n v="65411"/>
    <x v="10"/>
    <s v="M. Oliver"/>
    <x v="4"/>
  </r>
  <r>
    <s v="M1118"/>
    <d v="2025-04-16T00:00:00"/>
    <x v="1"/>
    <x v="5"/>
    <s v="Paris Saint-Germain"/>
    <n v="0"/>
    <x v="1"/>
    <x v="1"/>
    <n v="47280"/>
    <x v="2"/>
    <s v="C. Pawson"/>
    <x v="1"/>
  </r>
  <r>
    <s v="M1558"/>
    <d v="2025-04-23T00:00:00"/>
    <x v="3"/>
    <x v="3"/>
    <s v="Manchester City"/>
    <n v="1"/>
    <x v="0"/>
    <x v="1"/>
    <n v="14753"/>
    <x v="3"/>
    <s v="Anthony Taylor"/>
    <x v="4"/>
  </r>
  <r>
    <s v="M1064"/>
    <d v="2025-04-26T00:00:00"/>
    <x v="0"/>
    <x v="12"/>
    <s v="Chelsea"/>
    <n v="1"/>
    <x v="1"/>
    <x v="2"/>
    <n v="59468"/>
    <x v="10"/>
    <s v="Daniele Orsato"/>
    <x v="4"/>
  </r>
  <r>
    <s v="M1106"/>
    <d v="2025-04-29T00:00:00"/>
    <x v="4"/>
    <x v="8"/>
    <s v="Bayern Munich"/>
    <n v="3"/>
    <x v="1"/>
    <x v="0"/>
    <n v="53736"/>
    <x v="0"/>
    <s v="Unknown"/>
    <x v="0"/>
  </r>
  <r>
    <s v="M1591"/>
    <d v="2025-04-30T00:00:00"/>
    <x v="1"/>
    <x v="2"/>
    <s v="Barcelona"/>
    <n v="1"/>
    <x v="1"/>
    <x v="2"/>
    <n v="50925"/>
    <x v="2"/>
    <s v="Unknown"/>
    <x v="3"/>
  </r>
  <r>
    <s v="M1139"/>
    <d v="2025-05-01T00:00:00"/>
    <x v="0"/>
    <x v="7"/>
    <s v="Liverpool"/>
    <n v="2"/>
    <x v="1"/>
    <x v="0"/>
    <n v="50719"/>
    <x v="9"/>
    <s v="Unknown"/>
    <x v="1"/>
  </r>
  <r>
    <s v="M1275"/>
    <d v="2025-05-01T00:00:00"/>
    <x v="1"/>
    <x v="7"/>
    <s v="Borussia Dortmund"/>
    <n v="2"/>
    <x v="0"/>
    <x v="2"/>
    <n v="30685"/>
    <x v="1"/>
    <s v="Unknown"/>
    <x v="0"/>
  </r>
  <r>
    <s v="M1079"/>
    <d v="2025-05-02T00:00:00"/>
    <x v="2"/>
    <x v="10"/>
    <s v="Bayern Munich"/>
    <n v="1"/>
    <x v="3"/>
    <x v="0"/>
    <n v="37545"/>
    <x v="3"/>
    <s v="A. Taylor"/>
    <x v="3"/>
  </r>
  <r>
    <s v="M1364"/>
    <d v="2025-05-04T00:00:00"/>
    <x v="0"/>
    <x v="0"/>
    <s v="Newcastle United"/>
    <n v="5"/>
    <x v="6"/>
    <x v="2"/>
    <n v="45177"/>
    <x v="10"/>
    <s v="M. Oliver"/>
    <x v="2"/>
  </r>
  <r>
    <s v="M1574"/>
    <d v="2025-05-04T00:00:00"/>
    <x v="0"/>
    <x v="1"/>
    <s v="Borussia Dortmund"/>
    <n v="4"/>
    <x v="1"/>
    <x v="0"/>
    <n v="64918"/>
    <x v="6"/>
    <s v="C. Pawson"/>
    <x v="0"/>
  </r>
  <r>
    <s v="M1550"/>
    <d v="2025-05-05T00:00:00"/>
    <x v="3"/>
    <x v="9"/>
    <s v="Manchester City"/>
    <n v="4"/>
    <x v="2"/>
    <x v="0"/>
    <n v="44509"/>
    <x v="14"/>
    <s v="Michael Oliver"/>
    <x v="0"/>
  </r>
  <r>
    <s v="M1094"/>
    <d v="2025-05-08T00:00:00"/>
    <x v="4"/>
    <x v="10"/>
    <s v="Barcelona"/>
    <n v="1"/>
    <x v="0"/>
    <x v="1"/>
    <n v="50747"/>
    <x v="9"/>
    <s v="C. Pawson"/>
    <x v="1"/>
  </r>
  <r>
    <s v="M1192"/>
    <d v="2025-05-15T00:00:00"/>
    <x v="2"/>
    <x v="10"/>
    <s v="Borussia Dortmund"/>
    <n v="1"/>
    <x v="2"/>
    <x v="1"/>
    <n v="19328"/>
    <x v="2"/>
    <s v="Daniele Orsato"/>
    <x v="1"/>
  </r>
  <r>
    <s v="M1595"/>
    <d v="2025-05-15T00:00:00"/>
    <x v="2"/>
    <x v="10"/>
    <s v="Bayern Munich"/>
    <n v="3"/>
    <x v="3"/>
    <x v="0"/>
    <n v="50783"/>
    <x v="3"/>
    <s v="Unknown"/>
    <x v="1"/>
  </r>
  <r>
    <s v="M1103"/>
    <d v="2025-05-17T00:00:00"/>
    <x v="2"/>
    <x v="18"/>
    <s v="Liverpool"/>
    <n v="4"/>
    <x v="1"/>
    <x v="0"/>
    <n v="62959"/>
    <x v="13"/>
    <s v="Unknown"/>
    <x v="0"/>
  </r>
  <r>
    <s v="M1216"/>
    <d v="2025-05-17T00:00:00"/>
    <x v="2"/>
    <x v="14"/>
    <s v="Arsenal"/>
    <n v="6"/>
    <x v="1"/>
    <x v="0"/>
    <n v="73691"/>
    <x v="11"/>
    <s v="Anthony Taylor"/>
    <x v="0"/>
  </r>
  <r>
    <s v="M1288"/>
    <d v="2025-05-22T00:00:00"/>
    <x v="0"/>
    <x v="3"/>
    <s v="Manchester United"/>
    <n v="3"/>
    <x v="1"/>
    <x v="0"/>
    <n v="65790"/>
    <x v="12"/>
    <s v="Anthony Taylor"/>
    <x v="3"/>
  </r>
  <r>
    <s v="M1165"/>
    <d v="2025-05-23T00:00:00"/>
    <x v="0"/>
    <x v="9"/>
    <s v="Real Madrid"/>
    <n v="0"/>
    <x v="3"/>
    <x v="2"/>
    <n v="53515"/>
    <x v="2"/>
    <s v="Anthony Taylor"/>
    <x v="0"/>
  </r>
  <r>
    <s v="M1359"/>
    <d v="2025-05-25T00:00:00"/>
    <x v="2"/>
    <x v="5"/>
    <s v="Liverpool"/>
    <n v="2"/>
    <x v="3"/>
    <x v="0"/>
    <n v="76103"/>
    <x v="11"/>
    <s v="Daniele Orsato"/>
    <x v="1"/>
  </r>
  <r>
    <s v="M1250"/>
    <d v="2025-06-01T00:00:00"/>
    <x v="0"/>
    <x v="18"/>
    <s v="Barcelona"/>
    <n v="1"/>
    <x v="0"/>
    <x v="1"/>
    <n v="51507"/>
    <x v="13"/>
    <s v="Unknown"/>
    <x v="0"/>
  </r>
  <r>
    <s v="M1321"/>
    <d v="2025-06-01T00:00:00"/>
    <x v="4"/>
    <x v="11"/>
    <s v="Barcelona"/>
    <n v="2"/>
    <x v="1"/>
    <x v="0"/>
    <n v="62977"/>
    <x v="2"/>
    <s v="Unknown"/>
    <x v="0"/>
  </r>
  <r>
    <s v="M1016"/>
    <d v="2025-06-05T00:00:00"/>
    <x v="2"/>
    <x v="14"/>
    <s v="Arsenal"/>
    <n v="4"/>
    <x v="2"/>
    <x v="0"/>
    <n v="75040"/>
    <x v="9"/>
    <s v="A. Taylor"/>
    <x v="2"/>
  </r>
  <r>
    <s v="M1146"/>
    <d v="2025-06-05T00:00:00"/>
    <x v="2"/>
    <x v="6"/>
    <s v="Barcelona"/>
    <n v="1"/>
    <x v="0"/>
    <x v="1"/>
    <n v="22684"/>
    <x v="0"/>
    <s v="Unknown"/>
    <x v="3"/>
  </r>
  <r>
    <s v="M1186"/>
    <d v="2025-06-05T00:00:00"/>
    <x v="4"/>
    <x v="8"/>
    <s v="Real Madrid"/>
    <n v="2"/>
    <x v="1"/>
    <x v="0"/>
    <n v="14206"/>
    <x v="8"/>
    <s v="Daniele Orsato"/>
    <x v="3"/>
  </r>
  <r>
    <s v="M1562"/>
    <d v="2025-06-11T00:00:00"/>
    <x v="5"/>
    <x v="2"/>
    <s v="Bayern Munich"/>
    <n v="2"/>
    <x v="0"/>
    <x v="2"/>
    <n v="58447"/>
    <x v="9"/>
    <s v="C. Pawson"/>
    <x v="0"/>
  </r>
  <r>
    <s v="M1450"/>
    <d v="2025-06-13T00:00:00"/>
    <x v="2"/>
    <x v="11"/>
    <s v="Manchester United"/>
    <n v="0"/>
    <x v="0"/>
    <x v="1"/>
    <n v="38798"/>
    <x v="14"/>
    <s v="C. Pawson"/>
    <x v="3"/>
  </r>
  <r>
    <s v="M1416"/>
    <d v="2025-06-23T00:00:00"/>
    <x v="3"/>
    <x v="3"/>
    <s v="Real Madrid"/>
    <n v="3"/>
    <x v="2"/>
    <x v="2"/>
    <n v="29336"/>
    <x v="5"/>
    <s v="C. Pawson"/>
    <x v="4"/>
  </r>
  <r>
    <s v="M1521"/>
    <d v="2025-06-24T00:00:00"/>
    <x v="3"/>
    <x v="17"/>
    <s v="Arsenal"/>
    <n v="4"/>
    <x v="3"/>
    <x v="3"/>
    <n v="10940"/>
    <x v="2"/>
    <s v="C. Pawson"/>
    <x v="1"/>
  </r>
  <r>
    <s v="M1057"/>
    <d v="2025-06-26T00:00:00"/>
    <x v="0"/>
    <x v="13"/>
    <s v="Inter Milan"/>
    <n v="2"/>
    <x v="0"/>
    <x v="2"/>
    <n v="68329"/>
    <x v="1"/>
    <s v="Unknown"/>
    <x v="4"/>
  </r>
  <r>
    <s v="M1208"/>
    <d v="2025-06-28T00:00:00"/>
    <x v="2"/>
    <x v="0"/>
    <s v="Tottenham Hotspur"/>
    <n v="4"/>
    <x v="2"/>
    <x v="0"/>
    <n v="34229"/>
    <x v="8"/>
    <s v="Unknown"/>
    <x v="3"/>
  </r>
  <r>
    <s v="M1365"/>
    <d v="2025-06-30T00:00:00"/>
    <x v="4"/>
    <x v="12"/>
    <s v="Paris Saint-Germain"/>
    <n v="1"/>
    <x v="4"/>
    <x v="1"/>
    <n v="19628"/>
    <x v="9"/>
    <s v="Anthony Taylor"/>
    <x v="0"/>
  </r>
  <r>
    <s v="M1310"/>
    <d v="2025-07-03T00:00:00"/>
    <x v="4"/>
    <x v="4"/>
    <s v="Arsenal"/>
    <n v="2"/>
    <x v="1"/>
    <x v="0"/>
    <n v="67803"/>
    <x v="10"/>
    <s v="Anthony Taylor"/>
    <x v="3"/>
  </r>
  <r>
    <s v="M1584"/>
    <d v="2025-07-03T00:00:00"/>
    <x v="4"/>
    <x v="14"/>
    <s v="Liverpool"/>
    <n v="2"/>
    <x v="1"/>
    <x v="0"/>
    <n v="49408"/>
    <x v="0"/>
    <s v="Michael Oliver"/>
    <x v="4"/>
  </r>
  <r>
    <s v="M1527"/>
    <d v="2025-07-05T00:00:00"/>
    <x v="3"/>
    <x v="7"/>
    <s v="Newcastle United"/>
    <n v="1"/>
    <x v="2"/>
    <x v="1"/>
    <n v="64724"/>
    <x v="12"/>
    <s v="Unknown"/>
    <x v="0"/>
  </r>
  <r>
    <s v="M1410"/>
    <d v="2025-07-06T00:00:00"/>
    <x v="0"/>
    <x v="9"/>
    <s v="Barcelona"/>
    <n v="3"/>
    <x v="3"/>
    <x v="0"/>
    <n v="27924"/>
    <x v="9"/>
    <s v="Anthony Taylor"/>
    <x v="1"/>
  </r>
  <r>
    <s v="M1226"/>
    <d v="2025-07-09T00:00:00"/>
    <x v="4"/>
    <x v="10"/>
    <s v="Arsenal"/>
    <n v="2"/>
    <x v="0"/>
    <x v="2"/>
    <n v="27869"/>
    <x v="13"/>
    <s v="A. Taylor"/>
    <x v="1"/>
  </r>
  <r>
    <s v="M1020"/>
    <d v="2025-07-16T00:00:00"/>
    <x v="2"/>
    <x v="13"/>
    <s v="Chelsea"/>
    <n v="0"/>
    <x v="1"/>
    <x v="3"/>
    <n v="79186"/>
    <x v="6"/>
    <s v="A. Taylor"/>
    <x v="4"/>
  </r>
  <r>
    <s v="M1271"/>
    <d v="2025-07-28T00:00:00"/>
    <x v="1"/>
    <x v="5"/>
    <s v="Newcastle United"/>
    <n v="2"/>
    <x v="1"/>
    <x v="0"/>
    <n v="75715"/>
    <x v="14"/>
    <s v="Unknown"/>
    <x v="1"/>
  </r>
  <r>
    <s v="M1438"/>
    <d v="2025-07-29T00:00:00"/>
    <x v="0"/>
    <x v="1"/>
    <s v="Manchester United"/>
    <n v="1"/>
    <x v="1"/>
    <x v="2"/>
    <n v="50733"/>
    <x v="6"/>
    <s v="Unknown"/>
    <x v="2"/>
  </r>
  <r>
    <s v="M1047"/>
    <d v="2025-08-03T00:00:00"/>
    <x v="2"/>
    <x v="7"/>
    <s v="Ac Milan"/>
    <n v="1"/>
    <x v="3"/>
    <x v="0"/>
    <n v="31905"/>
    <x v="9"/>
    <s v="C. Pawson"/>
    <x v="1"/>
  </r>
  <r>
    <s v="M1125"/>
    <d v="2025-08-03T00:00:00"/>
    <x v="2"/>
    <x v="1"/>
    <s v="Chelsea"/>
    <n v="0"/>
    <x v="1"/>
    <x v="1"/>
    <n v="58441"/>
    <x v="13"/>
    <s v="S. Marciniak"/>
    <x v="1"/>
  </r>
  <r>
    <s v="M1305"/>
    <d v="2025-08-04T00:00:00"/>
    <x v="0"/>
    <x v="12"/>
    <s v="Inter Milan"/>
    <n v="2"/>
    <x v="4"/>
    <x v="1"/>
    <n v="41036"/>
    <x v="8"/>
    <s v="S. Marciniak"/>
    <x v="2"/>
  </r>
  <r>
    <s v="M1075"/>
    <d v="2025-08-07T00:00:00"/>
    <x v="3"/>
    <x v="0"/>
    <s v="Atletico Madrid"/>
    <n v="3"/>
    <x v="1"/>
    <x v="0"/>
    <n v="43679"/>
    <x v="0"/>
    <s v="A. Taylor"/>
    <x v="1"/>
  </r>
  <r>
    <s v="M1068"/>
    <d v="2025-08-09T00:00:00"/>
    <x v="2"/>
    <x v="1"/>
    <s v="Borussia Dortmund"/>
    <n v="0"/>
    <x v="4"/>
    <x v="1"/>
    <n v="17493"/>
    <x v="6"/>
    <s v="M. Oliver"/>
    <x v="1"/>
  </r>
  <r>
    <s v="M1256"/>
    <d v="2025-08-09T00:00:00"/>
    <x v="0"/>
    <x v="11"/>
    <s v="Bayern Munich"/>
    <n v="0"/>
    <x v="2"/>
    <x v="1"/>
    <n v="31892"/>
    <x v="4"/>
    <s v="Daniele Orsato"/>
    <x v="0"/>
  </r>
  <r>
    <s v="M1261"/>
    <d v="2025-08-10T00:00:00"/>
    <x v="0"/>
    <x v="15"/>
    <s v="Chelsea"/>
    <n v="1"/>
    <x v="2"/>
    <x v="1"/>
    <n v="26867"/>
    <x v="4"/>
    <s v="C. Pawson"/>
    <x v="2"/>
  </r>
  <r>
    <s v="M1129"/>
    <d v="2025-08-11T00:00:00"/>
    <x v="0"/>
    <x v="11"/>
    <s v="Borussia Dortmund"/>
    <n v="1"/>
    <x v="0"/>
    <x v="1"/>
    <n v="62879"/>
    <x v="8"/>
    <s v="Anthony Taylor"/>
    <x v="0"/>
  </r>
  <r>
    <s v="M1593"/>
    <d v="2025-08-14T00:00:00"/>
    <x v="3"/>
    <x v="18"/>
    <s v="Chelsea"/>
    <n v="1"/>
    <x v="3"/>
    <x v="0"/>
    <n v="58181"/>
    <x v="2"/>
    <s v="Michael Oliver"/>
    <x v="1"/>
  </r>
  <r>
    <s v="M1276"/>
    <d v="2025-08-15T00:00:00"/>
    <x v="3"/>
    <x v="13"/>
    <s v="Ajax"/>
    <n v="6"/>
    <x v="4"/>
    <x v="0"/>
    <n v="12933"/>
    <x v="13"/>
    <s v="Anthony Taylor"/>
    <x v="4"/>
  </r>
  <r>
    <s v="M1190"/>
    <d v="2025-08-17T00:00:00"/>
    <x v="2"/>
    <x v="5"/>
    <s v="Ac Milan"/>
    <n v="2"/>
    <x v="3"/>
    <x v="0"/>
    <n v="46001"/>
    <x v="0"/>
    <s v="M. Oliver"/>
    <x v="4"/>
  </r>
  <r>
    <s v="M1324"/>
    <d v="2025-08-17T00:00:00"/>
    <x v="0"/>
    <x v="6"/>
    <s v="Chelsea"/>
    <n v="3"/>
    <x v="1"/>
    <x v="0"/>
    <n v="0"/>
    <x v="4"/>
    <s v="A. Taylor"/>
    <x v="0"/>
  </r>
  <r>
    <s v="M1529"/>
    <d v="2025-08-18T00:00:00"/>
    <x v="0"/>
    <x v="9"/>
    <s v="Paris Saint-Germain"/>
    <n v="1"/>
    <x v="1"/>
    <x v="2"/>
    <n v="76990"/>
    <x v="5"/>
    <s v="Unknown"/>
    <x v="1"/>
  </r>
  <r>
    <s v="M1131"/>
    <d v="2025-08-20T00:00:00"/>
    <x v="0"/>
    <x v="7"/>
    <s v="Tottenham Hotspur"/>
    <n v="4"/>
    <x v="0"/>
    <x v="0"/>
    <n v="60684"/>
    <x v="7"/>
    <s v="A. Taylor"/>
    <x v="1"/>
  </r>
  <r>
    <s v="M1003"/>
    <d v="2025-08-21T00:00:00"/>
    <x v="2"/>
    <x v="7"/>
    <s v="Borussia Dortmund"/>
    <n v="1"/>
    <x v="1"/>
    <x v="2"/>
    <n v="9351"/>
    <x v="6"/>
    <s v="Michael Oliver"/>
    <x v="4"/>
  </r>
  <r>
    <s v="M1188"/>
    <d v="2025-08-23T00:00:00"/>
    <x v="4"/>
    <x v="1"/>
    <s v="Tottenham Hotspur"/>
    <n v="1"/>
    <x v="0"/>
    <x v="1"/>
    <n v="71222"/>
    <x v="8"/>
    <s v="Michael Oliver"/>
    <x v="2"/>
  </r>
  <r>
    <s v="M1362"/>
    <d v="2025-08-24T00:00:00"/>
    <x v="0"/>
    <x v="3"/>
    <s v="Paris Saint-Germain"/>
    <n v="3"/>
    <x v="1"/>
    <x v="0"/>
    <n v="62244"/>
    <x v="11"/>
    <s v="A. Taylor"/>
    <x v="0"/>
  </r>
  <r>
    <s v="M1474"/>
    <d v="2025-08-26T00:00:00"/>
    <x v="3"/>
    <x v="18"/>
    <s v="Borussia Dortmund"/>
    <n v="3"/>
    <x v="0"/>
    <x v="0"/>
    <n v="36987"/>
    <x v="12"/>
    <s v="A. Taylor"/>
    <x v="0"/>
  </r>
  <r>
    <s v="M1585"/>
    <d v="2025-08-30T00:00:00"/>
    <x v="2"/>
    <x v="3"/>
    <s v="Manchester United"/>
    <n v="2"/>
    <x v="1"/>
    <x v="0"/>
    <n v="34547"/>
    <x v="0"/>
    <s v="M. Oliver"/>
    <x v="4"/>
  </r>
  <r>
    <s v="M1102"/>
    <d v="2025-09-02T00:00:00"/>
    <x v="2"/>
    <x v="13"/>
    <s v="Manchester City"/>
    <n v="0"/>
    <x v="3"/>
    <x v="3"/>
    <n v="23371"/>
    <x v="14"/>
    <s v="Anthony Taylor"/>
    <x v="4"/>
  </r>
  <r>
    <s v="M1104"/>
    <d v="2025-09-02T00:00:00"/>
    <x v="3"/>
    <x v="0"/>
    <s v="Newcastle United"/>
    <n v="0"/>
    <x v="1"/>
    <x v="1"/>
    <n v="75116"/>
    <x v="2"/>
    <s v="Michael Oliver"/>
    <x v="1"/>
  </r>
  <r>
    <s v="M1040"/>
    <d v="2025-09-03T00:00:00"/>
    <x v="0"/>
    <x v="3"/>
    <s v="Newcastle United"/>
    <n v="2"/>
    <x v="0"/>
    <x v="2"/>
    <n v="18362"/>
    <x v="2"/>
    <s v="Michael Oliver"/>
    <x v="0"/>
  </r>
  <r>
    <s v="M1279"/>
    <d v="2025-09-03T00:00:00"/>
    <x v="2"/>
    <x v="1"/>
    <s v="Barcelona"/>
    <n v="1"/>
    <x v="3"/>
    <x v="0"/>
    <n v="78720"/>
    <x v="7"/>
    <s v="M. Oliver"/>
    <x v="0"/>
  </r>
  <r>
    <s v="M1090"/>
    <d v="2025-09-04T00:00:00"/>
    <x v="4"/>
    <x v="0"/>
    <s v="Arsenal"/>
    <n v="0"/>
    <x v="3"/>
    <x v="2"/>
    <n v="70092"/>
    <x v="10"/>
    <s v="M. Oliver"/>
    <x v="2"/>
  </r>
  <r>
    <s v="M1293"/>
    <d v="2025-09-10T00:00:00"/>
    <x v="0"/>
    <x v="15"/>
    <s v="Barcelona"/>
    <n v="2"/>
    <x v="3"/>
    <x v="0"/>
    <n v="54888"/>
    <x v="4"/>
    <s v="Anthony Taylor"/>
    <x v="0"/>
  </r>
  <r>
    <s v="M1499"/>
    <d v="2025-09-10T00:00:00"/>
    <x v="3"/>
    <x v="8"/>
    <s v="Paris Saint-Germain"/>
    <n v="0"/>
    <x v="3"/>
    <x v="2"/>
    <n v="60153"/>
    <x v="4"/>
    <s v="Unknown"/>
    <x v="1"/>
  </r>
  <r>
    <s v="M1532"/>
    <d v="2025-09-15T00:00:00"/>
    <x v="3"/>
    <x v="15"/>
    <s v="Barcelona"/>
    <n v="2"/>
    <x v="1"/>
    <x v="0"/>
    <n v="71907"/>
    <x v="7"/>
    <s v="C. Pawson"/>
    <x v="0"/>
  </r>
  <r>
    <s v="M1560"/>
    <d v="2025-09-15T00:00:00"/>
    <x v="5"/>
    <x v="5"/>
    <s v="Barcelona"/>
    <n v="4"/>
    <x v="1"/>
    <x v="0"/>
    <n v="62470"/>
    <x v="5"/>
    <s v="S. Marciniak"/>
    <x v="4"/>
  </r>
  <r>
    <s v="M1087"/>
    <d v="2025-09-16T00:00:00"/>
    <x v="3"/>
    <x v="0"/>
    <s v="Liverpool"/>
    <n v="3"/>
    <x v="0"/>
    <x v="0"/>
    <n v="38081"/>
    <x v="6"/>
    <s v="Unknown"/>
    <x v="0"/>
  </r>
  <r>
    <s v="M1168"/>
    <d v="2025-09-16T00:00:00"/>
    <x v="3"/>
    <x v="2"/>
    <s v="Liverpool"/>
    <n v="2"/>
    <x v="1"/>
    <x v="0"/>
    <n v="28209"/>
    <x v="0"/>
    <s v="Anthony Taylor"/>
    <x v="4"/>
  </r>
  <r>
    <s v="M1232"/>
    <d v="2025-09-21T00:00:00"/>
    <x v="2"/>
    <x v="10"/>
    <s v="Tottenham Hotspur"/>
    <n v="4"/>
    <x v="2"/>
    <x v="0"/>
    <n v="46221"/>
    <x v="5"/>
    <s v="Unknown"/>
    <x v="0"/>
  </r>
  <r>
    <s v="M1219"/>
    <d v="2025-09-24T00:00:00"/>
    <x v="0"/>
    <x v="1"/>
    <s v="Barcelona"/>
    <n v="1"/>
    <x v="0"/>
    <x v="1"/>
    <n v="59139"/>
    <x v="4"/>
    <s v="Unknown"/>
    <x v="0"/>
  </r>
  <r>
    <s v="M1389"/>
    <d v="2025-09-24T00:00:00"/>
    <x v="1"/>
    <x v="3"/>
    <s v="Benfica"/>
    <n v="2"/>
    <x v="4"/>
    <x v="1"/>
    <n v="37760"/>
    <x v="8"/>
    <s v="Michael Oliver"/>
    <x v="0"/>
  </r>
  <r>
    <s v="M1266"/>
    <d v="2025-09-25T00:00:00"/>
    <x v="3"/>
    <x v="17"/>
    <s v="Manchester United"/>
    <n v="1"/>
    <x v="1"/>
    <x v="2"/>
    <n v="26075"/>
    <x v="3"/>
    <s v="A. Taylor"/>
    <x v="3"/>
  </r>
  <r>
    <s v="M1384"/>
    <d v="2025-09-27T00:00:00"/>
    <x v="4"/>
    <x v="8"/>
    <s v="Liverpool"/>
    <n v="4"/>
    <x v="2"/>
    <x v="0"/>
    <n v="79557"/>
    <x v="7"/>
    <s v="Michael Oliver"/>
    <x v="0"/>
  </r>
  <r>
    <s v="M1361"/>
    <d v="2025-09-28T00:00:00"/>
    <x v="2"/>
    <x v="13"/>
    <s v="Manchester City"/>
    <n v="3"/>
    <x v="0"/>
    <x v="0"/>
    <n v="0"/>
    <x v="10"/>
    <s v="Unknown"/>
    <x v="2"/>
  </r>
  <r>
    <s v="M1133"/>
    <d v="2025-09-30T00:00:00"/>
    <x v="3"/>
    <x v="6"/>
    <s v="Inter Milan"/>
    <n v="1"/>
    <x v="2"/>
    <x v="1"/>
    <n v="35652"/>
    <x v="9"/>
    <s v="A. Taylor"/>
    <x v="2"/>
  </r>
  <r>
    <s v="M1322"/>
    <d v="2025-10-01T00:00:00"/>
    <x v="2"/>
    <x v="13"/>
    <s v="Manchester United"/>
    <n v="0"/>
    <x v="2"/>
    <x v="1"/>
    <n v="12785"/>
    <x v="7"/>
    <s v="A. Taylor"/>
    <x v="0"/>
  </r>
  <r>
    <s v="M1284"/>
    <d v="2025-10-02T00:00:00"/>
    <x v="3"/>
    <x v="4"/>
    <s v="Manchester City"/>
    <n v="5"/>
    <x v="6"/>
    <x v="2"/>
    <n v="14077"/>
    <x v="12"/>
    <s v="A. Taylor"/>
    <x v="4"/>
  </r>
  <r>
    <s v="M1287"/>
    <d v="2025-10-04T00:00:00"/>
    <x v="3"/>
    <x v="8"/>
    <s v="Chelsea"/>
    <n v="3"/>
    <x v="1"/>
    <x v="0"/>
    <n v="51980"/>
    <x v="10"/>
    <s v="Michael Oliver"/>
    <x v="4"/>
  </r>
  <r>
    <s v="M1356"/>
    <d v="2025-10-04T00:00:00"/>
    <x v="0"/>
    <x v="1"/>
    <s v="Real Madrid"/>
    <n v="1"/>
    <x v="3"/>
    <x v="0"/>
    <n v="23617"/>
    <x v="10"/>
    <s v="Unknown"/>
    <x v="1"/>
  </r>
  <r>
    <s v="M1240"/>
    <d v="2025-10-07T00:00:00"/>
    <x v="1"/>
    <x v="1"/>
    <s v="Manchester City"/>
    <n v="2"/>
    <x v="4"/>
    <x v="1"/>
    <n v="45798"/>
    <x v="14"/>
    <s v="Unknown"/>
    <x v="0"/>
  </r>
  <r>
    <s v="M1347"/>
    <d v="2025-10-08T00:00:00"/>
    <x v="0"/>
    <x v="6"/>
    <s v="Tottenham Hotspur"/>
    <n v="1"/>
    <x v="0"/>
    <x v="1"/>
    <n v="70236"/>
    <x v="6"/>
    <s v="Anthony Taylor"/>
    <x v="1"/>
  </r>
  <r>
    <s v="M1093"/>
    <d v="2025-10-09T00:00:00"/>
    <x v="4"/>
    <x v="9"/>
    <s v="Borussia Dortmund"/>
    <n v="4"/>
    <x v="1"/>
    <x v="0"/>
    <n v="48357"/>
    <x v="2"/>
    <s v="Daniele Orsato"/>
    <x v="3"/>
  </r>
  <r>
    <s v="M1456"/>
    <d v="2025-10-09T00:00:00"/>
    <x v="4"/>
    <x v="10"/>
    <s v="Inter Milan"/>
    <n v="2"/>
    <x v="1"/>
    <x v="0"/>
    <n v="55502"/>
    <x v="9"/>
    <s v="M. Oliver"/>
    <x v="4"/>
  </r>
  <r>
    <s v="M1185"/>
    <d v="2025-10-12T00:00:00"/>
    <x v="0"/>
    <x v="5"/>
    <s v="Chelsea"/>
    <n v="1"/>
    <x v="0"/>
    <x v="1"/>
    <n v="77114"/>
    <x v="0"/>
    <s v="Anthony Taylor"/>
    <x v="0"/>
  </r>
  <r>
    <s v="M1024"/>
    <d v="2025-10-13T00:00:00"/>
    <x v="5"/>
    <x v="8"/>
    <s v="Liverpool"/>
    <n v="2"/>
    <x v="1"/>
    <x v="0"/>
    <n v="61854"/>
    <x v="12"/>
    <s v="Anthony Taylor"/>
    <x v="1"/>
  </r>
  <r>
    <s v="M1429"/>
    <d v="2025-10-15T00:00:00"/>
    <x v="2"/>
    <x v="1"/>
    <s v="Barcelona"/>
    <n v="3"/>
    <x v="1"/>
    <x v="0"/>
    <n v="78575"/>
    <x v="8"/>
    <s v="Unknown"/>
    <x v="4"/>
  </r>
  <r>
    <s v="M1547"/>
    <d v="2025-10-18T00:00:00"/>
    <x v="2"/>
    <x v="5"/>
    <s v="Arsenal"/>
    <n v="1"/>
    <x v="4"/>
    <x v="1"/>
    <n v="73904"/>
    <x v="2"/>
    <s v="A. Taylor"/>
    <x v="2"/>
  </r>
  <r>
    <s v="M1156"/>
    <d v="2025-10-23T00:00:00"/>
    <x v="4"/>
    <x v="12"/>
    <s v="Manchester City"/>
    <n v="1"/>
    <x v="1"/>
    <x v="2"/>
    <n v="46447"/>
    <x v="10"/>
    <s v="Daniele Orsato"/>
    <x v="4"/>
  </r>
  <r>
    <s v="M1262"/>
    <d v="2025-10-23T00:00:00"/>
    <x v="1"/>
    <x v="16"/>
    <s v="Ajax"/>
    <n v="1"/>
    <x v="0"/>
    <x v="1"/>
    <n v="39551"/>
    <x v="7"/>
    <s v="Michael Oliver"/>
    <x v="4"/>
  </r>
  <r>
    <s v="M1528"/>
    <d v="2025-10-23T00:00:00"/>
    <x v="4"/>
    <x v="5"/>
    <s v="Barcelona"/>
    <n v="0"/>
    <x v="3"/>
    <x v="2"/>
    <n v="38975"/>
    <x v="13"/>
    <s v="Anthony Taylor"/>
    <x v="3"/>
  </r>
  <r>
    <s v="M1161"/>
    <d v="2025-10-30T00:00:00"/>
    <x v="3"/>
    <x v="14"/>
    <s v="Barcelona"/>
    <n v="1"/>
    <x v="4"/>
    <x v="1"/>
    <n v="0"/>
    <x v="13"/>
    <s v="S. Marciniak"/>
    <x v="2"/>
  </r>
  <r>
    <s v="M1053"/>
    <d v="2025-10-31T00:00:00"/>
    <x v="4"/>
    <x v="15"/>
    <s v="Inter Milan"/>
    <n v="2"/>
    <x v="1"/>
    <x v="0"/>
    <n v="66454"/>
    <x v="8"/>
    <s v="A. Taylor"/>
    <x v="0"/>
  </r>
  <r>
    <s v="M1523"/>
    <d v="2025-11-06T00:00:00"/>
    <x v="3"/>
    <x v="6"/>
    <s v="Inter Milan"/>
    <n v="3"/>
    <x v="1"/>
    <x v="0"/>
    <n v="43171"/>
    <x v="1"/>
    <s v="S. Marciniak"/>
    <x v="0"/>
  </r>
  <r>
    <s v="M1381"/>
    <d v="2025-11-09T00:00:00"/>
    <x v="0"/>
    <x v="5"/>
    <s v="Juventus"/>
    <n v="6"/>
    <x v="6"/>
    <x v="0"/>
    <n v="40987"/>
    <x v="8"/>
    <s v="A. Taylor"/>
    <x v="3"/>
  </r>
  <r>
    <s v="M1484"/>
    <d v="2025-11-09T00:00:00"/>
    <x v="4"/>
    <x v="6"/>
    <s v="Arsenal"/>
    <n v="3"/>
    <x v="3"/>
    <x v="0"/>
    <n v="28790"/>
    <x v="11"/>
    <s v="Michael Oliver"/>
    <x v="3"/>
  </r>
  <r>
    <s v="M1012"/>
    <d v="2025-11-10T00:00:00"/>
    <x v="1"/>
    <x v="8"/>
    <s v="Chelsea"/>
    <n v="1"/>
    <x v="0"/>
    <x v="1"/>
    <n v="37246"/>
    <x v="1"/>
    <s v="Unknown"/>
    <x v="0"/>
  </r>
  <r>
    <s v="M1471"/>
    <d v="2025-11-11T00:00:00"/>
    <x v="0"/>
    <x v="17"/>
    <s v="Newcastle United"/>
    <n v="2"/>
    <x v="0"/>
    <x v="2"/>
    <n v="31260"/>
    <x v="2"/>
    <s v="Michael Oliver"/>
    <x v="1"/>
  </r>
  <r>
    <s v="M1544"/>
    <d v="2025-11-14T00:00:00"/>
    <x v="2"/>
    <x v="15"/>
    <s v="Paris Saint-Germain"/>
    <n v="3"/>
    <x v="1"/>
    <x v="0"/>
    <n v="17354"/>
    <x v="3"/>
    <s v="A. Taylor"/>
    <x v="4"/>
  </r>
  <r>
    <s v="M1470"/>
    <d v="2025-11-19T00:00:00"/>
    <x v="4"/>
    <x v="15"/>
    <s v="Bayern Munich"/>
    <n v="4"/>
    <x v="3"/>
    <x v="0"/>
    <n v="9068"/>
    <x v="4"/>
    <s v="M. Oliver"/>
    <x v="0"/>
  </r>
  <r>
    <s v="M1510"/>
    <d v="2025-11-20T00:00:00"/>
    <x v="4"/>
    <x v="5"/>
    <s v="Chelsea"/>
    <n v="2"/>
    <x v="1"/>
    <x v="0"/>
    <n v="74183"/>
    <x v="4"/>
    <s v="Anthony Taylor"/>
    <x v="0"/>
  </r>
  <r>
    <s v="M1109"/>
    <d v="2025-11-21T00:00:00"/>
    <x v="4"/>
    <x v="10"/>
    <s v="Benfica"/>
    <n v="1"/>
    <x v="3"/>
    <x v="0"/>
    <n v="21569"/>
    <x v="4"/>
    <s v="Unknown"/>
    <x v="1"/>
  </r>
  <r>
    <s v="M1571"/>
    <d v="2025-11-23T00:00:00"/>
    <x v="3"/>
    <x v="8"/>
    <s v="Arsenal"/>
    <n v="2"/>
    <x v="0"/>
    <x v="2"/>
    <n v="65513"/>
    <x v="4"/>
    <s v="Unknown"/>
    <x v="3"/>
  </r>
  <r>
    <s v="M1520"/>
    <d v="2025-11-26T00:00:00"/>
    <x v="0"/>
    <x v="6"/>
    <s v="Barcelona"/>
    <n v="1"/>
    <x v="0"/>
    <x v="1"/>
    <n v="27749"/>
    <x v="11"/>
    <s v="Michael Oliver"/>
    <x v="3"/>
  </r>
  <r>
    <s v="M1444"/>
    <d v="2025-11-29T00:00:00"/>
    <x v="0"/>
    <x v="9"/>
    <s v="Manchester United"/>
    <n v="6"/>
    <x v="0"/>
    <x v="0"/>
    <n v="14822"/>
    <x v="2"/>
    <s v="Anthony Taylor"/>
    <x v="0"/>
  </r>
  <r>
    <s v="M1058"/>
    <d v="2025-12-02T00:00:00"/>
    <x v="4"/>
    <x v="10"/>
    <s v="Barcelona"/>
    <n v="1"/>
    <x v="0"/>
    <x v="1"/>
    <n v="74662"/>
    <x v="3"/>
    <s v="Unknown"/>
    <x v="0"/>
  </r>
  <r>
    <s v="M1592"/>
    <d v="2025-12-09T00:00:00"/>
    <x v="0"/>
    <x v="12"/>
    <s v="Ac Milan"/>
    <n v="4"/>
    <x v="0"/>
    <x v="0"/>
    <n v="78117"/>
    <x v="1"/>
    <s v="Unknown"/>
    <x v="3"/>
  </r>
  <r>
    <s v="M1153"/>
    <d v="2025-12-10T00:00:00"/>
    <x v="2"/>
    <x v="0"/>
    <s v="Tottenham Hotspur"/>
    <n v="0"/>
    <x v="1"/>
    <x v="1"/>
    <n v="26487"/>
    <x v="6"/>
    <s v="C. Pawson"/>
    <x v="3"/>
  </r>
  <r>
    <s v="M1472"/>
    <d v="2025-12-12T00:00:00"/>
    <x v="4"/>
    <x v="5"/>
    <s v="Bayern Munich"/>
    <n v="2"/>
    <x v="1"/>
    <x v="0"/>
    <n v="63375"/>
    <x v="9"/>
    <s v="A. Taylor"/>
    <x v="3"/>
  </r>
  <r>
    <s v="M1518"/>
    <d v="2025-12-15T00:00:00"/>
    <x v="2"/>
    <x v="13"/>
    <s v="Tottenham Hotspur"/>
    <n v="2"/>
    <x v="3"/>
    <x v="0"/>
    <n v="62844"/>
    <x v="6"/>
    <s v="S. Marciniak"/>
    <x v="4"/>
  </r>
  <r>
    <s v="M1482"/>
    <d v="2025-12-18T00:00:00"/>
    <x v="2"/>
    <x v="8"/>
    <s v="Borussia Dortmund"/>
    <n v="1"/>
    <x v="0"/>
    <x v="1"/>
    <n v="47058"/>
    <x v="14"/>
    <s v="Michael Oliver"/>
    <x v="4"/>
  </r>
  <r>
    <s v="M1038"/>
    <d v="2025-12-21T00:00:00"/>
    <x v="2"/>
    <x v="0"/>
    <s v="Manchester City"/>
    <n v="1"/>
    <x v="1"/>
    <x v="2"/>
    <n v="74744"/>
    <x v="14"/>
    <s v="C. Pawson"/>
    <x v="1"/>
  </r>
  <r>
    <s v="M1141"/>
    <d v="2025-12-22T00:00:00"/>
    <x v="0"/>
    <x v="15"/>
    <s v="Real Madrid"/>
    <n v="1"/>
    <x v="2"/>
    <x v="1"/>
    <n v="80764"/>
    <x v="10"/>
    <s v="A. Taylor"/>
    <x v="4"/>
  </r>
  <r>
    <s v="M1598"/>
    <d v="2025-12-23T00:00:00"/>
    <x v="2"/>
    <x v="5"/>
    <s v="Chelsea"/>
    <n v="2"/>
    <x v="3"/>
    <x v="0"/>
    <n v="72909"/>
    <x v="13"/>
    <s v="Anthony Taylor"/>
    <x v="0"/>
  </r>
  <r>
    <s v="M1507"/>
    <d v="2025-12-25T00:00:00"/>
    <x v="0"/>
    <x v="13"/>
    <s v="Bayern Munich"/>
    <n v="0"/>
    <x v="1"/>
    <x v="1"/>
    <n v="79097"/>
    <x v="12"/>
    <s v="C. Pawson"/>
    <x v="4"/>
  </r>
  <r>
    <s v="M1522"/>
    <d v="2025-12-25T00:00:00"/>
    <x v="0"/>
    <x v="13"/>
    <s v="Newcastle United"/>
    <n v="6"/>
    <x v="2"/>
    <x v="0"/>
    <n v="37252"/>
    <x v="13"/>
    <s v="Daniele Orsato"/>
    <x v="0"/>
  </r>
  <r>
    <s v="M1412"/>
    <d v="2025-12-30T00:00:00"/>
    <x v="4"/>
    <x v="10"/>
    <s v="Barcelona"/>
    <n v="2"/>
    <x v="3"/>
    <x v="0"/>
    <n v="27355"/>
    <x v="9"/>
    <s v="Daniele Orsato"/>
    <x v="1"/>
  </r>
  <r>
    <s v="M1115"/>
    <d v="2025-12-31T00:00:00"/>
    <x v="2"/>
    <x v="13"/>
    <s v="Manchester United"/>
    <n v="3"/>
    <x v="0"/>
    <x v="0"/>
    <n v="73730"/>
    <x v="9"/>
    <s v="Michael Oliver"/>
    <x v="2"/>
  </r>
  <r>
    <s v="M1228"/>
    <d v="2026-01-04T00:00:00"/>
    <x v="0"/>
    <x v="10"/>
    <s v="Juventus"/>
    <n v="4"/>
    <x v="2"/>
    <x v="0"/>
    <n v="26598"/>
    <x v="4"/>
    <s v="A. Taylor"/>
    <x v="0"/>
  </r>
  <r>
    <s v="M1391"/>
    <d v="2026-01-04T00:00:00"/>
    <x v="4"/>
    <x v="9"/>
    <s v="Manchester City"/>
    <n v="1"/>
    <x v="0"/>
    <x v="1"/>
    <n v="26934"/>
    <x v="0"/>
    <s v="Anthony Taylor"/>
    <x v="2"/>
  </r>
  <r>
    <s v="M1200"/>
    <d v="2026-01-05T00:00:00"/>
    <x v="4"/>
    <x v="15"/>
    <s v="Arsenal"/>
    <n v="1"/>
    <x v="4"/>
    <x v="1"/>
    <n v="34737"/>
    <x v="5"/>
    <s v="Michael Oliver"/>
    <x v="1"/>
  </r>
  <r>
    <s v="M1460"/>
    <d v="2026-01-07T00:00:00"/>
    <x v="0"/>
    <x v="18"/>
    <s v="Barcelona"/>
    <n v="0"/>
    <x v="0"/>
    <x v="1"/>
    <n v="74765"/>
    <x v="13"/>
    <s v="Unknown"/>
    <x v="0"/>
  </r>
  <r>
    <s v="M1577"/>
    <d v="2026-01-07T00:00:00"/>
    <x v="2"/>
    <x v="14"/>
    <s v="Inter Milan"/>
    <n v="3"/>
    <x v="0"/>
    <x v="0"/>
    <n v="78222"/>
    <x v="6"/>
    <s v="C. Pawson"/>
    <x v="0"/>
  </r>
  <r>
    <s v="M1289"/>
    <d v="2026-01-09T00:00:00"/>
    <x v="1"/>
    <x v="9"/>
    <s v="Juventus"/>
    <n v="4"/>
    <x v="1"/>
    <x v="0"/>
    <n v="12383"/>
    <x v="8"/>
    <s v="C. Pawson"/>
    <x v="0"/>
  </r>
  <r>
    <s v="M1504"/>
    <d v="2026-01-14T00:00:00"/>
    <x v="0"/>
    <x v="15"/>
    <s v="Manchester City"/>
    <n v="2"/>
    <x v="0"/>
    <x v="2"/>
    <n v="56274"/>
    <x v="6"/>
    <s v="S. Marciniak"/>
    <x v="4"/>
  </r>
  <r>
    <s v="M1459"/>
    <d v="2026-01-18T00:00:00"/>
    <x v="2"/>
    <x v="10"/>
    <s v="Borussia Dortmund"/>
    <n v="0"/>
    <x v="0"/>
    <x v="1"/>
    <n v="71667"/>
    <x v="0"/>
    <s v="Daniele Orsato"/>
    <x v="2"/>
  </r>
  <r>
    <s v="M1488"/>
    <d v="2026-01-18T00:00:00"/>
    <x v="0"/>
    <x v="11"/>
    <s v="Juventus"/>
    <n v="2"/>
    <x v="5"/>
    <x v="1"/>
    <n v="23536"/>
    <x v="8"/>
    <s v="S. Marciniak"/>
    <x v="0"/>
  </r>
  <r>
    <s v="M1281"/>
    <d v="2026-01-21T00:00:00"/>
    <x v="2"/>
    <x v="0"/>
    <s v="Arsenal"/>
    <n v="2"/>
    <x v="2"/>
    <x v="1"/>
    <n v="60522"/>
    <x v="5"/>
    <s v="S. Marciniak"/>
    <x v="4"/>
  </r>
  <r>
    <s v="M1220"/>
    <d v="2026-01-28T00:00:00"/>
    <x v="0"/>
    <x v="0"/>
    <s v="Ac Milan"/>
    <n v="2"/>
    <x v="3"/>
    <x v="0"/>
    <n v="60129"/>
    <x v="0"/>
    <s v="S. Marciniak"/>
    <x v="0"/>
  </r>
  <r>
    <s v="M1140"/>
    <d v="2026-01-30T00:00:00"/>
    <x v="1"/>
    <x v="6"/>
    <s v="Chelsea"/>
    <n v="2"/>
    <x v="0"/>
    <x v="2"/>
    <n v="58425"/>
    <x v="9"/>
    <s v="Unknown"/>
    <x v="3"/>
  </r>
  <r>
    <s v="M1485"/>
    <d v="2026-02-01T00:00:00"/>
    <x v="4"/>
    <x v="9"/>
    <s v="Manchester United"/>
    <n v="2"/>
    <x v="0"/>
    <x v="2"/>
    <n v="80610"/>
    <x v="0"/>
    <s v="Anthony Taylor"/>
    <x v="4"/>
  </r>
  <r>
    <s v="M1492"/>
    <d v="2026-02-04T00:00:00"/>
    <x v="2"/>
    <x v="8"/>
    <s v="Manchester United"/>
    <n v="0"/>
    <x v="0"/>
    <x v="1"/>
    <n v="64101"/>
    <x v="13"/>
    <s v="Anthony Taylor"/>
    <x v="2"/>
  </r>
  <r>
    <s v="M1569"/>
    <d v="2026-02-04T00:00:00"/>
    <x v="0"/>
    <x v="2"/>
    <s v="Newcastle United"/>
    <n v="0"/>
    <x v="0"/>
    <x v="1"/>
    <n v="12244"/>
    <x v="10"/>
    <s v="S. Marciniak"/>
    <x v="3"/>
  </r>
  <r>
    <s v="M1072"/>
    <d v="2026-02-05T00:00:00"/>
    <x v="2"/>
    <x v="8"/>
    <s v="Borussia Dortmund"/>
    <n v="1"/>
    <x v="0"/>
    <x v="1"/>
    <n v="24366"/>
    <x v="6"/>
    <s v="M. Oliver"/>
    <x v="3"/>
  </r>
  <r>
    <s v="M1331"/>
    <d v="2026-02-06T00:00:00"/>
    <x v="0"/>
    <x v="7"/>
    <s v="Chelsea"/>
    <n v="1"/>
    <x v="1"/>
    <x v="2"/>
    <n v="61302"/>
    <x v="4"/>
    <s v="C. Pawson"/>
    <x v="4"/>
  </r>
  <r>
    <s v="M1006"/>
    <d v="2026-02-08T00:00:00"/>
    <x v="3"/>
    <x v="8"/>
    <s v="Manchester City"/>
    <n v="2"/>
    <x v="2"/>
    <x v="1"/>
    <n v="33703"/>
    <x v="2"/>
    <s v="Anthony Taylor"/>
    <x v="1"/>
  </r>
  <r>
    <s v="M1149"/>
    <d v="2026-02-17T00:00:00"/>
    <x v="3"/>
    <x v="6"/>
    <s v="Borussia Dortmund"/>
    <n v="5"/>
    <x v="3"/>
    <x v="0"/>
    <n v="36697"/>
    <x v="3"/>
    <s v="Unknown"/>
    <x v="0"/>
  </r>
  <r>
    <s v="M1159"/>
    <d v="2026-02-17T00:00:00"/>
    <x v="1"/>
    <x v="1"/>
    <s v="Real Madrid"/>
    <n v="0"/>
    <x v="0"/>
    <x v="1"/>
    <n v="54519"/>
    <x v="2"/>
    <s v="Michael Oliver"/>
    <x v="2"/>
  </r>
  <r>
    <s v="M1113"/>
    <d v="2026-02-18T00:00:00"/>
    <x v="0"/>
    <x v="6"/>
    <s v="Juventus"/>
    <n v="2"/>
    <x v="3"/>
    <x v="0"/>
    <n v="47751"/>
    <x v="11"/>
    <s v="M. Oliver"/>
    <x v="3"/>
  </r>
  <r>
    <s v="M1303"/>
    <d v="2026-02-18T00:00:00"/>
    <x v="0"/>
    <x v="10"/>
    <s v="Liverpool"/>
    <n v="1"/>
    <x v="1"/>
    <x v="2"/>
    <n v="63960"/>
    <x v="6"/>
    <s v="Daniele Orsato"/>
    <x v="1"/>
  </r>
  <r>
    <s v="M1436"/>
    <d v="2026-02-20T00:00:00"/>
    <x v="2"/>
    <x v="13"/>
    <s v="Manchester City"/>
    <n v="0"/>
    <x v="1"/>
    <x v="1"/>
    <n v="30599"/>
    <x v="9"/>
    <s v="Michael Oliver"/>
    <x v="0"/>
  </r>
  <r>
    <s v="M1419"/>
    <d v="2026-02-22T00:00:00"/>
    <x v="2"/>
    <x v="10"/>
    <s v="Tottenham Hotspur"/>
    <n v="4"/>
    <x v="0"/>
    <x v="0"/>
    <n v="57319"/>
    <x v="14"/>
    <s v="Unknown"/>
    <x v="2"/>
  </r>
  <r>
    <s v="M1211"/>
    <d v="2026-03-01T00:00:00"/>
    <x v="3"/>
    <x v="15"/>
    <s v="Atletico Madrid"/>
    <n v="0"/>
    <x v="2"/>
    <x v="1"/>
    <n v="46467"/>
    <x v="8"/>
    <s v="C. Pawson"/>
    <x v="0"/>
  </r>
  <r>
    <s v="M1243"/>
    <d v="2026-03-01T00:00:00"/>
    <x v="3"/>
    <x v="9"/>
    <s v="Paris Saint-Germain"/>
    <n v="4"/>
    <x v="2"/>
    <x v="0"/>
    <n v="51482"/>
    <x v="5"/>
    <s v="Daniele Orsato"/>
    <x v="4"/>
  </r>
  <r>
    <s v="M1195"/>
    <d v="2026-03-02T00:00:00"/>
    <x v="0"/>
    <x v="15"/>
    <s v="Chelsea"/>
    <n v="5"/>
    <x v="4"/>
    <x v="0"/>
    <n v="61742"/>
    <x v="0"/>
    <s v="Unknown"/>
    <x v="4"/>
  </r>
  <r>
    <s v="M1489"/>
    <d v="2026-03-08T00:00:00"/>
    <x v="0"/>
    <x v="0"/>
    <s v="Paris Saint-Germain"/>
    <n v="2"/>
    <x v="0"/>
    <x v="2"/>
    <n v="50565"/>
    <x v="3"/>
    <s v="Anthony Taylor"/>
    <x v="4"/>
  </r>
  <r>
    <s v="M1170"/>
    <d v="2026-03-10T00:00:00"/>
    <x v="3"/>
    <x v="8"/>
    <s v="Tottenham Hotspur"/>
    <n v="3"/>
    <x v="2"/>
    <x v="2"/>
    <n v="20749"/>
    <x v="8"/>
    <s v="Daniele Orsato"/>
    <x v="0"/>
  </r>
  <r>
    <s v="M1319"/>
    <d v="2026-03-14T00:00:00"/>
    <x v="0"/>
    <x v="8"/>
    <s v="Borussia Dortmund"/>
    <n v="4"/>
    <x v="3"/>
    <x v="0"/>
    <n v="72678"/>
    <x v="7"/>
    <s v="Michael Oliver"/>
    <x v="2"/>
  </r>
  <r>
    <s v="M1238"/>
    <d v="2026-03-15T00:00:00"/>
    <x v="3"/>
    <x v="2"/>
    <s v="Manchester City"/>
    <n v="0"/>
    <x v="2"/>
    <x v="1"/>
    <n v="38937"/>
    <x v="4"/>
    <s v="M. Oliver"/>
    <x v="4"/>
  </r>
  <r>
    <s v="M1576"/>
    <d v="2026-03-15T00:00:00"/>
    <x v="2"/>
    <x v="3"/>
    <s v="Borussia Dortmund"/>
    <n v="1"/>
    <x v="1"/>
    <x v="2"/>
    <n v="18882"/>
    <x v="3"/>
    <s v="A. Taylor"/>
    <x v="0"/>
  </r>
  <r>
    <s v="M1267"/>
    <d v="2026-03-17T00:00:00"/>
    <x v="1"/>
    <x v="13"/>
    <s v="Manchester City"/>
    <n v="0"/>
    <x v="1"/>
    <x v="1"/>
    <n v="20619"/>
    <x v="4"/>
    <s v="A. Taylor"/>
    <x v="1"/>
  </r>
  <r>
    <s v="M1377"/>
    <d v="2026-03-18T00:00:00"/>
    <x v="3"/>
    <x v="9"/>
    <s v="Chelsea"/>
    <n v="1"/>
    <x v="1"/>
    <x v="2"/>
    <n v="71287"/>
    <x v="11"/>
    <s v="Anthony Taylor"/>
    <x v="3"/>
  </r>
  <r>
    <s v="M1351"/>
    <d v="2026-03-23T00:00:00"/>
    <x v="4"/>
    <x v="7"/>
    <s v="Juventus"/>
    <n v="2"/>
    <x v="3"/>
    <x v="0"/>
    <n v="39778"/>
    <x v="11"/>
    <s v="A. Taylor"/>
    <x v="1"/>
  </r>
  <r>
    <s v="M1422"/>
    <d v="2026-03-27T00:00:00"/>
    <x v="0"/>
    <x v="13"/>
    <s v="Chelsea"/>
    <n v="1"/>
    <x v="3"/>
    <x v="0"/>
    <n v="70640"/>
    <x v="1"/>
    <s v="Michael Oliver"/>
    <x v="4"/>
  </r>
  <r>
    <s v="M1325"/>
    <d v="2026-03-31T00:00:00"/>
    <x v="0"/>
    <x v="6"/>
    <s v="Borussia Dortmund"/>
    <n v="3"/>
    <x v="1"/>
    <x v="0"/>
    <n v="67447"/>
    <x v="7"/>
    <s v="S. Marciniak"/>
    <x v="1"/>
  </r>
  <r>
    <s v="M1225"/>
    <d v="2026-04-04T00:00:00"/>
    <x v="3"/>
    <x v="10"/>
    <s v="Chelsea"/>
    <n v="3"/>
    <x v="2"/>
    <x v="2"/>
    <n v="38324"/>
    <x v="2"/>
    <s v="M. Oliver"/>
    <x v="0"/>
  </r>
  <r>
    <s v="M1358"/>
    <d v="2026-04-04T00:00:00"/>
    <x v="4"/>
    <x v="4"/>
    <s v="Ajax"/>
    <n v="1"/>
    <x v="1"/>
    <x v="2"/>
    <n v="50434"/>
    <x v="7"/>
    <s v="Anthony Taylor"/>
    <x v="0"/>
  </r>
  <r>
    <s v="M1234"/>
    <d v="2026-04-05T00:00:00"/>
    <x v="2"/>
    <x v="17"/>
    <s v="Newcastle United"/>
    <n v="1"/>
    <x v="1"/>
    <x v="2"/>
    <n v="79092"/>
    <x v="7"/>
    <s v="Unknown"/>
    <x v="4"/>
  </r>
  <r>
    <s v="M1466"/>
    <d v="2026-04-07T00:00:00"/>
    <x v="0"/>
    <x v="9"/>
    <s v="Real Madrid"/>
    <n v="1"/>
    <x v="1"/>
    <x v="2"/>
    <n v="37564"/>
    <x v="11"/>
    <s v="S. Marciniak"/>
    <x v="3"/>
  </r>
  <r>
    <s v="M1033"/>
    <d v="2026-04-08T00:00:00"/>
    <x v="2"/>
    <x v="1"/>
    <s v="Newcastle United"/>
    <n v="2"/>
    <x v="0"/>
    <x v="2"/>
    <n v="35272"/>
    <x v="8"/>
    <s v="S. Marciniak"/>
    <x v="2"/>
  </r>
  <r>
    <s v="M1138"/>
    <d v="2026-04-11T00:00:00"/>
    <x v="0"/>
    <x v="4"/>
    <s v="Ajax"/>
    <n v="2"/>
    <x v="1"/>
    <x v="0"/>
    <n v="16472"/>
    <x v="14"/>
    <s v="Daniele Orsato"/>
    <x v="4"/>
  </r>
  <r>
    <s v="M1596"/>
    <d v="2026-04-11T00:00:00"/>
    <x v="0"/>
    <x v="6"/>
    <s v="Real Madrid"/>
    <n v="0"/>
    <x v="2"/>
    <x v="1"/>
    <n v="31914"/>
    <x v="13"/>
    <s v="M. Oliver"/>
    <x v="2"/>
  </r>
  <r>
    <s v="M1402"/>
    <d v="2026-04-15T00:00:00"/>
    <x v="4"/>
    <x v="10"/>
    <s v="Paris Saint-Germain"/>
    <n v="1"/>
    <x v="0"/>
    <x v="1"/>
    <n v="32732"/>
    <x v="0"/>
    <s v="Daniele Orsato"/>
    <x v="3"/>
  </r>
  <r>
    <s v="M1073"/>
    <d v="2026-04-16T00:00:00"/>
    <x v="1"/>
    <x v="8"/>
    <s v="Newcastle United"/>
    <n v="1"/>
    <x v="0"/>
    <x v="1"/>
    <n v="10158"/>
    <x v="13"/>
    <s v="Daniele Orsato"/>
    <x v="0"/>
  </r>
  <r>
    <s v="M1333"/>
    <d v="2026-04-22T00:00:00"/>
    <x v="3"/>
    <x v="15"/>
    <s v="Bayern Munich"/>
    <n v="2"/>
    <x v="2"/>
    <x v="1"/>
    <n v="60629"/>
    <x v="12"/>
    <s v="Daniele Orsato"/>
    <x v="2"/>
  </r>
  <r>
    <s v="M1143"/>
    <d v="2026-04-24T00:00:00"/>
    <x v="4"/>
    <x v="15"/>
    <s v="Manchester City"/>
    <n v="1"/>
    <x v="4"/>
    <x v="1"/>
    <n v="17299"/>
    <x v="5"/>
    <s v="Anthony Taylor"/>
    <x v="1"/>
  </r>
  <r>
    <s v="M1145"/>
    <d v="2026-04-24T00:00:00"/>
    <x v="5"/>
    <x v="5"/>
    <s v="Paris Saint-Germain"/>
    <n v="4"/>
    <x v="1"/>
    <x v="0"/>
    <n v="46200"/>
    <x v="9"/>
    <s v="C. Pawson"/>
    <x v="3"/>
  </r>
  <r>
    <s v="M1404"/>
    <d v="2026-04-28T00:00:00"/>
    <x v="3"/>
    <x v="14"/>
    <s v="Borussia Dortmund"/>
    <n v="0"/>
    <x v="0"/>
    <x v="1"/>
    <n v="62762"/>
    <x v="6"/>
    <s v="A. Taylor"/>
    <x v="0"/>
  </r>
  <r>
    <s v="M1246"/>
    <d v="2026-04-29T00:00:00"/>
    <x v="4"/>
    <x v="0"/>
    <s v="Manchester United"/>
    <n v="0"/>
    <x v="1"/>
    <x v="1"/>
    <n v="74366"/>
    <x v="2"/>
    <s v="C. Pawson"/>
    <x v="4"/>
  </r>
  <r>
    <s v="M1155"/>
    <d v="2026-04-30T00:00:00"/>
    <x v="0"/>
    <x v="8"/>
    <s v="Ac Milan"/>
    <n v="3"/>
    <x v="3"/>
    <x v="0"/>
    <n v="65676"/>
    <x v="11"/>
    <s v="Unknown"/>
    <x v="1"/>
  </r>
  <r>
    <s v="M1503"/>
    <d v="2026-05-06T00:00:00"/>
    <x v="3"/>
    <x v="5"/>
    <s v="Liverpool"/>
    <n v="2"/>
    <x v="3"/>
    <x v="0"/>
    <n v="17649"/>
    <x v="12"/>
    <s v="S. Marciniak"/>
    <x v="0"/>
  </r>
  <r>
    <s v="M1021"/>
    <d v="2026-05-07T00:00:00"/>
    <x v="3"/>
    <x v="2"/>
    <s v="Tottenham Hotspur"/>
    <n v="2"/>
    <x v="1"/>
    <x v="0"/>
    <n v="67677"/>
    <x v="5"/>
    <s v="A. Taylor"/>
    <x v="2"/>
  </r>
  <r>
    <s v="M1317"/>
    <d v="2026-05-08T00:00:00"/>
    <x v="2"/>
    <x v="8"/>
    <s v="Manchester United"/>
    <n v="0"/>
    <x v="3"/>
    <x v="2"/>
    <n v="23828"/>
    <x v="1"/>
    <s v="Unknown"/>
    <x v="4"/>
  </r>
  <r>
    <s v="M1268"/>
    <d v="2026-05-11T00:00:00"/>
    <x v="0"/>
    <x v="0"/>
    <s v="Tottenham Hotspur"/>
    <n v="2"/>
    <x v="3"/>
    <x v="0"/>
    <n v="33162"/>
    <x v="6"/>
    <s v="Unknown"/>
    <x v="2"/>
  </r>
  <r>
    <s v="M1095"/>
    <d v="2026-05-12T00:00:00"/>
    <x v="0"/>
    <x v="1"/>
    <s v="Chelsea"/>
    <n v="3"/>
    <x v="0"/>
    <x v="0"/>
    <n v="43825"/>
    <x v="9"/>
    <s v="M. Oliver"/>
    <x v="2"/>
  </r>
  <r>
    <s v="M1280"/>
    <d v="2026-05-12T00:00:00"/>
    <x v="0"/>
    <x v="18"/>
    <s v="Borussia Dortmund"/>
    <n v="1"/>
    <x v="4"/>
    <x v="1"/>
    <n v="22526"/>
    <x v="5"/>
    <s v="Unknown"/>
    <x v="2"/>
  </r>
  <r>
    <s v="M1519"/>
    <d v="2026-05-14T00:00:00"/>
    <x v="0"/>
    <x v="6"/>
    <s v="Real Madrid"/>
    <n v="2"/>
    <x v="1"/>
    <x v="0"/>
    <n v="62357"/>
    <x v="11"/>
    <s v="A. Taylor"/>
    <x v="1"/>
  </r>
  <r>
    <s v="M1549"/>
    <d v="2026-05-16T00:00:00"/>
    <x v="0"/>
    <x v="17"/>
    <s v="Manchester United"/>
    <n v="4"/>
    <x v="1"/>
    <x v="0"/>
    <n v="79472"/>
    <x v="11"/>
    <s v="Unknown"/>
    <x v="3"/>
  </r>
  <r>
    <s v="M1174"/>
    <d v="2026-05-17T00:00:00"/>
    <x v="3"/>
    <x v="15"/>
    <s v="Tottenham Hotspur"/>
    <n v="2"/>
    <x v="6"/>
    <x v="1"/>
    <n v="45846"/>
    <x v="6"/>
    <s v="Unknown"/>
    <x v="2"/>
  </r>
  <r>
    <s v="M1308"/>
    <d v="2026-05-23T00:00:00"/>
    <x v="1"/>
    <x v="15"/>
    <s v="Juventus"/>
    <n v="2"/>
    <x v="0"/>
    <x v="2"/>
    <n v="11719"/>
    <x v="14"/>
    <s v="Anthony Taylor"/>
    <x v="3"/>
  </r>
  <r>
    <s v="M1230"/>
    <d v="2026-05-26T00:00:00"/>
    <x v="3"/>
    <x v="5"/>
    <s v="Bayern Munich"/>
    <n v="2"/>
    <x v="0"/>
    <x v="2"/>
    <n v="71962"/>
    <x v="12"/>
    <s v="A. Taylor"/>
    <x v="3"/>
  </r>
  <r>
    <s v="M1434"/>
    <d v="2026-05-26T00:00:00"/>
    <x v="0"/>
    <x v="6"/>
    <s v="Paris Saint-Germain"/>
    <n v="1"/>
    <x v="1"/>
    <x v="2"/>
    <n v="28262"/>
    <x v="1"/>
    <s v="A. Taylor"/>
    <x v="3"/>
  </r>
  <r>
    <s v="M1015"/>
    <m/>
    <x v="4"/>
    <x v="14"/>
    <s v="Bayern Munich"/>
    <n v="0"/>
    <x v="1"/>
    <x v="1"/>
    <n v="8925"/>
    <x v="2"/>
    <s v="C. Pawson"/>
    <x v="0"/>
  </r>
  <r>
    <s v="M1114"/>
    <m/>
    <x v="2"/>
    <x v="4"/>
    <s v="Manchester United"/>
    <n v="1"/>
    <x v="1"/>
    <x v="2"/>
    <n v="78121"/>
    <x v="3"/>
    <s v="Michael Oliver"/>
    <x v="2"/>
  </r>
  <r>
    <s v="M1152"/>
    <m/>
    <x v="2"/>
    <x v="0"/>
    <s v="Arsenal"/>
    <n v="0"/>
    <x v="1"/>
    <x v="1"/>
    <n v="72283"/>
    <x v="4"/>
    <s v="C. Pawson"/>
    <x v="1"/>
  </r>
  <r>
    <s v="M1295"/>
    <m/>
    <x v="4"/>
    <x v="12"/>
    <s v="Barcelona"/>
    <n v="2"/>
    <x v="3"/>
    <x v="0"/>
    <n v="30716"/>
    <x v="1"/>
    <s v="C. Pawson"/>
    <x v="3"/>
  </r>
  <r>
    <s v="M1313"/>
    <m/>
    <x v="3"/>
    <x v="13"/>
    <s v="Bayern Munich"/>
    <n v="1"/>
    <x v="3"/>
    <x v="0"/>
    <n v="0"/>
    <x v="14"/>
    <s v="Daniele Orsato"/>
    <x v="0"/>
  </r>
  <r>
    <s v="M1352"/>
    <m/>
    <x v="2"/>
    <x v="17"/>
    <s v="Newcastle United"/>
    <n v="1"/>
    <x v="0"/>
    <x v="1"/>
    <n v="31522"/>
    <x v="5"/>
    <s v="M. Oliver"/>
    <x v="4"/>
  </r>
  <r>
    <s v="M1461"/>
    <m/>
    <x v="1"/>
    <x v="12"/>
    <s v="Arsenal"/>
    <n v="3"/>
    <x v="1"/>
    <x v="0"/>
    <n v="44958"/>
    <x v="11"/>
    <s v="Unknown"/>
    <x v="2"/>
  </r>
  <r>
    <s v="M1483"/>
    <m/>
    <x v="0"/>
    <x v="1"/>
    <s v="Arsenal"/>
    <n v="2"/>
    <x v="3"/>
    <x v="0"/>
    <n v="64665"/>
    <x v="7"/>
    <s v="Unknown"/>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01"/>
    <d v="2025-07-24T00:00:00"/>
    <s v="C00001"/>
    <s v="Customer 1"/>
    <x v="0"/>
    <x v="0"/>
    <x v="0"/>
    <n v="5"/>
    <n v="6059"/>
    <n v="0"/>
    <n v="30295"/>
    <x v="0"/>
    <x v="0"/>
    <x v="0"/>
    <x v="0"/>
    <x v="0"/>
    <x v="0"/>
    <n v="3"/>
  </r>
  <r>
    <s v="O00002"/>
    <d v="2025-04-15T00:00:00"/>
    <s v="C00002"/>
    <s v="Customer 2"/>
    <x v="0"/>
    <x v="0"/>
    <x v="0"/>
    <n v="5"/>
    <n v="3639"/>
    <n v="0"/>
    <n v="18195"/>
    <x v="1"/>
    <x v="0"/>
    <x v="1"/>
    <x v="1"/>
    <x v="0"/>
    <x v="1"/>
    <n v="4"/>
  </r>
  <r>
    <s v="O00003"/>
    <d v="2025-11-22T00:00:00"/>
    <s v="C00003"/>
    <s v="Customer 3"/>
    <x v="1"/>
    <x v="1"/>
    <x v="1"/>
    <n v="4"/>
    <n v="2520"/>
    <n v="0"/>
    <n v="10080"/>
    <x v="2"/>
    <x v="1"/>
    <x v="1"/>
    <x v="1"/>
    <x v="1"/>
    <x v="2"/>
    <n v="4"/>
  </r>
  <r>
    <s v="O00004"/>
    <d v="2025-03-02T00:00:00"/>
    <s v="C00004"/>
    <s v="Customer 4"/>
    <x v="2"/>
    <x v="2"/>
    <x v="2"/>
    <n v="1"/>
    <n v="10604"/>
    <n v="0.15"/>
    <n v="9013.4"/>
    <x v="3"/>
    <x v="1"/>
    <x v="2"/>
    <x v="2"/>
    <x v="2"/>
    <x v="1"/>
    <n v="4"/>
  </r>
  <r>
    <s v="O00005"/>
    <d v="2025-03-05T00:00:00"/>
    <s v="C00005"/>
    <s v="Customer 5"/>
    <x v="1"/>
    <x v="1"/>
    <x v="1"/>
    <n v="3"/>
    <n v="14673"/>
    <n v="0"/>
    <n v="44019"/>
    <x v="4"/>
    <x v="1"/>
    <x v="1"/>
    <x v="1"/>
    <x v="3"/>
    <x v="3"/>
    <n v="2"/>
  </r>
  <r>
    <s v="O00006"/>
    <d v="2025-03-15T00:00:00"/>
    <s v="C00006"/>
    <s v="Customer 6"/>
    <x v="3"/>
    <x v="3"/>
    <x v="3"/>
    <n v="1"/>
    <n v="8627"/>
    <n v="0.1"/>
    <n v="7764.3"/>
    <x v="5"/>
    <x v="1"/>
    <x v="2"/>
    <x v="2"/>
    <x v="0"/>
    <x v="2"/>
    <n v="3"/>
  </r>
  <r>
    <s v="O00007"/>
    <d v="2025-11-16T00:00:00"/>
    <s v="C00007"/>
    <s v="Customer 7"/>
    <x v="4"/>
    <x v="3"/>
    <x v="4"/>
    <n v="3"/>
    <n v="5419"/>
    <n v="0.15"/>
    <n v="13818.45"/>
    <x v="6"/>
    <x v="2"/>
    <x v="3"/>
    <x v="3"/>
    <x v="1"/>
    <x v="2"/>
    <n v="1"/>
  </r>
  <r>
    <s v="O00008"/>
    <d v="2025-05-29T00:00:00"/>
    <s v="C00008"/>
    <s v="Customer 8"/>
    <x v="5"/>
    <x v="3"/>
    <x v="5"/>
    <n v="1"/>
    <n v="6879"/>
    <n v="0.15"/>
    <n v="5847.15"/>
    <x v="7"/>
    <x v="3"/>
    <x v="3"/>
    <x v="3"/>
    <x v="2"/>
    <x v="0"/>
    <n v="5"/>
  </r>
  <r>
    <s v="O00009"/>
    <d v="2025-03-30T00:00:00"/>
    <s v="C00009"/>
    <s v="Customer 9"/>
    <x v="4"/>
    <x v="3"/>
    <x v="4"/>
    <n v="4"/>
    <n v="10033"/>
    <n v="0.05"/>
    <n v="38125.4"/>
    <x v="8"/>
    <x v="1"/>
    <x v="2"/>
    <x v="2"/>
    <x v="4"/>
    <x v="2"/>
    <n v="2"/>
  </r>
  <r>
    <s v="O00010"/>
    <d v="2025-03-08T00:00:00"/>
    <s v="C00010"/>
    <s v="Customer 10"/>
    <x v="4"/>
    <x v="3"/>
    <x v="4"/>
    <n v="1"/>
    <n v="2263"/>
    <n v="0.1"/>
    <n v="2036.7"/>
    <x v="9"/>
    <x v="0"/>
    <x v="4"/>
    <x v="4"/>
    <x v="3"/>
    <x v="0"/>
    <n v="4"/>
  </r>
  <r>
    <s v="O00011"/>
    <d v="2025-07-23T00:00:00"/>
    <s v="C00011"/>
    <s v="Customer 11"/>
    <x v="0"/>
    <x v="0"/>
    <x v="0"/>
    <n v="1"/>
    <n v="10944"/>
    <n v="0.05"/>
    <n v="10396.799999999999"/>
    <x v="10"/>
    <x v="3"/>
    <x v="0"/>
    <x v="0"/>
    <x v="4"/>
    <x v="2"/>
    <n v="5"/>
  </r>
  <r>
    <s v="O00012"/>
    <d v="2025-06-26T00:00:00"/>
    <s v="C00012"/>
    <s v="Customer 12"/>
    <x v="6"/>
    <x v="4"/>
    <x v="6"/>
    <n v="2"/>
    <n v="10645"/>
    <n v="0.2"/>
    <n v="17032"/>
    <x v="11"/>
    <x v="0"/>
    <x v="5"/>
    <x v="5"/>
    <x v="1"/>
    <x v="3"/>
    <n v="1"/>
  </r>
  <r>
    <s v="O00013"/>
    <d v="2025-12-01T00:00:00"/>
    <s v="C00013"/>
    <s v="Customer 13"/>
    <x v="1"/>
    <x v="1"/>
    <x v="1"/>
    <n v="4"/>
    <n v="6772"/>
    <n v="0"/>
    <n v="27088"/>
    <x v="12"/>
    <x v="1"/>
    <x v="3"/>
    <x v="3"/>
    <x v="0"/>
    <x v="1"/>
    <n v="2"/>
  </r>
  <r>
    <s v="O00014"/>
    <d v="2025-07-22T00:00:00"/>
    <s v="C00014"/>
    <s v="Customer 14"/>
    <x v="7"/>
    <x v="5"/>
    <x v="7"/>
    <n v="2"/>
    <n v="9986"/>
    <n v="0.2"/>
    <n v="15977.6"/>
    <x v="13"/>
    <x v="3"/>
    <x v="3"/>
    <x v="3"/>
    <x v="2"/>
    <x v="2"/>
    <n v="5"/>
  </r>
  <r>
    <s v="O00015"/>
    <d v="2025-01-20T00:00:00"/>
    <s v="C00015"/>
    <s v="Customer 15"/>
    <x v="7"/>
    <x v="5"/>
    <x v="7"/>
    <n v="2"/>
    <n v="13915"/>
    <n v="0.2"/>
    <n v="22264"/>
    <x v="14"/>
    <x v="3"/>
    <x v="3"/>
    <x v="3"/>
    <x v="4"/>
    <x v="1"/>
    <n v="4"/>
  </r>
  <r>
    <s v="O00016"/>
    <d v="2025-03-21T00:00:00"/>
    <s v="C00016"/>
    <s v="Customer 16"/>
    <x v="4"/>
    <x v="3"/>
    <x v="4"/>
    <n v="2"/>
    <n v="376"/>
    <n v="0.1"/>
    <n v="676.8"/>
    <x v="15"/>
    <x v="2"/>
    <x v="1"/>
    <x v="1"/>
    <x v="1"/>
    <x v="0"/>
    <n v="1"/>
  </r>
  <r>
    <s v="O00017"/>
    <d v="2025-01-16T00:00:00"/>
    <s v="C00017"/>
    <s v="Customer 17"/>
    <x v="5"/>
    <x v="3"/>
    <x v="5"/>
    <n v="1"/>
    <n v="14647"/>
    <n v="0"/>
    <n v="14647"/>
    <x v="16"/>
    <x v="4"/>
    <x v="2"/>
    <x v="2"/>
    <x v="3"/>
    <x v="0"/>
    <n v="1"/>
  </r>
  <r>
    <s v="O00018"/>
    <d v="2025-10-14T00:00:00"/>
    <s v="C00018"/>
    <s v="Customer 18"/>
    <x v="4"/>
    <x v="3"/>
    <x v="4"/>
    <n v="1"/>
    <n v="2292"/>
    <n v="0.15"/>
    <n v="1948.2"/>
    <x v="17"/>
    <x v="0"/>
    <x v="4"/>
    <x v="4"/>
    <x v="3"/>
    <x v="1"/>
    <n v="3"/>
  </r>
  <r>
    <s v="O00019"/>
    <d v="2025-09-06T00:00:00"/>
    <s v="C00019"/>
    <s v="Customer 19"/>
    <x v="6"/>
    <x v="4"/>
    <x v="6"/>
    <n v="3"/>
    <n v="12349"/>
    <n v="0"/>
    <n v="37047"/>
    <x v="18"/>
    <x v="1"/>
    <x v="4"/>
    <x v="4"/>
    <x v="3"/>
    <x v="1"/>
    <n v="5"/>
  </r>
  <r>
    <s v="O00020"/>
    <d v="2025-10-16T00:00:00"/>
    <s v="C00020"/>
    <s v="Customer 20"/>
    <x v="0"/>
    <x v="0"/>
    <x v="0"/>
    <n v="1"/>
    <n v="14227"/>
    <n v="0.05"/>
    <n v="13515.65"/>
    <x v="19"/>
    <x v="0"/>
    <x v="5"/>
    <x v="5"/>
    <x v="3"/>
    <x v="2"/>
    <n v="3"/>
  </r>
  <r>
    <s v="O00021"/>
    <d v="2025-09-07T00:00:00"/>
    <s v="C00021"/>
    <s v="Customer 21"/>
    <x v="2"/>
    <x v="2"/>
    <x v="2"/>
    <n v="1"/>
    <n v="5834"/>
    <n v="0.1"/>
    <n v="5250.6"/>
    <x v="20"/>
    <x v="0"/>
    <x v="1"/>
    <x v="1"/>
    <x v="0"/>
    <x v="0"/>
    <n v="1"/>
  </r>
  <r>
    <s v="O00022"/>
    <d v="2025-06-16T00:00:00"/>
    <s v="C00022"/>
    <s v="Customer 22"/>
    <x v="0"/>
    <x v="0"/>
    <x v="0"/>
    <n v="5"/>
    <n v="9506"/>
    <n v="0.1"/>
    <n v="42777"/>
    <x v="21"/>
    <x v="0"/>
    <x v="4"/>
    <x v="4"/>
    <x v="4"/>
    <x v="0"/>
    <n v="1"/>
  </r>
  <r>
    <s v="O00023"/>
    <d v="2025-09-21T00:00:00"/>
    <s v="C00023"/>
    <s v="Customer 23"/>
    <x v="4"/>
    <x v="3"/>
    <x v="4"/>
    <n v="5"/>
    <n v="3449"/>
    <n v="0.1"/>
    <n v="15520.5"/>
    <x v="22"/>
    <x v="3"/>
    <x v="2"/>
    <x v="2"/>
    <x v="4"/>
    <x v="2"/>
    <n v="5"/>
  </r>
  <r>
    <s v="O00024"/>
    <d v="2025-11-08T00:00:00"/>
    <s v="C00024"/>
    <s v="Customer 24"/>
    <x v="6"/>
    <x v="4"/>
    <x v="6"/>
    <n v="1"/>
    <n v="5044"/>
    <n v="0.05"/>
    <n v="4791.8"/>
    <x v="23"/>
    <x v="4"/>
    <x v="2"/>
    <x v="2"/>
    <x v="4"/>
    <x v="0"/>
    <n v="1"/>
  </r>
  <r>
    <s v="O00025"/>
    <d v="2025-10-16T00:00:00"/>
    <s v="C00025"/>
    <s v="Customer 25"/>
    <x v="4"/>
    <x v="3"/>
    <x v="4"/>
    <n v="4"/>
    <n v="7740"/>
    <n v="0.05"/>
    <n v="29412"/>
    <x v="24"/>
    <x v="4"/>
    <x v="5"/>
    <x v="5"/>
    <x v="1"/>
    <x v="1"/>
    <n v="1"/>
  </r>
  <r>
    <s v="O00026"/>
    <d v="2025-01-11T00:00:00"/>
    <s v="C00026"/>
    <s v="Customer 26"/>
    <x v="6"/>
    <x v="4"/>
    <x v="6"/>
    <n v="1"/>
    <n v="9093"/>
    <n v="0.2"/>
    <n v="7274.4"/>
    <x v="25"/>
    <x v="4"/>
    <x v="1"/>
    <x v="1"/>
    <x v="3"/>
    <x v="0"/>
    <n v="1"/>
  </r>
  <r>
    <s v="O00027"/>
    <d v="2025-09-20T00:00:00"/>
    <s v="C00027"/>
    <s v="Customer 27"/>
    <x v="6"/>
    <x v="4"/>
    <x v="6"/>
    <n v="3"/>
    <n v="6540"/>
    <n v="0.15"/>
    <n v="16677"/>
    <x v="26"/>
    <x v="2"/>
    <x v="2"/>
    <x v="2"/>
    <x v="0"/>
    <x v="3"/>
    <n v="3"/>
  </r>
  <r>
    <s v="O00028"/>
    <d v="2025-10-12T00:00:00"/>
    <s v="C00028"/>
    <s v="Customer 28"/>
    <x v="2"/>
    <x v="2"/>
    <x v="2"/>
    <n v="4"/>
    <n v="6093"/>
    <n v="0"/>
    <n v="24372"/>
    <x v="27"/>
    <x v="1"/>
    <x v="1"/>
    <x v="1"/>
    <x v="1"/>
    <x v="1"/>
    <n v="4"/>
  </r>
  <r>
    <s v="O00029"/>
    <d v="2025-05-21T00:00:00"/>
    <s v="C00029"/>
    <s v="Customer 29"/>
    <x v="3"/>
    <x v="3"/>
    <x v="3"/>
    <n v="1"/>
    <n v="922"/>
    <n v="0.2"/>
    <n v="737.6"/>
    <x v="28"/>
    <x v="3"/>
    <x v="5"/>
    <x v="5"/>
    <x v="3"/>
    <x v="3"/>
    <n v="4"/>
  </r>
  <r>
    <s v="O00030"/>
    <d v="2025-01-22T00:00:00"/>
    <s v="C00030"/>
    <s v="Customer 30"/>
    <x v="4"/>
    <x v="3"/>
    <x v="4"/>
    <n v="5"/>
    <n v="7462"/>
    <n v="0"/>
    <n v="37310"/>
    <x v="29"/>
    <x v="4"/>
    <x v="3"/>
    <x v="3"/>
    <x v="4"/>
    <x v="1"/>
    <n v="5"/>
  </r>
  <r>
    <s v="O00031"/>
    <d v="2025-05-27T00:00:00"/>
    <s v="C00031"/>
    <s v="Customer 31"/>
    <x v="7"/>
    <x v="5"/>
    <x v="7"/>
    <n v="4"/>
    <n v="10485"/>
    <n v="0"/>
    <n v="41940"/>
    <x v="30"/>
    <x v="4"/>
    <x v="1"/>
    <x v="1"/>
    <x v="3"/>
    <x v="0"/>
    <n v="3"/>
  </r>
  <r>
    <s v="O00032"/>
    <d v="2025-02-14T00:00:00"/>
    <s v="C00032"/>
    <s v="Customer 32"/>
    <x v="2"/>
    <x v="2"/>
    <x v="2"/>
    <n v="4"/>
    <n v="13336"/>
    <n v="0.15"/>
    <n v="45342.400000000001"/>
    <x v="31"/>
    <x v="0"/>
    <x v="0"/>
    <x v="0"/>
    <x v="2"/>
    <x v="2"/>
    <n v="4"/>
  </r>
  <r>
    <s v="O00033"/>
    <d v="2025-05-09T00:00:00"/>
    <s v="C00033"/>
    <s v="Customer 33"/>
    <x v="2"/>
    <x v="2"/>
    <x v="2"/>
    <n v="5"/>
    <n v="5222"/>
    <n v="0"/>
    <n v="26110"/>
    <x v="32"/>
    <x v="2"/>
    <x v="2"/>
    <x v="2"/>
    <x v="0"/>
    <x v="3"/>
    <n v="2"/>
  </r>
  <r>
    <s v="O00034"/>
    <d v="2025-11-03T00:00:00"/>
    <s v="C00034"/>
    <s v="Customer 34"/>
    <x v="6"/>
    <x v="4"/>
    <x v="6"/>
    <n v="4"/>
    <n v="11845"/>
    <n v="0"/>
    <n v="47380"/>
    <x v="33"/>
    <x v="3"/>
    <x v="5"/>
    <x v="5"/>
    <x v="4"/>
    <x v="3"/>
    <n v="4"/>
  </r>
  <r>
    <s v="O00035"/>
    <d v="2025-01-12T00:00:00"/>
    <s v="C00035"/>
    <s v="Customer 35"/>
    <x v="1"/>
    <x v="1"/>
    <x v="1"/>
    <n v="2"/>
    <n v="13047"/>
    <n v="0.2"/>
    <n v="20875.2"/>
    <x v="34"/>
    <x v="2"/>
    <x v="4"/>
    <x v="4"/>
    <x v="0"/>
    <x v="2"/>
    <n v="5"/>
  </r>
  <r>
    <s v="O00036"/>
    <d v="2025-08-07T00:00:00"/>
    <s v="C00036"/>
    <s v="Customer 36"/>
    <x v="2"/>
    <x v="2"/>
    <x v="2"/>
    <n v="1"/>
    <n v="2213"/>
    <n v="0"/>
    <n v="2213"/>
    <x v="35"/>
    <x v="2"/>
    <x v="0"/>
    <x v="0"/>
    <x v="1"/>
    <x v="0"/>
    <n v="4"/>
  </r>
  <r>
    <s v="O00037"/>
    <d v="2025-02-28T00:00:00"/>
    <s v="C00037"/>
    <s v="Customer 37"/>
    <x v="6"/>
    <x v="4"/>
    <x v="6"/>
    <n v="3"/>
    <n v="10560"/>
    <n v="0"/>
    <n v="31680"/>
    <x v="36"/>
    <x v="4"/>
    <x v="0"/>
    <x v="0"/>
    <x v="0"/>
    <x v="0"/>
    <n v="1"/>
  </r>
  <r>
    <s v="O00038"/>
    <d v="2025-10-07T00:00:00"/>
    <s v="C00038"/>
    <s v="Customer 38"/>
    <x v="3"/>
    <x v="3"/>
    <x v="3"/>
    <n v="5"/>
    <n v="7173"/>
    <n v="0"/>
    <n v="35865"/>
    <x v="37"/>
    <x v="0"/>
    <x v="4"/>
    <x v="4"/>
    <x v="3"/>
    <x v="0"/>
    <n v="3"/>
  </r>
  <r>
    <s v="O00039"/>
    <d v="2025-07-29T00:00:00"/>
    <s v="C00039"/>
    <s v="Customer 39"/>
    <x v="6"/>
    <x v="4"/>
    <x v="6"/>
    <n v="5"/>
    <n v="4376"/>
    <n v="0.05"/>
    <n v="20786"/>
    <x v="38"/>
    <x v="1"/>
    <x v="1"/>
    <x v="1"/>
    <x v="0"/>
    <x v="2"/>
    <n v="2"/>
  </r>
  <r>
    <s v="O00040"/>
    <d v="2025-12-27T00:00:00"/>
    <s v="C00040"/>
    <s v="Customer 40"/>
    <x v="6"/>
    <x v="4"/>
    <x v="6"/>
    <n v="5"/>
    <n v="13575"/>
    <n v="0.1"/>
    <n v="61087.5"/>
    <x v="39"/>
    <x v="2"/>
    <x v="2"/>
    <x v="2"/>
    <x v="3"/>
    <x v="3"/>
    <n v="4"/>
  </r>
  <r>
    <s v="O00041"/>
    <d v="2025-10-25T00:00:00"/>
    <s v="C00041"/>
    <s v="Customer 41"/>
    <x v="6"/>
    <x v="4"/>
    <x v="6"/>
    <n v="5"/>
    <n v="5041"/>
    <n v="0"/>
    <n v="25205"/>
    <x v="40"/>
    <x v="0"/>
    <x v="4"/>
    <x v="4"/>
    <x v="0"/>
    <x v="2"/>
    <n v="3"/>
  </r>
  <r>
    <s v="O00042"/>
    <d v="2025-10-13T00:00:00"/>
    <s v="C00042"/>
    <s v="Customer 42"/>
    <x v="0"/>
    <x v="0"/>
    <x v="0"/>
    <n v="4"/>
    <n v="8384"/>
    <n v="0.05"/>
    <n v="31859.200000000001"/>
    <x v="41"/>
    <x v="4"/>
    <x v="0"/>
    <x v="0"/>
    <x v="2"/>
    <x v="3"/>
    <n v="3"/>
  </r>
  <r>
    <s v="O00043"/>
    <d v="2025-02-24T00:00:00"/>
    <s v="C00043"/>
    <s v="Customer 43"/>
    <x v="2"/>
    <x v="2"/>
    <x v="2"/>
    <n v="4"/>
    <n v="5530"/>
    <n v="0"/>
    <n v="22120"/>
    <x v="42"/>
    <x v="2"/>
    <x v="1"/>
    <x v="1"/>
    <x v="0"/>
    <x v="3"/>
    <n v="3"/>
  </r>
  <r>
    <s v="O00044"/>
    <d v="2025-03-20T00:00:00"/>
    <s v="C00044"/>
    <s v="Customer 44"/>
    <x v="5"/>
    <x v="3"/>
    <x v="5"/>
    <n v="4"/>
    <n v="6441"/>
    <n v="0.1"/>
    <n v="23187.599999999999"/>
    <x v="43"/>
    <x v="4"/>
    <x v="2"/>
    <x v="2"/>
    <x v="0"/>
    <x v="2"/>
    <n v="1"/>
  </r>
  <r>
    <s v="O00045"/>
    <d v="2025-07-30T00:00:00"/>
    <s v="C00045"/>
    <s v="Customer 45"/>
    <x v="1"/>
    <x v="1"/>
    <x v="1"/>
    <n v="2"/>
    <n v="1418"/>
    <n v="0.1"/>
    <n v="2552.4"/>
    <x v="44"/>
    <x v="3"/>
    <x v="0"/>
    <x v="0"/>
    <x v="1"/>
    <x v="1"/>
    <n v="2"/>
  </r>
  <r>
    <s v="O00046"/>
    <d v="2025-10-09T00:00:00"/>
    <s v="C00046"/>
    <s v="Customer 46"/>
    <x v="1"/>
    <x v="1"/>
    <x v="1"/>
    <n v="3"/>
    <n v="4273"/>
    <n v="0.05"/>
    <n v="12178.05"/>
    <x v="45"/>
    <x v="3"/>
    <x v="0"/>
    <x v="0"/>
    <x v="2"/>
    <x v="0"/>
    <n v="4"/>
  </r>
  <r>
    <s v="O00047"/>
    <d v="2025-11-16T00:00:00"/>
    <s v="C00047"/>
    <s v="Customer 47"/>
    <x v="2"/>
    <x v="2"/>
    <x v="2"/>
    <n v="5"/>
    <n v="10157"/>
    <n v="0.15"/>
    <n v="43167.25"/>
    <x v="46"/>
    <x v="2"/>
    <x v="3"/>
    <x v="3"/>
    <x v="2"/>
    <x v="2"/>
    <n v="4"/>
  </r>
  <r>
    <s v="O00048"/>
    <d v="2025-04-19T00:00:00"/>
    <s v="C00048"/>
    <s v="Customer 48"/>
    <x v="2"/>
    <x v="2"/>
    <x v="2"/>
    <n v="5"/>
    <n v="1929"/>
    <n v="0"/>
    <n v="9645"/>
    <x v="47"/>
    <x v="0"/>
    <x v="0"/>
    <x v="0"/>
    <x v="1"/>
    <x v="3"/>
    <n v="1"/>
  </r>
  <r>
    <s v="O00049"/>
    <d v="2025-09-25T00:00:00"/>
    <s v="C00049"/>
    <s v="Customer 49"/>
    <x v="1"/>
    <x v="1"/>
    <x v="1"/>
    <n v="5"/>
    <n v="12705"/>
    <n v="0.05"/>
    <n v="60348.75"/>
    <x v="48"/>
    <x v="2"/>
    <x v="4"/>
    <x v="4"/>
    <x v="1"/>
    <x v="3"/>
    <n v="5"/>
  </r>
  <r>
    <s v="O00050"/>
    <d v="2025-08-22T00:00:00"/>
    <s v="C00050"/>
    <s v="Customer 50"/>
    <x v="2"/>
    <x v="2"/>
    <x v="2"/>
    <n v="1"/>
    <n v="1606"/>
    <n v="0.05"/>
    <n v="1525.7"/>
    <x v="49"/>
    <x v="2"/>
    <x v="1"/>
    <x v="1"/>
    <x v="0"/>
    <x v="1"/>
    <n v="3"/>
  </r>
  <r>
    <s v="O00051"/>
    <d v="2025-08-18T00:00:00"/>
    <s v="C00051"/>
    <s v="Customer 51"/>
    <x v="6"/>
    <x v="4"/>
    <x v="6"/>
    <n v="3"/>
    <n v="4010"/>
    <n v="0"/>
    <n v="12030"/>
    <x v="50"/>
    <x v="0"/>
    <x v="5"/>
    <x v="5"/>
    <x v="3"/>
    <x v="0"/>
    <n v="5"/>
  </r>
  <r>
    <s v="O00052"/>
    <d v="2025-05-16T00:00:00"/>
    <s v="C00052"/>
    <s v="Customer 52"/>
    <x v="3"/>
    <x v="3"/>
    <x v="3"/>
    <n v="1"/>
    <n v="11223"/>
    <n v="0.1"/>
    <n v="10100.700000000001"/>
    <x v="51"/>
    <x v="0"/>
    <x v="4"/>
    <x v="4"/>
    <x v="1"/>
    <x v="2"/>
    <n v="5"/>
  </r>
  <r>
    <s v="O00053"/>
    <d v="2025-05-04T00:00:00"/>
    <s v="C00053"/>
    <s v="Customer 53"/>
    <x v="2"/>
    <x v="2"/>
    <x v="2"/>
    <n v="3"/>
    <n v="12301"/>
    <n v="0.2"/>
    <n v="29522.400000000001"/>
    <x v="52"/>
    <x v="1"/>
    <x v="1"/>
    <x v="1"/>
    <x v="2"/>
    <x v="3"/>
    <n v="1"/>
  </r>
  <r>
    <s v="O00054"/>
    <d v="2025-06-18T00:00:00"/>
    <s v="C00054"/>
    <s v="Customer 54"/>
    <x v="7"/>
    <x v="5"/>
    <x v="7"/>
    <n v="5"/>
    <n v="7917"/>
    <n v="0.1"/>
    <n v="35626.5"/>
    <x v="53"/>
    <x v="1"/>
    <x v="2"/>
    <x v="2"/>
    <x v="2"/>
    <x v="2"/>
    <n v="2"/>
  </r>
  <r>
    <s v="O00055"/>
    <d v="2025-11-20T00:00:00"/>
    <s v="C00055"/>
    <s v="Customer 55"/>
    <x v="4"/>
    <x v="3"/>
    <x v="4"/>
    <n v="5"/>
    <n v="8293"/>
    <n v="0.15"/>
    <n v="35245.25"/>
    <x v="54"/>
    <x v="3"/>
    <x v="4"/>
    <x v="4"/>
    <x v="1"/>
    <x v="3"/>
    <n v="3"/>
  </r>
  <r>
    <s v="O00056"/>
    <d v="2025-10-11T00:00:00"/>
    <s v="C00056"/>
    <s v="Customer 56"/>
    <x v="7"/>
    <x v="5"/>
    <x v="7"/>
    <n v="4"/>
    <n v="1371"/>
    <n v="0.1"/>
    <n v="4935.6000000000004"/>
    <x v="55"/>
    <x v="0"/>
    <x v="5"/>
    <x v="5"/>
    <x v="0"/>
    <x v="3"/>
    <n v="5"/>
  </r>
  <r>
    <s v="O00057"/>
    <d v="2025-05-29T00:00:00"/>
    <s v="C00057"/>
    <s v="Customer 57"/>
    <x v="0"/>
    <x v="0"/>
    <x v="0"/>
    <n v="4"/>
    <n v="11778"/>
    <n v="0.15"/>
    <n v="40045.199999999997"/>
    <x v="56"/>
    <x v="3"/>
    <x v="2"/>
    <x v="2"/>
    <x v="2"/>
    <x v="0"/>
    <n v="3"/>
  </r>
  <r>
    <s v="O00058"/>
    <d v="2025-02-04T00:00:00"/>
    <s v="C00058"/>
    <s v="Customer 58"/>
    <x v="7"/>
    <x v="5"/>
    <x v="7"/>
    <n v="1"/>
    <n v="3052"/>
    <n v="0.1"/>
    <n v="2746.8"/>
    <x v="57"/>
    <x v="0"/>
    <x v="4"/>
    <x v="4"/>
    <x v="4"/>
    <x v="0"/>
    <n v="3"/>
  </r>
  <r>
    <s v="O00059"/>
    <d v="2025-02-01T00:00:00"/>
    <s v="C00059"/>
    <s v="Customer 59"/>
    <x v="1"/>
    <x v="1"/>
    <x v="1"/>
    <n v="1"/>
    <n v="555"/>
    <n v="0.05"/>
    <n v="527.25"/>
    <x v="58"/>
    <x v="0"/>
    <x v="3"/>
    <x v="3"/>
    <x v="3"/>
    <x v="2"/>
    <n v="2"/>
  </r>
  <r>
    <s v="O00060"/>
    <d v="2025-08-07T00:00:00"/>
    <s v="C00060"/>
    <s v="Customer 60"/>
    <x v="1"/>
    <x v="1"/>
    <x v="1"/>
    <n v="2"/>
    <n v="14129"/>
    <n v="0.1"/>
    <n v="25432.2"/>
    <x v="59"/>
    <x v="3"/>
    <x v="5"/>
    <x v="5"/>
    <x v="1"/>
    <x v="1"/>
    <n v="3"/>
  </r>
  <r>
    <s v="O00061"/>
    <d v="2025-12-13T00:00:00"/>
    <s v="C00061"/>
    <s v="Customer 61"/>
    <x v="2"/>
    <x v="2"/>
    <x v="2"/>
    <n v="1"/>
    <n v="4150"/>
    <n v="0.2"/>
    <n v="3320"/>
    <x v="60"/>
    <x v="3"/>
    <x v="3"/>
    <x v="3"/>
    <x v="3"/>
    <x v="3"/>
    <n v="2"/>
  </r>
  <r>
    <s v="O00062"/>
    <d v="2025-12-25T00:00:00"/>
    <s v="C00062"/>
    <s v="Customer 62"/>
    <x v="2"/>
    <x v="2"/>
    <x v="2"/>
    <n v="4"/>
    <n v="8431"/>
    <n v="0.05"/>
    <n v="32037.8"/>
    <x v="61"/>
    <x v="4"/>
    <x v="2"/>
    <x v="2"/>
    <x v="2"/>
    <x v="3"/>
    <n v="4"/>
  </r>
  <r>
    <s v="O00063"/>
    <d v="2025-01-10T00:00:00"/>
    <s v="C00063"/>
    <s v="Customer 63"/>
    <x v="0"/>
    <x v="0"/>
    <x v="0"/>
    <n v="4"/>
    <n v="2076"/>
    <n v="0.05"/>
    <n v="7888.8"/>
    <x v="62"/>
    <x v="2"/>
    <x v="2"/>
    <x v="2"/>
    <x v="4"/>
    <x v="2"/>
    <n v="3"/>
  </r>
  <r>
    <s v="O00064"/>
    <d v="2025-02-08T00:00:00"/>
    <s v="C00064"/>
    <s v="Customer 64"/>
    <x v="1"/>
    <x v="1"/>
    <x v="1"/>
    <n v="5"/>
    <n v="6870"/>
    <n v="0.2"/>
    <n v="27480"/>
    <x v="63"/>
    <x v="2"/>
    <x v="1"/>
    <x v="1"/>
    <x v="0"/>
    <x v="1"/>
    <n v="5"/>
  </r>
  <r>
    <s v="O00065"/>
    <d v="2025-01-08T00:00:00"/>
    <s v="C00065"/>
    <s v="Customer 65"/>
    <x v="5"/>
    <x v="3"/>
    <x v="5"/>
    <n v="1"/>
    <n v="11061"/>
    <n v="0.1"/>
    <n v="9954.9"/>
    <x v="64"/>
    <x v="2"/>
    <x v="2"/>
    <x v="2"/>
    <x v="1"/>
    <x v="0"/>
    <n v="1"/>
  </r>
  <r>
    <s v="O00066"/>
    <d v="2025-03-14T00:00:00"/>
    <s v="C00066"/>
    <s v="Customer 66"/>
    <x v="5"/>
    <x v="3"/>
    <x v="5"/>
    <n v="1"/>
    <n v="2429"/>
    <n v="0.1"/>
    <n v="2186.1"/>
    <x v="65"/>
    <x v="3"/>
    <x v="3"/>
    <x v="3"/>
    <x v="3"/>
    <x v="1"/>
    <n v="3"/>
  </r>
  <r>
    <s v="O00067"/>
    <d v="2025-05-10T00:00:00"/>
    <s v="C00067"/>
    <s v="Customer 67"/>
    <x v="2"/>
    <x v="2"/>
    <x v="2"/>
    <n v="1"/>
    <n v="10878"/>
    <n v="0.15"/>
    <n v="9246.2999999999993"/>
    <x v="66"/>
    <x v="4"/>
    <x v="3"/>
    <x v="3"/>
    <x v="2"/>
    <x v="0"/>
    <n v="5"/>
  </r>
  <r>
    <s v="O00068"/>
    <d v="2025-03-26T00:00:00"/>
    <s v="C00068"/>
    <s v="Customer 68"/>
    <x v="7"/>
    <x v="5"/>
    <x v="7"/>
    <n v="4"/>
    <n v="1521"/>
    <n v="0.05"/>
    <n v="5779.8"/>
    <x v="67"/>
    <x v="4"/>
    <x v="0"/>
    <x v="0"/>
    <x v="3"/>
    <x v="1"/>
    <n v="5"/>
  </r>
  <r>
    <s v="O00069"/>
    <d v="2025-04-08T00:00:00"/>
    <s v="C00069"/>
    <s v="Customer 69"/>
    <x v="3"/>
    <x v="3"/>
    <x v="3"/>
    <n v="3"/>
    <n v="3089"/>
    <n v="0.05"/>
    <n v="8803.65"/>
    <x v="68"/>
    <x v="2"/>
    <x v="2"/>
    <x v="2"/>
    <x v="0"/>
    <x v="3"/>
    <n v="1"/>
  </r>
  <r>
    <s v="O00070"/>
    <d v="2025-04-07T00:00:00"/>
    <s v="C00070"/>
    <s v="Customer 70"/>
    <x v="2"/>
    <x v="2"/>
    <x v="2"/>
    <n v="5"/>
    <n v="7711"/>
    <n v="0.2"/>
    <n v="30844"/>
    <x v="69"/>
    <x v="2"/>
    <x v="0"/>
    <x v="0"/>
    <x v="3"/>
    <x v="0"/>
    <n v="2"/>
  </r>
  <r>
    <s v="O00071"/>
    <d v="2025-03-27T00:00:00"/>
    <s v="C00071"/>
    <s v="Customer 71"/>
    <x v="5"/>
    <x v="3"/>
    <x v="5"/>
    <n v="3"/>
    <n v="1554"/>
    <n v="0.05"/>
    <n v="4428.8999999999996"/>
    <x v="70"/>
    <x v="0"/>
    <x v="4"/>
    <x v="4"/>
    <x v="0"/>
    <x v="2"/>
    <n v="3"/>
  </r>
  <r>
    <s v="O00072"/>
    <d v="2025-02-06T00:00:00"/>
    <s v="C00072"/>
    <s v="Customer 72"/>
    <x v="5"/>
    <x v="3"/>
    <x v="5"/>
    <n v="5"/>
    <n v="6638"/>
    <n v="0.2"/>
    <n v="26552"/>
    <x v="71"/>
    <x v="4"/>
    <x v="5"/>
    <x v="5"/>
    <x v="1"/>
    <x v="2"/>
    <n v="4"/>
  </r>
  <r>
    <s v="O00073"/>
    <d v="2025-08-09T00:00:00"/>
    <s v="C00073"/>
    <s v="Customer 73"/>
    <x v="0"/>
    <x v="0"/>
    <x v="0"/>
    <n v="1"/>
    <n v="13527"/>
    <n v="0.15"/>
    <n v="11497.95"/>
    <x v="72"/>
    <x v="4"/>
    <x v="5"/>
    <x v="5"/>
    <x v="1"/>
    <x v="1"/>
    <n v="4"/>
  </r>
  <r>
    <s v="O00074"/>
    <d v="2025-06-30T00:00:00"/>
    <s v="C00074"/>
    <s v="Customer 74"/>
    <x v="3"/>
    <x v="3"/>
    <x v="3"/>
    <n v="1"/>
    <n v="4990"/>
    <n v="0.1"/>
    <n v="4491"/>
    <x v="73"/>
    <x v="3"/>
    <x v="4"/>
    <x v="4"/>
    <x v="2"/>
    <x v="3"/>
    <n v="1"/>
  </r>
  <r>
    <s v="O00075"/>
    <d v="2025-03-26T00:00:00"/>
    <s v="C00075"/>
    <s v="Customer 75"/>
    <x v="3"/>
    <x v="3"/>
    <x v="3"/>
    <n v="1"/>
    <n v="2631"/>
    <n v="0.15"/>
    <n v="2236.35"/>
    <x v="74"/>
    <x v="2"/>
    <x v="3"/>
    <x v="3"/>
    <x v="1"/>
    <x v="3"/>
    <n v="5"/>
  </r>
  <r>
    <s v="O00076"/>
    <d v="2025-01-02T00:00:00"/>
    <s v="C00076"/>
    <s v="Customer 76"/>
    <x v="2"/>
    <x v="2"/>
    <x v="2"/>
    <n v="4"/>
    <n v="5699"/>
    <n v="0.15"/>
    <n v="19376.599999999999"/>
    <x v="75"/>
    <x v="2"/>
    <x v="1"/>
    <x v="1"/>
    <x v="0"/>
    <x v="0"/>
    <n v="2"/>
  </r>
  <r>
    <s v="O00077"/>
    <d v="2025-07-26T00:00:00"/>
    <s v="C00077"/>
    <s v="Customer 77"/>
    <x v="1"/>
    <x v="1"/>
    <x v="1"/>
    <n v="1"/>
    <n v="6334"/>
    <n v="0.05"/>
    <n v="6017.3"/>
    <x v="76"/>
    <x v="0"/>
    <x v="5"/>
    <x v="5"/>
    <x v="3"/>
    <x v="3"/>
    <n v="5"/>
  </r>
  <r>
    <s v="O00078"/>
    <d v="2025-07-08T00:00:00"/>
    <s v="C00078"/>
    <s v="Customer 78"/>
    <x v="1"/>
    <x v="1"/>
    <x v="1"/>
    <n v="5"/>
    <n v="12258"/>
    <n v="0.15"/>
    <n v="52096.5"/>
    <x v="77"/>
    <x v="1"/>
    <x v="4"/>
    <x v="4"/>
    <x v="3"/>
    <x v="3"/>
    <n v="2"/>
  </r>
  <r>
    <s v="O00079"/>
    <d v="2025-01-01T00:00:00"/>
    <s v="C00079"/>
    <s v="Customer 79"/>
    <x v="2"/>
    <x v="2"/>
    <x v="2"/>
    <n v="2"/>
    <n v="1324"/>
    <n v="0.1"/>
    <n v="2383.1999999999998"/>
    <x v="78"/>
    <x v="2"/>
    <x v="4"/>
    <x v="4"/>
    <x v="1"/>
    <x v="0"/>
    <n v="4"/>
  </r>
  <r>
    <s v="O00080"/>
    <d v="2025-12-07T00:00:00"/>
    <s v="C00080"/>
    <s v="Customer 80"/>
    <x v="5"/>
    <x v="3"/>
    <x v="5"/>
    <n v="2"/>
    <n v="7820"/>
    <n v="0"/>
    <n v="15640"/>
    <x v="79"/>
    <x v="3"/>
    <x v="3"/>
    <x v="3"/>
    <x v="4"/>
    <x v="0"/>
    <n v="4"/>
  </r>
  <r>
    <s v="O00081"/>
    <d v="2025-12-25T00:00:00"/>
    <s v="C00081"/>
    <s v="Customer 81"/>
    <x v="6"/>
    <x v="4"/>
    <x v="6"/>
    <n v="4"/>
    <n v="13480"/>
    <n v="0"/>
    <n v="53920"/>
    <x v="80"/>
    <x v="4"/>
    <x v="1"/>
    <x v="1"/>
    <x v="4"/>
    <x v="0"/>
    <n v="2"/>
  </r>
  <r>
    <s v="O00082"/>
    <d v="2025-05-06T00:00:00"/>
    <s v="C00082"/>
    <s v="Customer 82"/>
    <x v="5"/>
    <x v="3"/>
    <x v="5"/>
    <n v="3"/>
    <n v="5604"/>
    <n v="0.1"/>
    <n v="15130.8"/>
    <x v="81"/>
    <x v="4"/>
    <x v="1"/>
    <x v="1"/>
    <x v="1"/>
    <x v="0"/>
    <n v="3"/>
  </r>
  <r>
    <s v="O00083"/>
    <d v="2025-03-22T00:00:00"/>
    <s v="C00083"/>
    <s v="Customer 83"/>
    <x v="3"/>
    <x v="3"/>
    <x v="3"/>
    <n v="2"/>
    <n v="12085"/>
    <n v="0.15"/>
    <n v="20544.5"/>
    <x v="82"/>
    <x v="1"/>
    <x v="5"/>
    <x v="5"/>
    <x v="4"/>
    <x v="2"/>
    <n v="4"/>
  </r>
  <r>
    <s v="O00084"/>
    <d v="2025-11-23T00:00:00"/>
    <s v="C00084"/>
    <s v="Customer 84"/>
    <x v="6"/>
    <x v="4"/>
    <x v="6"/>
    <n v="3"/>
    <n v="1512"/>
    <n v="0.05"/>
    <n v="4309.2"/>
    <x v="83"/>
    <x v="2"/>
    <x v="1"/>
    <x v="1"/>
    <x v="1"/>
    <x v="0"/>
    <n v="3"/>
  </r>
  <r>
    <s v="O00085"/>
    <d v="2025-11-13T00:00:00"/>
    <s v="C00085"/>
    <s v="Customer 85"/>
    <x v="2"/>
    <x v="2"/>
    <x v="2"/>
    <n v="5"/>
    <n v="5534"/>
    <n v="0.15"/>
    <n v="23519.5"/>
    <x v="84"/>
    <x v="4"/>
    <x v="2"/>
    <x v="2"/>
    <x v="3"/>
    <x v="0"/>
    <n v="5"/>
  </r>
  <r>
    <s v="O00086"/>
    <d v="2025-09-13T00:00:00"/>
    <s v="C00086"/>
    <s v="Customer 86"/>
    <x v="1"/>
    <x v="1"/>
    <x v="1"/>
    <n v="3"/>
    <n v="11347"/>
    <n v="0"/>
    <n v="34041"/>
    <x v="85"/>
    <x v="2"/>
    <x v="0"/>
    <x v="0"/>
    <x v="4"/>
    <x v="3"/>
    <n v="5"/>
  </r>
  <r>
    <s v="O00087"/>
    <d v="2025-03-19T00:00:00"/>
    <s v="C00087"/>
    <s v="Customer 87"/>
    <x v="5"/>
    <x v="3"/>
    <x v="5"/>
    <n v="2"/>
    <n v="11737"/>
    <n v="0.1"/>
    <n v="21126.6"/>
    <x v="86"/>
    <x v="0"/>
    <x v="2"/>
    <x v="2"/>
    <x v="2"/>
    <x v="0"/>
    <n v="5"/>
  </r>
  <r>
    <s v="O00088"/>
    <d v="2025-07-30T00:00:00"/>
    <s v="C00088"/>
    <s v="Customer 88"/>
    <x v="2"/>
    <x v="2"/>
    <x v="2"/>
    <n v="2"/>
    <n v="8996"/>
    <n v="0.2"/>
    <n v="14393.6"/>
    <x v="87"/>
    <x v="1"/>
    <x v="5"/>
    <x v="5"/>
    <x v="2"/>
    <x v="0"/>
    <n v="3"/>
  </r>
  <r>
    <s v="O00089"/>
    <d v="2025-11-08T00:00:00"/>
    <s v="C00089"/>
    <s v="Customer 89"/>
    <x v="5"/>
    <x v="3"/>
    <x v="5"/>
    <n v="5"/>
    <n v="699"/>
    <n v="0.1"/>
    <n v="3145.5"/>
    <x v="88"/>
    <x v="1"/>
    <x v="3"/>
    <x v="3"/>
    <x v="1"/>
    <x v="3"/>
    <n v="4"/>
  </r>
  <r>
    <s v="O00090"/>
    <d v="2025-01-08T00:00:00"/>
    <s v="C00090"/>
    <s v="Customer 90"/>
    <x v="1"/>
    <x v="1"/>
    <x v="1"/>
    <n v="3"/>
    <n v="10363"/>
    <n v="0.05"/>
    <n v="29534.55"/>
    <x v="89"/>
    <x v="3"/>
    <x v="0"/>
    <x v="0"/>
    <x v="0"/>
    <x v="2"/>
    <n v="2"/>
  </r>
  <r>
    <s v="O00091"/>
    <d v="2025-12-27T00:00:00"/>
    <s v="C00091"/>
    <s v="Customer 91"/>
    <x v="0"/>
    <x v="0"/>
    <x v="0"/>
    <n v="5"/>
    <n v="5820"/>
    <n v="0.2"/>
    <n v="23280"/>
    <x v="90"/>
    <x v="1"/>
    <x v="0"/>
    <x v="0"/>
    <x v="2"/>
    <x v="1"/>
    <n v="1"/>
  </r>
  <r>
    <s v="O00092"/>
    <d v="2025-01-23T00:00:00"/>
    <s v="C00092"/>
    <s v="Customer 92"/>
    <x v="0"/>
    <x v="0"/>
    <x v="0"/>
    <n v="4"/>
    <n v="3081"/>
    <n v="0"/>
    <n v="12324"/>
    <x v="91"/>
    <x v="1"/>
    <x v="2"/>
    <x v="2"/>
    <x v="1"/>
    <x v="3"/>
    <n v="1"/>
  </r>
  <r>
    <s v="O00093"/>
    <d v="2025-04-14T00:00:00"/>
    <s v="C00093"/>
    <s v="Customer 93"/>
    <x v="3"/>
    <x v="3"/>
    <x v="3"/>
    <n v="4"/>
    <n v="1188"/>
    <n v="0.1"/>
    <n v="4276.8"/>
    <x v="92"/>
    <x v="2"/>
    <x v="5"/>
    <x v="5"/>
    <x v="2"/>
    <x v="0"/>
    <n v="1"/>
  </r>
  <r>
    <s v="O00094"/>
    <d v="2025-06-10T00:00:00"/>
    <s v="C00094"/>
    <s v="Customer 94"/>
    <x v="6"/>
    <x v="4"/>
    <x v="6"/>
    <n v="1"/>
    <n v="9949"/>
    <n v="0.2"/>
    <n v="7959.2"/>
    <x v="93"/>
    <x v="4"/>
    <x v="3"/>
    <x v="3"/>
    <x v="0"/>
    <x v="1"/>
    <n v="5"/>
  </r>
  <r>
    <s v="O00095"/>
    <d v="2025-02-04T00:00:00"/>
    <s v="C00095"/>
    <s v="Customer 95"/>
    <x v="2"/>
    <x v="2"/>
    <x v="2"/>
    <n v="3"/>
    <n v="2874"/>
    <n v="0.15"/>
    <n v="7328.7"/>
    <x v="94"/>
    <x v="3"/>
    <x v="4"/>
    <x v="4"/>
    <x v="1"/>
    <x v="1"/>
    <n v="1"/>
  </r>
  <r>
    <s v="O00096"/>
    <d v="2025-04-03T00:00:00"/>
    <s v="C00096"/>
    <s v="Customer 96"/>
    <x v="7"/>
    <x v="5"/>
    <x v="7"/>
    <n v="5"/>
    <n v="14098"/>
    <n v="0"/>
    <n v="70490"/>
    <x v="95"/>
    <x v="4"/>
    <x v="1"/>
    <x v="1"/>
    <x v="0"/>
    <x v="1"/>
    <n v="5"/>
  </r>
  <r>
    <s v="O00097"/>
    <d v="2025-08-21T00:00:00"/>
    <s v="C00097"/>
    <s v="Customer 97"/>
    <x v="6"/>
    <x v="4"/>
    <x v="6"/>
    <n v="5"/>
    <n v="14866"/>
    <n v="0.15"/>
    <n v="63180.5"/>
    <x v="96"/>
    <x v="1"/>
    <x v="5"/>
    <x v="5"/>
    <x v="4"/>
    <x v="1"/>
    <n v="3"/>
  </r>
  <r>
    <s v="O00098"/>
    <d v="2025-07-31T00:00:00"/>
    <s v="C00098"/>
    <s v="Customer 98"/>
    <x v="5"/>
    <x v="3"/>
    <x v="5"/>
    <n v="5"/>
    <n v="9530"/>
    <n v="0.1"/>
    <n v="42885"/>
    <x v="97"/>
    <x v="1"/>
    <x v="4"/>
    <x v="4"/>
    <x v="3"/>
    <x v="0"/>
    <n v="3"/>
  </r>
  <r>
    <s v="O00099"/>
    <d v="2025-10-07T00:00:00"/>
    <s v="C00099"/>
    <s v="Customer 99"/>
    <x v="3"/>
    <x v="3"/>
    <x v="3"/>
    <n v="1"/>
    <n v="10215"/>
    <n v="0.15"/>
    <n v="8682.75"/>
    <x v="98"/>
    <x v="2"/>
    <x v="3"/>
    <x v="3"/>
    <x v="1"/>
    <x v="0"/>
    <n v="2"/>
  </r>
  <r>
    <s v="O00100"/>
    <d v="2025-08-09T00:00:00"/>
    <s v="C00100"/>
    <s v="Customer 100"/>
    <x v="0"/>
    <x v="0"/>
    <x v="0"/>
    <n v="5"/>
    <n v="14345"/>
    <n v="0.1"/>
    <n v="64552.5"/>
    <x v="99"/>
    <x v="4"/>
    <x v="5"/>
    <x v="5"/>
    <x v="4"/>
    <x v="1"/>
    <n v="5"/>
  </r>
  <r>
    <s v="O00101"/>
    <d v="2025-08-07T00:00:00"/>
    <s v="C00101"/>
    <s v="Customer 101"/>
    <x v="7"/>
    <x v="5"/>
    <x v="7"/>
    <n v="2"/>
    <n v="11139"/>
    <n v="0.05"/>
    <n v="21164.1"/>
    <x v="100"/>
    <x v="4"/>
    <x v="4"/>
    <x v="4"/>
    <x v="4"/>
    <x v="2"/>
    <n v="4"/>
  </r>
  <r>
    <s v="O00102"/>
    <d v="2025-03-09T00:00:00"/>
    <s v="C00102"/>
    <s v="Customer 102"/>
    <x v="7"/>
    <x v="5"/>
    <x v="7"/>
    <n v="2"/>
    <n v="12657"/>
    <n v="0"/>
    <n v="25314"/>
    <x v="101"/>
    <x v="3"/>
    <x v="5"/>
    <x v="5"/>
    <x v="0"/>
    <x v="1"/>
    <n v="4"/>
  </r>
  <r>
    <s v="O00103"/>
    <d v="2025-04-20T00:00:00"/>
    <s v="C00103"/>
    <s v="Customer 103"/>
    <x v="1"/>
    <x v="1"/>
    <x v="1"/>
    <n v="4"/>
    <n v="8551"/>
    <n v="0.2"/>
    <n v="27363.200000000001"/>
    <x v="102"/>
    <x v="3"/>
    <x v="3"/>
    <x v="3"/>
    <x v="1"/>
    <x v="3"/>
    <n v="2"/>
  </r>
  <r>
    <s v="O00104"/>
    <d v="2025-11-10T00:00:00"/>
    <s v="C00104"/>
    <s v="Customer 104"/>
    <x v="3"/>
    <x v="3"/>
    <x v="3"/>
    <n v="1"/>
    <n v="1313"/>
    <n v="0.2"/>
    <n v="1050.4000000000001"/>
    <x v="103"/>
    <x v="1"/>
    <x v="2"/>
    <x v="2"/>
    <x v="1"/>
    <x v="2"/>
    <n v="5"/>
  </r>
  <r>
    <s v="O00105"/>
    <d v="2025-01-31T00:00:00"/>
    <s v="C00105"/>
    <s v="Customer 105"/>
    <x v="2"/>
    <x v="2"/>
    <x v="2"/>
    <n v="5"/>
    <n v="367"/>
    <n v="0.15"/>
    <n v="1559.75"/>
    <x v="104"/>
    <x v="0"/>
    <x v="1"/>
    <x v="1"/>
    <x v="3"/>
    <x v="1"/>
    <n v="3"/>
  </r>
  <r>
    <s v="O00106"/>
    <d v="2025-10-28T00:00:00"/>
    <s v="C00106"/>
    <s v="Customer 106"/>
    <x v="0"/>
    <x v="0"/>
    <x v="0"/>
    <n v="5"/>
    <n v="6642"/>
    <n v="0.05"/>
    <n v="31549.5"/>
    <x v="105"/>
    <x v="1"/>
    <x v="2"/>
    <x v="2"/>
    <x v="1"/>
    <x v="1"/>
    <n v="4"/>
  </r>
  <r>
    <s v="O00107"/>
    <d v="2025-04-20T00:00:00"/>
    <s v="C00107"/>
    <s v="Customer 107"/>
    <x v="3"/>
    <x v="3"/>
    <x v="3"/>
    <n v="4"/>
    <n v="1524"/>
    <n v="0"/>
    <n v="6096"/>
    <x v="106"/>
    <x v="2"/>
    <x v="5"/>
    <x v="5"/>
    <x v="2"/>
    <x v="1"/>
    <n v="3"/>
  </r>
  <r>
    <s v="O00108"/>
    <d v="2025-12-05T00:00:00"/>
    <s v="C00108"/>
    <s v="Customer 108"/>
    <x v="1"/>
    <x v="1"/>
    <x v="1"/>
    <n v="2"/>
    <n v="10999"/>
    <n v="0.05"/>
    <n v="20898.099999999999"/>
    <x v="107"/>
    <x v="1"/>
    <x v="0"/>
    <x v="0"/>
    <x v="0"/>
    <x v="3"/>
    <n v="2"/>
  </r>
  <r>
    <s v="O00109"/>
    <d v="2025-06-04T00:00:00"/>
    <s v="C00109"/>
    <s v="Customer 109"/>
    <x v="3"/>
    <x v="3"/>
    <x v="3"/>
    <n v="4"/>
    <n v="9608"/>
    <n v="0"/>
    <n v="38432"/>
    <x v="108"/>
    <x v="4"/>
    <x v="1"/>
    <x v="1"/>
    <x v="1"/>
    <x v="3"/>
    <n v="2"/>
  </r>
  <r>
    <s v="O00110"/>
    <d v="2025-03-20T00:00:00"/>
    <s v="C00110"/>
    <s v="Customer 110"/>
    <x v="0"/>
    <x v="0"/>
    <x v="0"/>
    <n v="2"/>
    <n v="3129"/>
    <n v="0.2"/>
    <n v="5006.3999999999996"/>
    <x v="109"/>
    <x v="1"/>
    <x v="2"/>
    <x v="2"/>
    <x v="3"/>
    <x v="3"/>
    <n v="3"/>
  </r>
  <r>
    <s v="O00111"/>
    <d v="2025-03-24T00:00:00"/>
    <s v="C00111"/>
    <s v="Customer 111"/>
    <x v="5"/>
    <x v="3"/>
    <x v="5"/>
    <n v="5"/>
    <n v="5313"/>
    <n v="0.2"/>
    <n v="21252"/>
    <x v="110"/>
    <x v="0"/>
    <x v="2"/>
    <x v="2"/>
    <x v="4"/>
    <x v="2"/>
    <n v="5"/>
  </r>
  <r>
    <s v="O00112"/>
    <d v="2025-05-11T00:00:00"/>
    <s v="C00112"/>
    <s v="Customer 112"/>
    <x v="1"/>
    <x v="1"/>
    <x v="1"/>
    <n v="5"/>
    <n v="11556"/>
    <n v="0.2"/>
    <n v="46224"/>
    <x v="111"/>
    <x v="2"/>
    <x v="3"/>
    <x v="3"/>
    <x v="2"/>
    <x v="1"/>
    <n v="1"/>
  </r>
  <r>
    <s v="O00113"/>
    <d v="2025-05-01T00:00:00"/>
    <s v="C00113"/>
    <s v="Customer 113"/>
    <x v="2"/>
    <x v="2"/>
    <x v="2"/>
    <n v="4"/>
    <n v="1076"/>
    <n v="0"/>
    <n v="4304"/>
    <x v="112"/>
    <x v="0"/>
    <x v="3"/>
    <x v="3"/>
    <x v="2"/>
    <x v="0"/>
    <n v="3"/>
  </r>
  <r>
    <s v="O00114"/>
    <d v="2025-06-14T00:00:00"/>
    <s v="C00114"/>
    <s v="Customer 114"/>
    <x v="5"/>
    <x v="3"/>
    <x v="5"/>
    <n v="2"/>
    <n v="14926"/>
    <n v="0.1"/>
    <n v="26866.799999999999"/>
    <x v="113"/>
    <x v="0"/>
    <x v="0"/>
    <x v="0"/>
    <x v="1"/>
    <x v="0"/>
    <n v="5"/>
  </r>
  <r>
    <s v="O00115"/>
    <d v="2025-08-17T00:00:00"/>
    <s v="C00115"/>
    <s v="Customer 115"/>
    <x v="3"/>
    <x v="3"/>
    <x v="3"/>
    <n v="2"/>
    <n v="8938"/>
    <n v="0.15"/>
    <n v="15194.6"/>
    <x v="114"/>
    <x v="4"/>
    <x v="5"/>
    <x v="5"/>
    <x v="1"/>
    <x v="1"/>
    <n v="2"/>
  </r>
  <r>
    <s v="O00116"/>
    <d v="2025-02-13T00:00:00"/>
    <s v="C00116"/>
    <s v="Customer 116"/>
    <x v="6"/>
    <x v="4"/>
    <x v="6"/>
    <n v="2"/>
    <n v="7453"/>
    <n v="0.05"/>
    <n v="14160.7"/>
    <x v="115"/>
    <x v="4"/>
    <x v="3"/>
    <x v="3"/>
    <x v="1"/>
    <x v="1"/>
    <n v="5"/>
  </r>
  <r>
    <s v="O00117"/>
    <d v="2025-03-22T00:00:00"/>
    <s v="C00117"/>
    <s v="Customer 117"/>
    <x v="5"/>
    <x v="3"/>
    <x v="5"/>
    <n v="2"/>
    <n v="6911"/>
    <n v="0.2"/>
    <n v="11057.6"/>
    <x v="116"/>
    <x v="0"/>
    <x v="2"/>
    <x v="2"/>
    <x v="4"/>
    <x v="0"/>
    <n v="5"/>
  </r>
  <r>
    <s v="O00118"/>
    <d v="2025-06-12T00:00:00"/>
    <s v="C00118"/>
    <s v="Customer 118"/>
    <x v="5"/>
    <x v="3"/>
    <x v="5"/>
    <n v="5"/>
    <n v="6737"/>
    <n v="0.05"/>
    <n v="32000.75"/>
    <x v="117"/>
    <x v="3"/>
    <x v="2"/>
    <x v="2"/>
    <x v="3"/>
    <x v="2"/>
    <n v="4"/>
  </r>
  <r>
    <s v="O00119"/>
    <d v="2025-05-27T00:00:00"/>
    <s v="C00119"/>
    <s v="Customer 119"/>
    <x v="7"/>
    <x v="5"/>
    <x v="7"/>
    <n v="1"/>
    <n v="13619"/>
    <n v="0.05"/>
    <n v="12938.05"/>
    <x v="118"/>
    <x v="2"/>
    <x v="1"/>
    <x v="1"/>
    <x v="2"/>
    <x v="3"/>
    <n v="4"/>
  </r>
  <r>
    <s v="O00120"/>
    <d v="2025-11-07T00:00:00"/>
    <s v="C00120"/>
    <s v="Customer 120"/>
    <x v="0"/>
    <x v="0"/>
    <x v="0"/>
    <n v="3"/>
    <n v="3825"/>
    <n v="0.15"/>
    <n v="9753.75"/>
    <x v="119"/>
    <x v="1"/>
    <x v="2"/>
    <x v="2"/>
    <x v="0"/>
    <x v="1"/>
    <n v="3"/>
  </r>
  <r>
    <s v="O00121"/>
    <d v="2025-08-09T00:00:00"/>
    <s v="C00121"/>
    <s v="Customer 121"/>
    <x v="6"/>
    <x v="4"/>
    <x v="6"/>
    <n v="5"/>
    <n v="11869"/>
    <n v="0"/>
    <n v="59345"/>
    <x v="120"/>
    <x v="1"/>
    <x v="3"/>
    <x v="3"/>
    <x v="2"/>
    <x v="3"/>
    <n v="3"/>
  </r>
  <r>
    <s v="O00122"/>
    <d v="2025-09-24T00:00:00"/>
    <s v="C00122"/>
    <s v="Customer 122"/>
    <x v="0"/>
    <x v="0"/>
    <x v="0"/>
    <n v="3"/>
    <n v="10192"/>
    <n v="0.05"/>
    <n v="29047.200000000001"/>
    <x v="121"/>
    <x v="4"/>
    <x v="2"/>
    <x v="2"/>
    <x v="0"/>
    <x v="1"/>
    <n v="4"/>
  </r>
  <r>
    <s v="O00123"/>
    <d v="2025-12-12T00:00:00"/>
    <s v="C00123"/>
    <s v="Customer 123"/>
    <x v="2"/>
    <x v="2"/>
    <x v="2"/>
    <n v="3"/>
    <n v="804"/>
    <n v="0.1"/>
    <n v="2170.8000000000002"/>
    <x v="122"/>
    <x v="4"/>
    <x v="0"/>
    <x v="0"/>
    <x v="3"/>
    <x v="2"/>
    <n v="5"/>
  </r>
  <r>
    <s v="O00124"/>
    <d v="2025-09-14T00:00:00"/>
    <s v="C00124"/>
    <s v="Customer 124"/>
    <x v="4"/>
    <x v="3"/>
    <x v="4"/>
    <n v="2"/>
    <n v="14195"/>
    <n v="0"/>
    <n v="28390"/>
    <x v="123"/>
    <x v="0"/>
    <x v="0"/>
    <x v="0"/>
    <x v="4"/>
    <x v="0"/>
    <n v="2"/>
  </r>
  <r>
    <s v="O00125"/>
    <d v="2025-04-07T00:00:00"/>
    <s v="C00125"/>
    <s v="Customer 125"/>
    <x v="3"/>
    <x v="3"/>
    <x v="3"/>
    <n v="5"/>
    <n v="2005"/>
    <n v="0.1"/>
    <n v="9022.5"/>
    <x v="124"/>
    <x v="0"/>
    <x v="5"/>
    <x v="5"/>
    <x v="0"/>
    <x v="3"/>
    <n v="4"/>
  </r>
  <r>
    <s v="O00126"/>
    <d v="2025-01-16T00:00:00"/>
    <s v="C00126"/>
    <s v="Customer 126"/>
    <x v="5"/>
    <x v="3"/>
    <x v="5"/>
    <n v="3"/>
    <n v="8602"/>
    <n v="0"/>
    <n v="25806"/>
    <x v="125"/>
    <x v="1"/>
    <x v="4"/>
    <x v="4"/>
    <x v="4"/>
    <x v="2"/>
    <n v="4"/>
  </r>
  <r>
    <s v="O00127"/>
    <d v="2025-08-28T00:00:00"/>
    <s v="C00127"/>
    <s v="Customer 127"/>
    <x v="6"/>
    <x v="4"/>
    <x v="6"/>
    <n v="1"/>
    <n v="907"/>
    <n v="0"/>
    <n v="907"/>
    <x v="126"/>
    <x v="3"/>
    <x v="5"/>
    <x v="5"/>
    <x v="0"/>
    <x v="1"/>
    <n v="4"/>
  </r>
  <r>
    <s v="O00128"/>
    <d v="2025-09-22T00:00:00"/>
    <s v="C00128"/>
    <s v="Customer 128"/>
    <x v="5"/>
    <x v="3"/>
    <x v="5"/>
    <n v="3"/>
    <n v="11433"/>
    <n v="0.05"/>
    <n v="32584.05"/>
    <x v="127"/>
    <x v="0"/>
    <x v="2"/>
    <x v="2"/>
    <x v="1"/>
    <x v="3"/>
    <n v="5"/>
  </r>
  <r>
    <s v="O00129"/>
    <d v="2025-02-11T00:00:00"/>
    <s v="C00129"/>
    <s v="Customer 129"/>
    <x v="3"/>
    <x v="3"/>
    <x v="3"/>
    <n v="1"/>
    <n v="11581"/>
    <n v="0.2"/>
    <n v="9264.7999999999993"/>
    <x v="128"/>
    <x v="1"/>
    <x v="5"/>
    <x v="5"/>
    <x v="2"/>
    <x v="1"/>
    <n v="5"/>
  </r>
  <r>
    <s v="O00130"/>
    <d v="2025-05-18T00:00:00"/>
    <s v="C00130"/>
    <s v="Customer 130"/>
    <x v="7"/>
    <x v="5"/>
    <x v="7"/>
    <n v="5"/>
    <n v="14787"/>
    <n v="0"/>
    <n v="73935"/>
    <x v="129"/>
    <x v="3"/>
    <x v="2"/>
    <x v="2"/>
    <x v="1"/>
    <x v="1"/>
    <n v="3"/>
  </r>
  <r>
    <s v="O00131"/>
    <d v="2025-08-14T00:00:00"/>
    <s v="C00131"/>
    <s v="Customer 131"/>
    <x v="7"/>
    <x v="5"/>
    <x v="7"/>
    <n v="5"/>
    <n v="6336"/>
    <n v="0.05"/>
    <n v="30096"/>
    <x v="130"/>
    <x v="0"/>
    <x v="0"/>
    <x v="0"/>
    <x v="3"/>
    <x v="2"/>
    <n v="4"/>
  </r>
  <r>
    <s v="O00132"/>
    <d v="2025-09-14T00:00:00"/>
    <s v="C00132"/>
    <s v="Customer 132"/>
    <x v="2"/>
    <x v="2"/>
    <x v="2"/>
    <n v="5"/>
    <n v="1913"/>
    <n v="0.05"/>
    <n v="9086.75"/>
    <x v="131"/>
    <x v="0"/>
    <x v="4"/>
    <x v="4"/>
    <x v="4"/>
    <x v="0"/>
    <n v="2"/>
  </r>
  <r>
    <s v="O00133"/>
    <d v="2025-02-17T00:00:00"/>
    <s v="C00133"/>
    <s v="Customer 133"/>
    <x v="3"/>
    <x v="3"/>
    <x v="3"/>
    <n v="5"/>
    <n v="9224"/>
    <n v="0.1"/>
    <n v="41508"/>
    <x v="132"/>
    <x v="3"/>
    <x v="0"/>
    <x v="0"/>
    <x v="3"/>
    <x v="1"/>
    <n v="5"/>
  </r>
  <r>
    <s v="O00134"/>
    <d v="2025-05-02T00:00:00"/>
    <s v="C00134"/>
    <s v="Customer 134"/>
    <x v="3"/>
    <x v="3"/>
    <x v="3"/>
    <n v="1"/>
    <n v="9940"/>
    <n v="0.1"/>
    <n v="8946"/>
    <x v="133"/>
    <x v="2"/>
    <x v="1"/>
    <x v="1"/>
    <x v="2"/>
    <x v="3"/>
    <n v="3"/>
  </r>
  <r>
    <s v="O00135"/>
    <d v="2025-01-15T00:00:00"/>
    <s v="C00135"/>
    <s v="Customer 135"/>
    <x v="1"/>
    <x v="1"/>
    <x v="1"/>
    <n v="2"/>
    <n v="13297"/>
    <n v="0"/>
    <n v="26594"/>
    <x v="134"/>
    <x v="3"/>
    <x v="0"/>
    <x v="0"/>
    <x v="1"/>
    <x v="3"/>
    <n v="4"/>
  </r>
  <r>
    <s v="O00136"/>
    <d v="2025-07-14T00:00:00"/>
    <s v="C00136"/>
    <s v="Customer 136"/>
    <x v="2"/>
    <x v="2"/>
    <x v="2"/>
    <n v="1"/>
    <n v="9816"/>
    <n v="0.2"/>
    <n v="7852.8"/>
    <x v="135"/>
    <x v="2"/>
    <x v="4"/>
    <x v="4"/>
    <x v="1"/>
    <x v="3"/>
    <n v="4"/>
  </r>
  <r>
    <s v="O00137"/>
    <d v="2025-02-03T00:00:00"/>
    <s v="C00137"/>
    <s v="Customer 137"/>
    <x v="3"/>
    <x v="3"/>
    <x v="3"/>
    <n v="3"/>
    <n v="4803"/>
    <n v="0"/>
    <n v="14409"/>
    <x v="136"/>
    <x v="0"/>
    <x v="3"/>
    <x v="3"/>
    <x v="4"/>
    <x v="0"/>
    <n v="2"/>
  </r>
  <r>
    <s v="O00138"/>
    <d v="2025-12-21T00:00:00"/>
    <s v="C00138"/>
    <s v="Customer 138"/>
    <x v="1"/>
    <x v="1"/>
    <x v="1"/>
    <n v="4"/>
    <n v="3960"/>
    <n v="0.2"/>
    <n v="12672"/>
    <x v="137"/>
    <x v="1"/>
    <x v="4"/>
    <x v="4"/>
    <x v="3"/>
    <x v="1"/>
    <n v="4"/>
  </r>
  <r>
    <s v="O00139"/>
    <d v="2025-04-30T00:00:00"/>
    <s v="C00139"/>
    <s v="Customer 139"/>
    <x v="0"/>
    <x v="0"/>
    <x v="0"/>
    <n v="5"/>
    <n v="10608"/>
    <n v="0"/>
    <n v="53040"/>
    <x v="138"/>
    <x v="2"/>
    <x v="3"/>
    <x v="3"/>
    <x v="2"/>
    <x v="3"/>
    <n v="1"/>
  </r>
  <r>
    <s v="O00140"/>
    <d v="2025-01-12T00:00:00"/>
    <s v="C00140"/>
    <s v="Customer 140"/>
    <x v="3"/>
    <x v="3"/>
    <x v="3"/>
    <n v="1"/>
    <n v="4302"/>
    <n v="0.1"/>
    <n v="3871.8"/>
    <x v="139"/>
    <x v="2"/>
    <x v="3"/>
    <x v="3"/>
    <x v="0"/>
    <x v="0"/>
    <n v="5"/>
  </r>
  <r>
    <s v="O00141"/>
    <d v="2025-11-28T00:00:00"/>
    <s v="C00141"/>
    <s v="Customer 141"/>
    <x v="3"/>
    <x v="3"/>
    <x v="3"/>
    <n v="1"/>
    <n v="3748"/>
    <n v="0.05"/>
    <n v="3560.6"/>
    <x v="140"/>
    <x v="3"/>
    <x v="2"/>
    <x v="2"/>
    <x v="3"/>
    <x v="1"/>
    <n v="5"/>
  </r>
  <r>
    <s v="O00142"/>
    <d v="2025-11-25T00:00:00"/>
    <s v="C00142"/>
    <s v="Customer 142"/>
    <x v="6"/>
    <x v="4"/>
    <x v="6"/>
    <n v="2"/>
    <n v="3134"/>
    <n v="0.2"/>
    <n v="5014.3999999999996"/>
    <x v="141"/>
    <x v="1"/>
    <x v="3"/>
    <x v="3"/>
    <x v="0"/>
    <x v="1"/>
    <n v="5"/>
  </r>
  <r>
    <s v="O00143"/>
    <d v="2025-02-04T00:00:00"/>
    <s v="C00143"/>
    <s v="Customer 143"/>
    <x v="1"/>
    <x v="1"/>
    <x v="1"/>
    <n v="4"/>
    <n v="6937"/>
    <n v="0.2"/>
    <n v="22198.400000000001"/>
    <x v="142"/>
    <x v="0"/>
    <x v="2"/>
    <x v="2"/>
    <x v="0"/>
    <x v="0"/>
    <n v="5"/>
  </r>
  <r>
    <s v="O00144"/>
    <d v="2025-08-08T00:00:00"/>
    <s v="C00144"/>
    <s v="Customer 144"/>
    <x v="5"/>
    <x v="3"/>
    <x v="5"/>
    <n v="5"/>
    <n v="7893"/>
    <n v="0.1"/>
    <n v="35518.5"/>
    <x v="143"/>
    <x v="3"/>
    <x v="5"/>
    <x v="5"/>
    <x v="1"/>
    <x v="1"/>
    <n v="2"/>
  </r>
  <r>
    <s v="O00145"/>
    <d v="2025-12-09T00:00:00"/>
    <s v="C00145"/>
    <s v="Customer 145"/>
    <x v="3"/>
    <x v="3"/>
    <x v="3"/>
    <n v="2"/>
    <n v="12627"/>
    <n v="0.05"/>
    <n v="23991.3"/>
    <x v="144"/>
    <x v="1"/>
    <x v="5"/>
    <x v="5"/>
    <x v="4"/>
    <x v="2"/>
    <n v="4"/>
  </r>
  <r>
    <s v="O00146"/>
    <d v="2025-02-05T00:00:00"/>
    <s v="C00146"/>
    <s v="Customer 146"/>
    <x v="1"/>
    <x v="1"/>
    <x v="1"/>
    <n v="2"/>
    <n v="1992"/>
    <n v="0"/>
    <n v="3984"/>
    <x v="145"/>
    <x v="2"/>
    <x v="1"/>
    <x v="1"/>
    <x v="2"/>
    <x v="3"/>
    <n v="1"/>
  </r>
  <r>
    <s v="O00147"/>
    <d v="2025-01-17T00:00:00"/>
    <s v="C00147"/>
    <s v="Customer 147"/>
    <x v="7"/>
    <x v="5"/>
    <x v="7"/>
    <n v="4"/>
    <n v="3397"/>
    <n v="0.05"/>
    <n v="12908.6"/>
    <x v="146"/>
    <x v="2"/>
    <x v="0"/>
    <x v="0"/>
    <x v="2"/>
    <x v="1"/>
    <n v="2"/>
  </r>
  <r>
    <s v="O00148"/>
    <d v="2025-01-31T00:00:00"/>
    <s v="C00148"/>
    <s v="Customer 148"/>
    <x v="2"/>
    <x v="2"/>
    <x v="2"/>
    <n v="3"/>
    <n v="5876"/>
    <n v="0"/>
    <n v="17628"/>
    <x v="147"/>
    <x v="4"/>
    <x v="5"/>
    <x v="5"/>
    <x v="1"/>
    <x v="3"/>
    <n v="1"/>
  </r>
  <r>
    <s v="O00149"/>
    <d v="2025-07-13T00:00:00"/>
    <s v="C00149"/>
    <s v="Customer 149"/>
    <x v="4"/>
    <x v="3"/>
    <x v="4"/>
    <n v="1"/>
    <n v="8331"/>
    <n v="0.15"/>
    <n v="7081.35"/>
    <x v="148"/>
    <x v="1"/>
    <x v="2"/>
    <x v="2"/>
    <x v="0"/>
    <x v="2"/>
    <n v="1"/>
  </r>
  <r>
    <s v="O00150"/>
    <d v="2025-06-12T00:00:00"/>
    <s v="C00150"/>
    <s v="Customer 150"/>
    <x v="5"/>
    <x v="3"/>
    <x v="5"/>
    <n v="3"/>
    <n v="9998"/>
    <n v="0.15"/>
    <n v="25494.9"/>
    <x v="149"/>
    <x v="0"/>
    <x v="5"/>
    <x v="5"/>
    <x v="0"/>
    <x v="0"/>
    <n v="5"/>
  </r>
  <r>
    <s v="O00151"/>
    <d v="2025-05-24T00:00:00"/>
    <s v="C00151"/>
    <s v="Customer 151"/>
    <x v="2"/>
    <x v="2"/>
    <x v="2"/>
    <n v="5"/>
    <n v="1043"/>
    <n v="0"/>
    <n v="5215"/>
    <x v="150"/>
    <x v="1"/>
    <x v="5"/>
    <x v="5"/>
    <x v="3"/>
    <x v="1"/>
    <n v="4"/>
  </r>
  <r>
    <s v="O00152"/>
    <d v="2025-12-25T00:00:00"/>
    <s v="C00152"/>
    <s v="Customer 152"/>
    <x v="3"/>
    <x v="3"/>
    <x v="3"/>
    <n v="2"/>
    <n v="5791"/>
    <n v="0.15"/>
    <n v="9844.7000000000007"/>
    <x v="151"/>
    <x v="2"/>
    <x v="2"/>
    <x v="2"/>
    <x v="2"/>
    <x v="2"/>
    <n v="3"/>
  </r>
  <r>
    <s v="O00153"/>
    <d v="2025-09-10T00:00:00"/>
    <s v="C00153"/>
    <s v="Customer 153"/>
    <x v="3"/>
    <x v="3"/>
    <x v="3"/>
    <n v="2"/>
    <n v="3087"/>
    <n v="0.15"/>
    <n v="5247.9"/>
    <x v="152"/>
    <x v="4"/>
    <x v="5"/>
    <x v="5"/>
    <x v="1"/>
    <x v="1"/>
    <n v="3"/>
  </r>
  <r>
    <s v="O00154"/>
    <d v="2025-12-29T00:00:00"/>
    <s v="C00154"/>
    <s v="Customer 154"/>
    <x v="2"/>
    <x v="2"/>
    <x v="2"/>
    <n v="2"/>
    <n v="1675"/>
    <n v="0.05"/>
    <n v="3182.5"/>
    <x v="153"/>
    <x v="4"/>
    <x v="1"/>
    <x v="1"/>
    <x v="3"/>
    <x v="2"/>
    <n v="5"/>
  </r>
  <r>
    <s v="O00155"/>
    <d v="2025-02-17T00:00:00"/>
    <s v="C00155"/>
    <s v="Customer 155"/>
    <x v="6"/>
    <x v="4"/>
    <x v="6"/>
    <n v="3"/>
    <n v="12322"/>
    <n v="0.1"/>
    <n v="33269.4"/>
    <x v="154"/>
    <x v="3"/>
    <x v="1"/>
    <x v="1"/>
    <x v="2"/>
    <x v="3"/>
    <n v="1"/>
  </r>
  <r>
    <s v="O00156"/>
    <d v="2025-09-25T00:00:00"/>
    <s v="C00156"/>
    <s v="Customer 156"/>
    <x v="3"/>
    <x v="3"/>
    <x v="3"/>
    <n v="4"/>
    <n v="5405"/>
    <n v="0"/>
    <n v="21620"/>
    <x v="155"/>
    <x v="4"/>
    <x v="0"/>
    <x v="0"/>
    <x v="1"/>
    <x v="2"/>
    <n v="3"/>
  </r>
  <r>
    <s v="O00157"/>
    <d v="2025-07-13T00:00:00"/>
    <s v="C00157"/>
    <s v="Customer 157"/>
    <x v="1"/>
    <x v="1"/>
    <x v="1"/>
    <n v="5"/>
    <n v="13723"/>
    <n v="0"/>
    <n v="68615"/>
    <x v="156"/>
    <x v="2"/>
    <x v="2"/>
    <x v="2"/>
    <x v="1"/>
    <x v="1"/>
    <n v="2"/>
  </r>
  <r>
    <s v="O00158"/>
    <d v="2025-04-27T00:00:00"/>
    <s v="C00158"/>
    <s v="Customer 158"/>
    <x v="7"/>
    <x v="5"/>
    <x v="7"/>
    <n v="4"/>
    <n v="5195"/>
    <n v="0.05"/>
    <n v="19741"/>
    <x v="157"/>
    <x v="3"/>
    <x v="4"/>
    <x v="4"/>
    <x v="4"/>
    <x v="2"/>
    <n v="4"/>
  </r>
  <r>
    <s v="O00159"/>
    <d v="2025-12-27T00:00:00"/>
    <s v="C00159"/>
    <s v="Customer 159"/>
    <x v="6"/>
    <x v="4"/>
    <x v="6"/>
    <n v="4"/>
    <n v="7264"/>
    <n v="0.05"/>
    <n v="27603.200000000001"/>
    <x v="158"/>
    <x v="4"/>
    <x v="0"/>
    <x v="0"/>
    <x v="3"/>
    <x v="1"/>
    <n v="3"/>
  </r>
  <r>
    <s v="O00160"/>
    <d v="2025-10-12T00:00:00"/>
    <s v="C00160"/>
    <s v="Customer 160"/>
    <x v="4"/>
    <x v="3"/>
    <x v="4"/>
    <n v="5"/>
    <n v="9573"/>
    <n v="0.05"/>
    <n v="45471.75"/>
    <x v="159"/>
    <x v="3"/>
    <x v="3"/>
    <x v="3"/>
    <x v="3"/>
    <x v="1"/>
    <n v="3"/>
  </r>
  <r>
    <s v="O00161"/>
    <d v="2025-06-27T00:00:00"/>
    <s v="C00161"/>
    <s v="Customer 161"/>
    <x v="4"/>
    <x v="3"/>
    <x v="4"/>
    <n v="3"/>
    <n v="5397"/>
    <n v="0.15"/>
    <n v="13762.35"/>
    <x v="160"/>
    <x v="4"/>
    <x v="5"/>
    <x v="5"/>
    <x v="2"/>
    <x v="1"/>
    <n v="4"/>
  </r>
  <r>
    <s v="O00162"/>
    <d v="2025-03-22T00:00:00"/>
    <s v="C00162"/>
    <s v="Customer 162"/>
    <x v="6"/>
    <x v="4"/>
    <x v="6"/>
    <n v="5"/>
    <n v="10437"/>
    <n v="0"/>
    <n v="52185"/>
    <x v="161"/>
    <x v="1"/>
    <x v="1"/>
    <x v="1"/>
    <x v="3"/>
    <x v="0"/>
    <n v="2"/>
  </r>
  <r>
    <s v="O00163"/>
    <d v="2025-06-21T00:00:00"/>
    <s v="C00163"/>
    <s v="Customer 163"/>
    <x v="6"/>
    <x v="4"/>
    <x v="6"/>
    <n v="4"/>
    <n v="1583"/>
    <n v="0.15"/>
    <n v="5382.2"/>
    <x v="162"/>
    <x v="1"/>
    <x v="1"/>
    <x v="1"/>
    <x v="0"/>
    <x v="1"/>
    <n v="3"/>
  </r>
  <r>
    <s v="O00164"/>
    <d v="2025-01-13T00:00:00"/>
    <s v="C00164"/>
    <s v="Customer 164"/>
    <x v="3"/>
    <x v="3"/>
    <x v="3"/>
    <n v="2"/>
    <n v="9357"/>
    <n v="0.05"/>
    <n v="17778.3"/>
    <x v="163"/>
    <x v="0"/>
    <x v="5"/>
    <x v="5"/>
    <x v="4"/>
    <x v="3"/>
    <n v="4"/>
  </r>
  <r>
    <s v="O00165"/>
    <d v="2025-12-10T00:00:00"/>
    <s v="C00165"/>
    <s v="Customer 165"/>
    <x v="1"/>
    <x v="1"/>
    <x v="1"/>
    <n v="4"/>
    <n v="6472"/>
    <n v="0.2"/>
    <n v="20710.400000000001"/>
    <x v="164"/>
    <x v="2"/>
    <x v="3"/>
    <x v="3"/>
    <x v="3"/>
    <x v="0"/>
    <n v="3"/>
  </r>
  <r>
    <s v="O00166"/>
    <d v="2025-04-08T00:00:00"/>
    <s v="C00166"/>
    <s v="Customer 166"/>
    <x v="3"/>
    <x v="3"/>
    <x v="3"/>
    <n v="5"/>
    <n v="2672"/>
    <n v="0.05"/>
    <n v="12692"/>
    <x v="165"/>
    <x v="2"/>
    <x v="5"/>
    <x v="5"/>
    <x v="0"/>
    <x v="0"/>
    <n v="4"/>
  </r>
  <r>
    <s v="O00167"/>
    <d v="2025-11-06T00:00:00"/>
    <s v="C00167"/>
    <s v="Customer 167"/>
    <x v="7"/>
    <x v="5"/>
    <x v="7"/>
    <n v="2"/>
    <n v="11230"/>
    <n v="0.1"/>
    <n v="20214"/>
    <x v="166"/>
    <x v="3"/>
    <x v="5"/>
    <x v="5"/>
    <x v="2"/>
    <x v="1"/>
    <n v="5"/>
  </r>
  <r>
    <s v="O00168"/>
    <d v="2025-01-10T00:00:00"/>
    <s v="C00168"/>
    <s v="Customer 168"/>
    <x v="3"/>
    <x v="3"/>
    <x v="3"/>
    <n v="2"/>
    <n v="2424"/>
    <n v="0.1"/>
    <n v="4363.2"/>
    <x v="167"/>
    <x v="3"/>
    <x v="3"/>
    <x v="3"/>
    <x v="4"/>
    <x v="2"/>
    <n v="3"/>
  </r>
  <r>
    <s v="O00169"/>
    <d v="2025-11-22T00:00:00"/>
    <s v="C00169"/>
    <s v="Customer 169"/>
    <x v="3"/>
    <x v="3"/>
    <x v="3"/>
    <n v="2"/>
    <n v="6733"/>
    <n v="0"/>
    <n v="13466"/>
    <x v="168"/>
    <x v="4"/>
    <x v="0"/>
    <x v="0"/>
    <x v="4"/>
    <x v="2"/>
    <n v="3"/>
  </r>
  <r>
    <s v="O00170"/>
    <d v="2025-01-16T00:00:00"/>
    <s v="C00170"/>
    <s v="Customer 170"/>
    <x v="2"/>
    <x v="2"/>
    <x v="2"/>
    <n v="2"/>
    <n v="8218"/>
    <n v="0.1"/>
    <n v="14792.4"/>
    <x v="169"/>
    <x v="3"/>
    <x v="4"/>
    <x v="4"/>
    <x v="4"/>
    <x v="1"/>
    <n v="1"/>
  </r>
  <r>
    <s v="O00171"/>
    <d v="2025-11-21T00:00:00"/>
    <s v="C00171"/>
    <s v="Customer 171"/>
    <x v="7"/>
    <x v="5"/>
    <x v="7"/>
    <n v="3"/>
    <n v="12530"/>
    <n v="0.15"/>
    <n v="31951.5"/>
    <x v="170"/>
    <x v="4"/>
    <x v="2"/>
    <x v="2"/>
    <x v="3"/>
    <x v="2"/>
    <n v="1"/>
  </r>
  <r>
    <s v="O00172"/>
    <d v="2025-05-30T00:00:00"/>
    <s v="C00172"/>
    <s v="Customer 172"/>
    <x v="3"/>
    <x v="3"/>
    <x v="3"/>
    <n v="2"/>
    <n v="12379"/>
    <n v="0.1"/>
    <n v="22282.2"/>
    <x v="171"/>
    <x v="0"/>
    <x v="3"/>
    <x v="3"/>
    <x v="1"/>
    <x v="3"/>
    <n v="4"/>
  </r>
  <r>
    <s v="O00173"/>
    <d v="2025-08-03T00:00:00"/>
    <s v="C00173"/>
    <s v="Customer 173"/>
    <x v="5"/>
    <x v="3"/>
    <x v="5"/>
    <n v="2"/>
    <n v="7489"/>
    <n v="0.2"/>
    <n v="11982.4"/>
    <x v="172"/>
    <x v="4"/>
    <x v="5"/>
    <x v="5"/>
    <x v="0"/>
    <x v="2"/>
    <n v="4"/>
  </r>
  <r>
    <s v="O00174"/>
    <d v="2025-04-29T00:00:00"/>
    <s v="C00174"/>
    <s v="Customer 174"/>
    <x v="2"/>
    <x v="2"/>
    <x v="2"/>
    <n v="1"/>
    <n v="4325"/>
    <n v="0.05"/>
    <n v="4108.75"/>
    <x v="173"/>
    <x v="1"/>
    <x v="0"/>
    <x v="0"/>
    <x v="3"/>
    <x v="1"/>
    <n v="5"/>
  </r>
  <r>
    <s v="O00175"/>
    <d v="2025-11-16T00:00:00"/>
    <s v="C00175"/>
    <s v="Customer 175"/>
    <x v="2"/>
    <x v="2"/>
    <x v="2"/>
    <n v="2"/>
    <n v="2130"/>
    <n v="0.1"/>
    <n v="3834"/>
    <x v="174"/>
    <x v="3"/>
    <x v="2"/>
    <x v="2"/>
    <x v="3"/>
    <x v="0"/>
    <n v="4"/>
  </r>
  <r>
    <s v="O00176"/>
    <d v="2025-11-04T00:00:00"/>
    <s v="C00176"/>
    <s v="Customer 176"/>
    <x v="3"/>
    <x v="3"/>
    <x v="3"/>
    <n v="2"/>
    <n v="5627"/>
    <n v="0.15"/>
    <n v="9565.9"/>
    <x v="175"/>
    <x v="1"/>
    <x v="4"/>
    <x v="4"/>
    <x v="0"/>
    <x v="2"/>
    <n v="1"/>
  </r>
  <r>
    <s v="O00177"/>
    <d v="2025-05-13T00:00:00"/>
    <s v="C00177"/>
    <s v="Customer 177"/>
    <x v="0"/>
    <x v="0"/>
    <x v="0"/>
    <n v="4"/>
    <n v="6299"/>
    <n v="0.15"/>
    <n v="21416.6"/>
    <x v="176"/>
    <x v="3"/>
    <x v="5"/>
    <x v="5"/>
    <x v="0"/>
    <x v="2"/>
    <n v="2"/>
  </r>
  <r>
    <s v="O00178"/>
    <d v="2025-07-21T00:00:00"/>
    <s v="C00178"/>
    <s v="Customer 178"/>
    <x v="1"/>
    <x v="1"/>
    <x v="1"/>
    <n v="2"/>
    <n v="12991"/>
    <n v="0"/>
    <n v="25982"/>
    <x v="177"/>
    <x v="0"/>
    <x v="2"/>
    <x v="2"/>
    <x v="4"/>
    <x v="3"/>
    <n v="5"/>
  </r>
  <r>
    <s v="O00179"/>
    <d v="2025-07-09T00:00:00"/>
    <s v="C00179"/>
    <s v="Customer 179"/>
    <x v="7"/>
    <x v="5"/>
    <x v="7"/>
    <n v="3"/>
    <n v="259"/>
    <n v="0.1"/>
    <n v="699.3"/>
    <x v="178"/>
    <x v="3"/>
    <x v="2"/>
    <x v="2"/>
    <x v="1"/>
    <x v="0"/>
    <n v="1"/>
  </r>
  <r>
    <s v="O00180"/>
    <d v="2025-08-10T00:00:00"/>
    <s v="C00180"/>
    <s v="Customer 180"/>
    <x v="1"/>
    <x v="1"/>
    <x v="1"/>
    <n v="4"/>
    <n v="3517"/>
    <n v="0.1"/>
    <n v="12661.2"/>
    <x v="179"/>
    <x v="4"/>
    <x v="1"/>
    <x v="1"/>
    <x v="3"/>
    <x v="0"/>
    <n v="3"/>
  </r>
  <r>
    <s v="O00181"/>
    <d v="2025-04-06T00:00:00"/>
    <s v="C00181"/>
    <s v="Customer 181"/>
    <x v="7"/>
    <x v="5"/>
    <x v="7"/>
    <n v="1"/>
    <n v="643"/>
    <n v="0.2"/>
    <n v="514.4"/>
    <x v="180"/>
    <x v="0"/>
    <x v="3"/>
    <x v="3"/>
    <x v="2"/>
    <x v="0"/>
    <n v="1"/>
  </r>
  <r>
    <s v="O00182"/>
    <d v="2025-11-29T00:00:00"/>
    <s v="C00182"/>
    <s v="Customer 182"/>
    <x v="3"/>
    <x v="3"/>
    <x v="3"/>
    <n v="4"/>
    <n v="7533"/>
    <n v="0.1"/>
    <n v="27118.799999999999"/>
    <x v="181"/>
    <x v="4"/>
    <x v="5"/>
    <x v="5"/>
    <x v="2"/>
    <x v="1"/>
    <n v="2"/>
  </r>
  <r>
    <s v="O00183"/>
    <d v="2025-09-22T00:00:00"/>
    <s v="C00183"/>
    <s v="Customer 183"/>
    <x v="0"/>
    <x v="0"/>
    <x v="0"/>
    <n v="5"/>
    <n v="13270"/>
    <n v="0"/>
    <n v="66350"/>
    <x v="182"/>
    <x v="1"/>
    <x v="1"/>
    <x v="1"/>
    <x v="4"/>
    <x v="1"/>
    <n v="3"/>
  </r>
  <r>
    <s v="O00184"/>
    <d v="2025-09-17T00:00:00"/>
    <s v="C00184"/>
    <s v="Customer 184"/>
    <x v="0"/>
    <x v="0"/>
    <x v="0"/>
    <n v="5"/>
    <n v="11747"/>
    <n v="0.15"/>
    <n v="49924.75"/>
    <x v="183"/>
    <x v="1"/>
    <x v="4"/>
    <x v="4"/>
    <x v="4"/>
    <x v="1"/>
    <n v="2"/>
  </r>
  <r>
    <s v="O00185"/>
    <d v="2025-05-11T00:00:00"/>
    <s v="C00185"/>
    <s v="Customer 185"/>
    <x v="4"/>
    <x v="3"/>
    <x v="4"/>
    <n v="3"/>
    <n v="3678"/>
    <n v="0.15"/>
    <n v="9378.9"/>
    <x v="184"/>
    <x v="1"/>
    <x v="1"/>
    <x v="1"/>
    <x v="1"/>
    <x v="2"/>
    <n v="3"/>
  </r>
  <r>
    <s v="O00186"/>
    <d v="2025-12-31T00:00:00"/>
    <s v="C00186"/>
    <s v="Customer 186"/>
    <x v="2"/>
    <x v="2"/>
    <x v="2"/>
    <n v="3"/>
    <n v="5074"/>
    <n v="0.1"/>
    <n v="13699.8"/>
    <x v="185"/>
    <x v="4"/>
    <x v="2"/>
    <x v="2"/>
    <x v="0"/>
    <x v="0"/>
    <n v="1"/>
  </r>
  <r>
    <s v="O00187"/>
    <d v="2025-11-13T00:00:00"/>
    <s v="C00187"/>
    <s v="Customer 187"/>
    <x v="5"/>
    <x v="3"/>
    <x v="5"/>
    <n v="1"/>
    <n v="12209"/>
    <n v="0.05"/>
    <n v="11598.55"/>
    <x v="186"/>
    <x v="1"/>
    <x v="5"/>
    <x v="5"/>
    <x v="0"/>
    <x v="3"/>
    <n v="4"/>
  </r>
  <r>
    <s v="O00188"/>
    <d v="2025-07-13T00:00:00"/>
    <s v="C00188"/>
    <s v="Customer 188"/>
    <x v="2"/>
    <x v="2"/>
    <x v="2"/>
    <n v="5"/>
    <n v="3120"/>
    <n v="0.05"/>
    <n v="14820"/>
    <x v="187"/>
    <x v="0"/>
    <x v="4"/>
    <x v="4"/>
    <x v="1"/>
    <x v="3"/>
    <n v="1"/>
  </r>
  <r>
    <s v="O00189"/>
    <d v="2025-01-28T00:00:00"/>
    <s v="C00189"/>
    <s v="Customer 189"/>
    <x v="0"/>
    <x v="0"/>
    <x v="0"/>
    <n v="5"/>
    <n v="9971"/>
    <n v="0.1"/>
    <n v="44869.5"/>
    <x v="188"/>
    <x v="3"/>
    <x v="2"/>
    <x v="2"/>
    <x v="2"/>
    <x v="2"/>
    <n v="2"/>
  </r>
  <r>
    <s v="O00190"/>
    <d v="2025-07-06T00:00:00"/>
    <s v="C00190"/>
    <s v="Customer 190"/>
    <x v="3"/>
    <x v="3"/>
    <x v="3"/>
    <n v="4"/>
    <n v="3633"/>
    <n v="0.1"/>
    <n v="13078.8"/>
    <x v="189"/>
    <x v="0"/>
    <x v="3"/>
    <x v="3"/>
    <x v="4"/>
    <x v="0"/>
    <n v="4"/>
  </r>
  <r>
    <s v="O00191"/>
    <d v="2025-06-29T00:00:00"/>
    <s v="C00191"/>
    <s v="Customer 191"/>
    <x v="0"/>
    <x v="0"/>
    <x v="0"/>
    <n v="1"/>
    <n v="10535"/>
    <n v="0.2"/>
    <n v="8428"/>
    <x v="190"/>
    <x v="3"/>
    <x v="0"/>
    <x v="0"/>
    <x v="4"/>
    <x v="3"/>
    <n v="5"/>
  </r>
  <r>
    <s v="O00192"/>
    <d v="2025-06-09T00:00:00"/>
    <s v="C00192"/>
    <s v="Customer 192"/>
    <x v="5"/>
    <x v="3"/>
    <x v="5"/>
    <n v="4"/>
    <n v="8365"/>
    <n v="0.15"/>
    <n v="28441"/>
    <x v="191"/>
    <x v="0"/>
    <x v="5"/>
    <x v="5"/>
    <x v="4"/>
    <x v="0"/>
    <n v="5"/>
  </r>
  <r>
    <s v="O00193"/>
    <d v="2025-01-27T00:00:00"/>
    <s v="C00193"/>
    <s v="Customer 193"/>
    <x v="5"/>
    <x v="3"/>
    <x v="5"/>
    <n v="3"/>
    <n v="2160"/>
    <n v="0.2"/>
    <n v="5184"/>
    <x v="192"/>
    <x v="3"/>
    <x v="1"/>
    <x v="1"/>
    <x v="0"/>
    <x v="3"/>
    <n v="3"/>
  </r>
  <r>
    <s v="O00194"/>
    <d v="2025-11-17T00:00:00"/>
    <s v="C00194"/>
    <s v="Customer 194"/>
    <x v="2"/>
    <x v="2"/>
    <x v="2"/>
    <n v="4"/>
    <n v="606"/>
    <n v="0.05"/>
    <n v="2302.8000000000002"/>
    <x v="193"/>
    <x v="2"/>
    <x v="2"/>
    <x v="2"/>
    <x v="3"/>
    <x v="0"/>
    <n v="1"/>
  </r>
  <r>
    <s v="O00195"/>
    <d v="2025-12-06T00:00:00"/>
    <s v="C00195"/>
    <s v="Customer 195"/>
    <x v="6"/>
    <x v="4"/>
    <x v="6"/>
    <n v="5"/>
    <n v="5527"/>
    <n v="0.15"/>
    <n v="23489.75"/>
    <x v="194"/>
    <x v="3"/>
    <x v="5"/>
    <x v="5"/>
    <x v="0"/>
    <x v="2"/>
    <n v="3"/>
  </r>
  <r>
    <s v="O00196"/>
    <d v="2025-04-29T00:00:00"/>
    <s v="C00196"/>
    <s v="Customer 196"/>
    <x v="4"/>
    <x v="3"/>
    <x v="4"/>
    <n v="3"/>
    <n v="12984"/>
    <n v="0.2"/>
    <n v="31161.599999999999"/>
    <x v="195"/>
    <x v="3"/>
    <x v="1"/>
    <x v="1"/>
    <x v="4"/>
    <x v="3"/>
    <n v="1"/>
  </r>
  <r>
    <s v="O00197"/>
    <d v="2025-12-29T00:00:00"/>
    <s v="C00197"/>
    <s v="Customer 197"/>
    <x v="2"/>
    <x v="2"/>
    <x v="2"/>
    <n v="4"/>
    <n v="1922"/>
    <n v="0.15"/>
    <n v="6534.8"/>
    <x v="196"/>
    <x v="4"/>
    <x v="1"/>
    <x v="1"/>
    <x v="0"/>
    <x v="3"/>
    <n v="2"/>
  </r>
  <r>
    <s v="O00198"/>
    <d v="2025-07-18T00:00:00"/>
    <s v="C00198"/>
    <s v="Customer 198"/>
    <x v="3"/>
    <x v="3"/>
    <x v="3"/>
    <n v="5"/>
    <n v="13939"/>
    <n v="0"/>
    <n v="69695"/>
    <x v="197"/>
    <x v="4"/>
    <x v="3"/>
    <x v="3"/>
    <x v="1"/>
    <x v="0"/>
    <n v="1"/>
  </r>
  <r>
    <s v="O00199"/>
    <d v="2025-08-16T00:00:00"/>
    <s v="C00199"/>
    <s v="Customer 199"/>
    <x v="7"/>
    <x v="5"/>
    <x v="7"/>
    <n v="2"/>
    <n v="10562"/>
    <n v="0.2"/>
    <n v="16899.2"/>
    <x v="198"/>
    <x v="0"/>
    <x v="4"/>
    <x v="4"/>
    <x v="3"/>
    <x v="3"/>
    <n v="4"/>
  </r>
  <r>
    <s v="O00200"/>
    <d v="2025-07-15T00:00:00"/>
    <s v="C00200"/>
    <s v="Customer 200"/>
    <x v="2"/>
    <x v="2"/>
    <x v="2"/>
    <n v="4"/>
    <n v="5189"/>
    <n v="0.2"/>
    <n v="16604.8"/>
    <x v="199"/>
    <x v="3"/>
    <x v="0"/>
    <x v="0"/>
    <x v="4"/>
    <x v="2"/>
    <n v="1"/>
  </r>
  <r>
    <s v="O00201"/>
    <d v="2025-03-23T00:00:00"/>
    <s v="C00201"/>
    <s v="Customer 201"/>
    <x v="3"/>
    <x v="3"/>
    <x v="3"/>
    <n v="4"/>
    <n v="11640"/>
    <n v="0.1"/>
    <n v="41904"/>
    <x v="200"/>
    <x v="0"/>
    <x v="3"/>
    <x v="3"/>
    <x v="3"/>
    <x v="3"/>
    <n v="1"/>
  </r>
  <r>
    <s v="O00202"/>
    <d v="2025-03-04T00:00:00"/>
    <s v="C00202"/>
    <s v="Customer 202"/>
    <x v="4"/>
    <x v="3"/>
    <x v="4"/>
    <n v="1"/>
    <n v="4350"/>
    <n v="0.15"/>
    <n v="3697.5"/>
    <x v="201"/>
    <x v="3"/>
    <x v="1"/>
    <x v="1"/>
    <x v="4"/>
    <x v="1"/>
    <n v="4"/>
  </r>
  <r>
    <s v="O00203"/>
    <d v="2025-04-15T00:00:00"/>
    <s v="C00203"/>
    <s v="Customer 203"/>
    <x v="3"/>
    <x v="3"/>
    <x v="3"/>
    <n v="4"/>
    <n v="10174"/>
    <n v="0.1"/>
    <n v="36626.400000000001"/>
    <x v="202"/>
    <x v="2"/>
    <x v="4"/>
    <x v="4"/>
    <x v="1"/>
    <x v="3"/>
    <n v="5"/>
  </r>
  <r>
    <s v="O00204"/>
    <d v="2025-04-30T00:00:00"/>
    <s v="C00204"/>
    <s v="Customer 204"/>
    <x v="3"/>
    <x v="3"/>
    <x v="3"/>
    <n v="5"/>
    <n v="6746"/>
    <n v="0"/>
    <n v="33730"/>
    <x v="203"/>
    <x v="2"/>
    <x v="5"/>
    <x v="5"/>
    <x v="4"/>
    <x v="3"/>
    <n v="2"/>
  </r>
  <r>
    <s v="O00205"/>
    <d v="2025-03-27T00:00:00"/>
    <s v="C00205"/>
    <s v="Customer 205"/>
    <x v="2"/>
    <x v="2"/>
    <x v="2"/>
    <n v="4"/>
    <n v="7646"/>
    <n v="0.05"/>
    <n v="29054.799999999999"/>
    <x v="204"/>
    <x v="1"/>
    <x v="0"/>
    <x v="0"/>
    <x v="0"/>
    <x v="2"/>
    <n v="4"/>
  </r>
  <r>
    <s v="O00206"/>
    <d v="2025-11-26T00:00:00"/>
    <s v="C00206"/>
    <s v="Customer 206"/>
    <x v="4"/>
    <x v="3"/>
    <x v="4"/>
    <n v="5"/>
    <n v="12130"/>
    <n v="0.2"/>
    <n v="48520"/>
    <x v="205"/>
    <x v="2"/>
    <x v="0"/>
    <x v="0"/>
    <x v="2"/>
    <x v="2"/>
    <n v="3"/>
  </r>
  <r>
    <s v="O00207"/>
    <d v="2025-09-28T00:00:00"/>
    <s v="C00207"/>
    <s v="Customer 207"/>
    <x v="2"/>
    <x v="2"/>
    <x v="2"/>
    <n v="4"/>
    <n v="10760"/>
    <n v="0.1"/>
    <n v="38736"/>
    <x v="206"/>
    <x v="3"/>
    <x v="2"/>
    <x v="2"/>
    <x v="0"/>
    <x v="3"/>
    <n v="1"/>
  </r>
  <r>
    <s v="O00208"/>
    <d v="2025-08-09T00:00:00"/>
    <s v="C00208"/>
    <s v="Customer 208"/>
    <x v="4"/>
    <x v="3"/>
    <x v="4"/>
    <n v="3"/>
    <n v="6666"/>
    <n v="0.15"/>
    <n v="16998.3"/>
    <x v="207"/>
    <x v="1"/>
    <x v="5"/>
    <x v="5"/>
    <x v="1"/>
    <x v="2"/>
    <n v="4"/>
  </r>
  <r>
    <s v="O00209"/>
    <d v="2025-10-16T00:00:00"/>
    <s v="C00209"/>
    <s v="Customer 209"/>
    <x v="3"/>
    <x v="3"/>
    <x v="3"/>
    <n v="3"/>
    <n v="9040"/>
    <n v="0"/>
    <n v="27120"/>
    <x v="208"/>
    <x v="0"/>
    <x v="1"/>
    <x v="1"/>
    <x v="3"/>
    <x v="1"/>
    <n v="2"/>
  </r>
  <r>
    <s v="O00210"/>
    <d v="2025-08-19T00:00:00"/>
    <s v="C00210"/>
    <s v="Customer 210"/>
    <x v="0"/>
    <x v="0"/>
    <x v="0"/>
    <n v="2"/>
    <n v="11919"/>
    <n v="0"/>
    <n v="23838"/>
    <x v="209"/>
    <x v="3"/>
    <x v="2"/>
    <x v="2"/>
    <x v="1"/>
    <x v="0"/>
    <n v="5"/>
  </r>
  <r>
    <s v="O00211"/>
    <d v="2025-09-15T00:00:00"/>
    <s v="C00211"/>
    <s v="Customer 211"/>
    <x v="0"/>
    <x v="0"/>
    <x v="0"/>
    <n v="4"/>
    <n v="11897"/>
    <n v="0"/>
    <n v="47588"/>
    <x v="210"/>
    <x v="0"/>
    <x v="2"/>
    <x v="2"/>
    <x v="1"/>
    <x v="1"/>
    <n v="4"/>
  </r>
  <r>
    <s v="O00212"/>
    <d v="2025-04-06T00:00:00"/>
    <s v="C00212"/>
    <s v="Customer 212"/>
    <x v="3"/>
    <x v="3"/>
    <x v="3"/>
    <n v="2"/>
    <n v="14943"/>
    <n v="0.2"/>
    <n v="23908.799999999999"/>
    <x v="211"/>
    <x v="1"/>
    <x v="5"/>
    <x v="5"/>
    <x v="0"/>
    <x v="3"/>
    <n v="2"/>
  </r>
  <r>
    <s v="O00213"/>
    <d v="2025-12-04T00:00:00"/>
    <s v="C00213"/>
    <s v="Customer 213"/>
    <x v="6"/>
    <x v="4"/>
    <x v="6"/>
    <n v="4"/>
    <n v="14258"/>
    <n v="0.05"/>
    <n v="54180.4"/>
    <x v="212"/>
    <x v="0"/>
    <x v="5"/>
    <x v="5"/>
    <x v="0"/>
    <x v="1"/>
    <n v="3"/>
  </r>
  <r>
    <s v="O00214"/>
    <d v="2025-01-13T00:00:00"/>
    <s v="C00214"/>
    <s v="Customer 214"/>
    <x v="6"/>
    <x v="4"/>
    <x v="6"/>
    <n v="3"/>
    <n v="10372"/>
    <n v="0.05"/>
    <n v="29560.2"/>
    <x v="213"/>
    <x v="4"/>
    <x v="5"/>
    <x v="5"/>
    <x v="2"/>
    <x v="2"/>
    <n v="2"/>
  </r>
  <r>
    <s v="O00215"/>
    <d v="2025-07-28T00:00:00"/>
    <s v="C00215"/>
    <s v="Customer 215"/>
    <x v="5"/>
    <x v="3"/>
    <x v="5"/>
    <n v="5"/>
    <n v="10317"/>
    <n v="0.1"/>
    <n v="46426.5"/>
    <x v="214"/>
    <x v="2"/>
    <x v="3"/>
    <x v="3"/>
    <x v="1"/>
    <x v="3"/>
    <n v="5"/>
  </r>
  <r>
    <s v="O00216"/>
    <d v="2025-10-05T00:00:00"/>
    <s v="C00216"/>
    <s v="Customer 216"/>
    <x v="7"/>
    <x v="5"/>
    <x v="7"/>
    <n v="2"/>
    <n v="14581"/>
    <n v="0.1"/>
    <n v="26245.8"/>
    <x v="215"/>
    <x v="2"/>
    <x v="1"/>
    <x v="1"/>
    <x v="4"/>
    <x v="1"/>
    <n v="4"/>
  </r>
  <r>
    <s v="O00217"/>
    <d v="2025-04-21T00:00:00"/>
    <s v="C00217"/>
    <s v="Customer 217"/>
    <x v="7"/>
    <x v="5"/>
    <x v="7"/>
    <n v="1"/>
    <n v="14815"/>
    <n v="0.05"/>
    <n v="14074.25"/>
    <x v="216"/>
    <x v="2"/>
    <x v="2"/>
    <x v="2"/>
    <x v="3"/>
    <x v="1"/>
    <n v="1"/>
  </r>
  <r>
    <s v="O00218"/>
    <d v="2025-06-19T00:00:00"/>
    <s v="C00218"/>
    <s v="Customer 218"/>
    <x v="3"/>
    <x v="3"/>
    <x v="3"/>
    <n v="4"/>
    <n v="12923"/>
    <n v="0.2"/>
    <n v="41353.599999999999"/>
    <x v="217"/>
    <x v="1"/>
    <x v="3"/>
    <x v="3"/>
    <x v="2"/>
    <x v="2"/>
    <n v="4"/>
  </r>
  <r>
    <s v="O00219"/>
    <d v="2025-01-04T00:00:00"/>
    <s v="C00219"/>
    <s v="Customer 219"/>
    <x v="3"/>
    <x v="3"/>
    <x v="3"/>
    <n v="3"/>
    <n v="14517"/>
    <n v="0.05"/>
    <n v="41373.449999999997"/>
    <x v="218"/>
    <x v="0"/>
    <x v="1"/>
    <x v="1"/>
    <x v="1"/>
    <x v="0"/>
    <n v="4"/>
  </r>
  <r>
    <s v="O00220"/>
    <d v="2025-07-25T00:00:00"/>
    <s v="C00220"/>
    <s v="Customer 220"/>
    <x v="2"/>
    <x v="2"/>
    <x v="2"/>
    <n v="2"/>
    <n v="1057"/>
    <n v="0.2"/>
    <n v="1691.2"/>
    <x v="219"/>
    <x v="4"/>
    <x v="2"/>
    <x v="2"/>
    <x v="4"/>
    <x v="2"/>
    <n v="3"/>
  </r>
  <r>
    <s v="O00221"/>
    <d v="2025-08-30T00:00:00"/>
    <s v="C00221"/>
    <s v="Customer 221"/>
    <x v="5"/>
    <x v="3"/>
    <x v="5"/>
    <n v="3"/>
    <n v="2034"/>
    <n v="0.15"/>
    <n v="5186.7"/>
    <x v="220"/>
    <x v="2"/>
    <x v="2"/>
    <x v="2"/>
    <x v="1"/>
    <x v="2"/>
    <n v="2"/>
  </r>
  <r>
    <s v="O00222"/>
    <d v="2025-01-09T00:00:00"/>
    <s v="C00222"/>
    <s v="Customer 222"/>
    <x v="0"/>
    <x v="0"/>
    <x v="0"/>
    <n v="5"/>
    <n v="1313"/>
    <n v="0.2"/>
    <n v="5252"/>
    <x v="221"/>
    <x v="4"/>
    <x v="3"/>
    <x v="3"/>
    <x v="1"/>
    <x v="3"/>
    <n v="3"/>
  </r>
  <r>
    <s v="O00223"/>
    <d v="2025-11-15T00:00:00"/>
    <s v="C00223"/>
    <s v="Customer 223"/>
    <x v="1"/>
    <x v="1"/>
    <x v="1"/>
    <n v="1"/>
    <n v="4185"/>
    <n v="0.05"/>
    <n v="3975.75"/>
    <x v="222"/>
    <x v="1"/>
    <x v="5"/>
    <x v="5"/>
    <x v="2"/>
    <x v="1"/>
    <n v="2"/>
  </r>
  <r>
    <s v="O00224"/>
    <d v="2025-09-10T00:00:00"/>
    <s v="C00224"/>
    <s v="Customer 224"/>
    <x v="1"/>
    <x v="1"/>
    <x v="1"/>
    <n v="1"/>
    <n v="770"/>
    <n v="0.05"/>
    <n v="731.5"/>
    <x v="223"/>
    <x v="0"/>
    <x v="0"/>
    <x v="0"/>
    <x v="2"/>
    <x v="0"/>
    <n v="3"/>
  </r>
  <r>
    <s v="O00225"/>
    <d v="2025-01-23T00:00:00"/>
    <s v="C00225"/>
    <s v="Customer 225"/>
    <x v="7"/>
    <x v="5"/>
    <x v="7"/>
    <n v="5"/>
    <n v="4634"/>
    <n v="0.1"/>
    <n v="20853"/>
    <x v="224"/>
    <x v="1"/>
    <x v="4"/>
    <x v="4"/>
    <x v="0"/>
    <x v="3"/>
    <n v="5"/>
  </r>
  <r>
    <s v="O00226"/>
    <d v="2025-04-24T00:00:00"/>
    <s v="C00226"/>
    <s v="Customer 226"/>
    <x v="7"/>
    <x v="5"/>
    <x v="7"/>
    <n v="1"/>
    <n v="3577"/>
    <n v="0.2"/>
    <n v="2861.6"/>
    <x v="225"/>
    <x v="4"/>
    <x v="2"/>
    <x v="2"/>
    <x v="2"/>
    <x v="0"/>
    <n v="5"/>
  </r>
  <r>
    <s v="O00227"/>
    <d v="2025-11-24T00:00:00"/>
    <s v="C00227"/>
    <s v="Customer 227"/>
    <x v="6"/>
    <x v="4"/>
    <x v="6"/>
    <n v="3"/>
    <n v="12975"/>
    <n v="0.15"/>
    <n v="33086.25"/>
    <x v="226"/>
    <x v="2"/>
    <x v="4"/>
    <x v="4"/>
    <x v="1"/>
    <x v="3"/>
    <n v="3"/>
  </r>
  <r>
    <s v="O00228"/>
    <d v="2025-11-03T00:00:00"/>
    <s v="C00228"/>
    <s v="Customer 228"/>
    <x v="1"/>
    <x v="1"/>
    <x v="1"/>
    <n v="3"/>
    <n v="3261"/>
    <n v="0.15"/>
    <n v="8315.5499999999993"/>
    <x v="227"/>
    <x v="3"/>
    <x v="5"/>
    <x v="5"/>
    <x v="4"/>
    <x v="2"/>
    <n v="1"/>
  </r>
  <r>
    <s v="O00229"/>
    <d v="2025-04-29T00:00:00"/>
    <s v="C00229"/>
    <s v="Customer 229"/>
    <x v="4"/>
    <x v="3"/>
    <x v="4"/>
    <n v="2"/>
    <n v="3597"/>
    <n v="0.2"/>
    <n v="5755.2"/>
    <x v="228"/>
    <x v="2"/>
    <x v="5"/>
    <x v="5"/>
    <x v="2"/>
    <x v="3"/>
    <n v="2"/>
  </r>
  <r>
    <s v="O00230"/>
    <d v="2025-07-14T00:00:00"/>
    <s v="C00230"/>
    <s v="Customer 230"/>
    <x v="3"/>
    <x v="3"/>
    <x v="3"/>
    <n v="5"/>
    <n v="9443"/>
    <n v="0"/>
    <n v="47215"/>
    <x v="229"/>
    <x v="1"/>
    <x v="0"/>
    <x v="0"/>
    <x v="3"/>
    <x v="1"/>
    <n v="2"/>
  </r>
  <r>
    <s v="O00231"/>
    <d v="2025-08-13T00:00:00"/>
    <s v="C00231"/>
    <s v="Customer 231"/>
    <x v="3"/>
    <x v="3"/>
    <x v="3"/>
    <n v="2"/>
    <n v="5823"/>
    <n v="0.2"/>
    <n v="9316.7999999999993"/>
    <x v="230"/>
    <x v="2"/>
    <x v="2"/>
    <x v="2"/>
    <x v="4"/>
    <x v="2"/>
    <n v="4"/>
  </r>
  <r>
    <s v="O00232"/>
    <d v="2025-02-26T00:00:00"/>
    <s v="C00232"/>
    <s v="Customer 232"/>
    <x v="4"/>
    <x v="3"/>
    <x v="4"/>
    <n v="3"/>
    <n v="13899"/>
    <n v="0"/>
    <n v="41697"/>
    <x v="231"/>
    <x v="1"/>
    <x v="2"/>
    <x v="2"/>
    <x v="0"/>
    <x v="3"/>
    <n v="3"/>
  </r>
  <r>
    <s v="O00233"/>
    <d v="2025-07-29T00:00:00"/>
    <s v="C00233"/>
    <s v="Customer 233"/>
    <x v="3"/>
    <x v="3"/>
    <x v="3"/>
    <n v="5"/>
    <n v="11102"/>
    <n v="0"/>
    <n v="55510"/>
    <x v="232"/>
    <x v="2"/>
    <x v="4"/>
    <x v="4"/>
    <x v="0"/>
    <x v="3"/>
    <n v="5"/>
  </r>
  <r>
    <s v="O00234"/>
    <d v="2025-01-24T00:00:00"/>
    <s v="C00234"/>
    <s v="Customer 234"/>
    <x v="2"/>
    <x v="2"/>
    <x v="2"/>
    <n v="5"/>
    <n v="2316"/>
    <n v="0.05"/>
    <n v="11001"/>
    <x v="233"/>
    <x v="3"/>
    <x v="4"/>
    <x v="4"/>
    <x v="3"/>
    <x v="2"/>
    <n v="5"/>
  </r>
  <r>
    <s v="O00235"/>
    <d v="2025-05-17T00:00:00"/>
    <s v="C00235"/>
    <s v="Customer 235"/>
    <x v="4"/>
    <x v="3"/>
    <x v="4"/>
    <n v="2"/>
    <n v="2395"/>
    <n v="0.1"/>
    <n v="4311"/>
    <x v="234"/>
    <x v="3"/>
    <x v="4"/>
    <x v="4"/>
    <x v="3"/>
    <x v="3"/>
    <n v="5"/>
  </r>
  <r>
    <s v="O00236"/>
    <d v="2025-10-10T00:00:00"/>
    <s v="C00236"/>
    <s v="Customer 236"/>
    <x v="1"/>
    <x v="1"/>
    <x v="1"/>
    <n v="1"/>
    <n v="4429"/>
    <n v="0.15"/>
    <n v="3764.65"/>
    <x v="235"/>
    <x v="3"/>
    <x v="5"/>
    <x v="5"/>
    <x v="1"/>
    <x v="0"/>
    <n v="5"/>
  </r>
  <r>
    <s v="O00237"/>
    <d v="2025-07-15T00:00:00"/>
    <s v="C00237"/>
    <s v="Customer 237"/>
    <x v="2"/>
    <x v="2"/>
    <x v="2"/>
    <n v="2"/>
    <n v="9572"/>
    <n v="0"/>
    <n v="19144"/>
    <x v="236"/>
    <x v="0"/>
    <x v="1"/>
    <x v="1"/>
    <x v="4"/>
    <x v="2"/>
    <n v="2"/>
  </r>
  <r>
    <s v="O00238"/>
    <d v="2025-05-17T00:00:00"/>
    <s v="C00238"/>
    <s v="Customer 238"/>
    <x v="6"/>
    <x v="4"/>
    <x v="6"/>
    <n v="2"/>
    <n v="5614"/>
    <n v="0.1"/>
    <n v="10105.200000000001"/>
    <x v="237"/>
    <x v="4"/>
    <x v="2"/>
    <x v="2"/>
    <x v="0"/>
    <x v="2"/>
    <n v="4"/>
  </r>
  <r>
    <s v="O00239"/>
    <d v="2025-01-13T00:00:00"/>
    <s v="C00239"/>
    <s v="Customer 239"/>
    <x v="3"/>
    <x v="3"/>
    <x v="3"/>
    <n v="5"/>
    <n v="13012"/>
    <n v="0.15"/>
    <n v="55301"/>
    <x v="238"/>
    <x v="1"/>
    <x v="1"/>
    <x v="1"/>
    <x v="3"/>
    <x v="3"/>
    <n v="3"/>
  </r>
  <r>
    <s v="O00240"/>
    <d v="2025-12-12T00:00:00"/>
    <s v="C00240"/>
    <s v="Customer 240"/>
    <x v="3"/>
    <x v="3"/>
    <x v="3"/>
    <n v="1"/>
    <n v="13761"/>
    <n v="0.15"/>
    <n v="11696.85"/>
    <x v="239"/>
    <x v="1"/>
    <x v="5"/>
    <x v="5"/>
    <x v="2"/>
    <x v="3"/>
    <n v="2"/>
  </r>
  <r>
    <s v="O00241"/>
    <d v="2025-03-16T00:00:00"/>
    <s v="C00241"/>
    <s v="Customer 241"/>
    <x v="2"/>
    <x v="2"/>
    <x v="2"/>
    <n v="5"/>
    <n v="11663"/>
    <n v="0.2"/>
    <n v="46652"/>
    <x v="240"/>
    <x v="2"/>
    <x v="1"/>
    <x v="1"/>
    <x v="1"/>
    <x v="1"/>
    <n v="3"/>
  </r>
  <r>
    <s v="O00242"/>
    <d v="2025-05-04T00:00:00"/>
    <s v="C00242"/>
    <s v="Customer 242"/>
    <x v="7"/>
    <x v="5"/>
    <x v="7"/>
    <n v="5"/>
    <n v="10641"/>
    <n v="0.2"/>
    <n v="42564"/>
    <x v="241"/>
    <x v="2"/>
    <x v="3"/>
    <x v="3"/>
    <x v="0"/>
    <x v="0"/>
    <n v="3"/>
  </r>
  <r>
    <s v="O00243"/>
    <d v="2025-03-06T00:00:00"/>
    <s v="C00243"/>
    <s v="Customer 243"/>
    <x v="1"/>
    <x v="1"/>
    <x v="1"/>
    <n v="3"/>
    <n v="14404"/>
    <n v="0"/>
    <n v="43212"/>
    <x v="242"/>
    <x v="2"/>
    <x v="3"/>
    <x v="3"/>
    <x v="2"/>
    <x v="1"/>
    <n v="1"/>
  </r>
  <r>
    <s v="O00244"/>
    <d v="2025-11-20T00:00:00"/>
    <s v="C00244"/>
    <s v="Customer 244"/>
    <x v="5"/>
    <x v="3"/>
    <x v="5"/>
    <n v="5"/>
    <n v="11267"/>
    <n v="0.05"/>
    <n v="53518.25"/>
    <x v="243"/>
    <x v="3"/>
    <x v="2"/>
    <x v="2"/>
    <x v="2"/>
    <x v="2"/>
    <n v="5"/>
  </r>
  <r>
    <s v="O00245"/>
    <d v="2025-12-26T00:00:00"/>
    <s v="C00245"/>
    <s v="Customer 245"/>
    <x v="6"/>
    <x v="4"/>
    <x v="6"/>
    <n v="1"/>
    <n v="14913"/>
    <n v="0"/>
    <n v="14913"/>
    <x v="244"/>
    <x v="2"/>
    <x v="2"/>
    <x v="2"/>
    <x v="2"/>
    <x v="2"/>
    <n v="3"/>
  </r>
  <r>
    <s v="O00246"/>
    <d v="2025-11-29T00:00:00"/>
    <s v="C00246"/>
    <s v="Customer 246"/>
    <x v="0"/>
    <x v="0"/>
    <x v="0"/>
    <n v="4"/>
    <n v="10823"/>
    <n v="0.05"/>
    <n v="41127.4"/>
    <x v="245"/>
    <x v="4"/>
    <x v="0"/>
    <x v="0"/>
    <x v="4"/>
    <x v="1"/>
    <n v="1"/>
  </r>
  <r>
    <s v="O00247"/>
    <d v="2025-06-24T00:00:00"/>
    <s v="C00247"/>
    <s v="Customer 247"/>
    <x v="3"/>
    <x v="3"/>
    <x v="3"/>
    <n v="1"/>
    <n v="13728"/>
    <n v="0.2"/>
    <n v="10982.4"/>
    <x v="246"/>
    <x v="3"/>
    <x v="0"/>
    <x v="0"/>
    <x v="3"/>
    <x v="2"/>
    <n v="5"/>
  </r>
  <r>
    <s v="O00248"/>
    <d v="2025-12-20T00:00:00"/>
    <s v="C00248"/>
    <s v="Customer 248"/>
    <x v="6"/>
    <x v="4"/>
    <x v="6"/>
    <n v="2"/>
    <n v="6055"/>
    <n v="0.2"/>
    <n v="9688"/>
    <x v="247"/>
    <x v="0"/>
    <x v="1"/>
    <x v="1"/>
    <x v="3"/>
    <x v="2"/>
    <n v="3"/>
  </r>
  <r>
    <s v="O00249"/>
    <d v="2025-03-22T00:00:00"/>
    <s v="C00249"/>
    <s v="Customer 249"/>
    <x v="1"/>
    <x v="1"/>
    <x v="1"/>
    <n v="2"/>
    <n v="14012"/>
    <n v="0.05"/>
    <n v="26622.799999999999"/>
    <x v="248"/>
    <x v="3"/>
    <x v="3"/>
    <x v="3"/>
    <x v="0"/>
    <x v="2"/>
    <n v="3"/>
  </r>
  <r>
    <s v="O00250"/>
    <d v="2025-08-13T00:00:00"/>
    <s v="C00250"/>
    <s v="Customer 250"/>
    <x v="5"/>
    <x v="3"/>
    <x v="5"/>
    <n v="4"/>
    <n v="10262"/>
    <n v="0.05"/>
    <n v="38995.599999999999"/>
    <x v="249"/>
    <x v="4"/>
    <x v="4"/>
    <x v="4"/>
    <x v="3"/>
    <x v="1"/>
    <n v="4"/>
  </r>
  <r>
    <s v="O00251"/>
    <d v="2025-05-10T00:00:00"/>
    <s v="C00251"/>
    <s v="Customer 251"/>
    <x v="5"/>
    <x v="3"/>
    <x v="5"/>
    <n v="5"/>
    <n v="9139"/>
    <n v="0.05"/>
    <n v="43410.25"/>
    <x v="250"/>
    <x v="0"/>
    <x v="1"/>
    <x v="1"/>
    <x v="0"/>
    <x v="1"/>
    <n v="1"/>
  </r>
  <r>
    <s v="O00252"/>
    <d v="2025-06-28T00:00:00"/>
    <s v="C00252"/>
    <s v="Customer 252"/>
    <x v="1"/>
    <x v="1"/>
    <x v="1"/>
    <n v="2"/>
    <n v="12695"/>
    <n v="0.2"/>
    <n v="20312"/>
    <x v="251"/>
    <x v="1"/>
    <x v="3"/>
    <x v="3"/>
    <x v="4"/>
    <x v="3"/>
    <n v="1"/>
  </r>
  <r>
    <s v="O00253"/>
    <d v="2025-12-03T00:00:00"/>
    <s v="C00253"/>
    <s v="Customer 253"/>
    <x v="5"/>
    <x v="3"/>
    <x v="5"/>
    <n v="1"/>
    <n v="14080"/>
    <n v="0.1"/>
    <n v="12672"/>
    <x v="252"/>
    <x v="4"/>
    <x v="3"/>
    <x v="3"/>
    <x v="1"/>
    <x v="2"/>
    <n v="5"/>
  </r>
  <r>
    <s v="O00254"/>
    <d v="2025-05-27T00:00:00"/>
    <s v="C00254"/>
    <s v="Customer 254"/>
    <x v="6"/>
    <x v="4"/>
    <x v="6"/>
    <n v="2"/>
    <n v="9226"/>
    <n v="0"/>
    <n v="18452"/>
    <x v="253"/>
    <x v="2"/>
    <x v="2"/>
    <x v="2"/>
    <x v="2"/>
    <x v="2"/>
    <n v="1"/>
  </r>
  <r>
    <s v="O00255"/>
    <d v="2025-11-13T00:00:00"/>
    <s v="C00255"/>
    <s v="Customer 255"/>
    <x v="4"/>
    <x v="3"/>
    <x v="4"/>
    <n v="5"/>
    <n v="1650"/>
    <n v="0.1"/>
    <n v="7425"/>
    <x v="254"/>
    <x v="3"/>
    <x v="2"/>
    <x v="2"/>
    <x v="2"/>
    <x v="1"/>
    <n v="3"/>
  </r>
  <r>
    <s v="O00256"/>
    <d v="2025-07-18T00:00:00"/>
    <s v="C00256"/>
    <s v="Customer 256"/>
    <x v="3"/>
    <x v="3"/>
    <x v="3"/>
    <n v="4"/>
    <n v="5443"/>
    <n v="0.1"/>
    <n v="19594.8"/>
    <x v="255"/>
    <x v="2"/>
    <x v="5"/>
    <x v="5"/>
    <x v="0"/>
    <x v="3"/>
    <n v="3"/>
  </r>
  <r>
    <s v="O00257"/>
    <d v="2025-03-10T00:00:00"/>
    <s v="C00257"/>
    <s v="Customer 257"/>
    <x v="4"/>
    <x v="3"/>
    <x v="4"/>
    <n v="1"/>
    <n v="9080"/>
    <n v="0.05"/>
    <n v="8626"/>
    <x v="256"/>
    <x v="4"/>
    <x v="0"/>
    <x v="0"/>
    <x v="4"/>
    <x v="0"/>
    <n v="3"/>
  </r>
  <r>
    <s v="O00258"/>
    <d v="2025-08-13T00:00:00"/>
    <s v="C00258"/>
    <s v="Customer 258"/>
    <x v="2"/>
    <x v="2"/>
    <x v="2"/>
    <n v="2"/>
    <n v="714"/>
    <n v="0.15"/>
    <n v="1213.8"/>
    <x v="257"/>
    <x v="1"/>
    <x v="5"/>
    <x v="5"/>
    <x v="2"/>
    <x v="0"/>
    <n v="2"/>
  </r>
  <r>
    <s v="O00259"/>
    <d v="2025-12-06T00:00:00"/>
    <s v="C00259"/>
    <s v="Customer 259"/>
    <x v="2"/>
    <x v="2"/>
    <x v="2"/>
    <n v="2"/>
    <n v="5261"/>
    <n v="0.15"/>
    <n v="8943.7000000000007"/>
    <x v="258"/>
    <x v="2"/>
    <x v="2"/>
    <x v="2"/>
    <x v="1"/>
    <x v="2"/>
    <n v="5"/>
  </r>
  <r>
    <s v="O00260"/>
    <d v="2025-03-30T00:00:00"/>
    <s v="C00260"/>
    <s v="Customer 260"/>
    <x v="0"/>
    <x v="0"/>
    <x v="0"/>
    <n v="5"/>
    <n v="13457"/>
    <n v="0.15"/>
    <n v="57192.25"/>
    <x v="259"/>
    <x v="1"/>
    <x v="2"/>
    <x v="2"/>
    <x v="2"/>
    <x v="2"/>
    <n v="5"/>
  </r>
  <r>
    <s v="O00261"/>
    <d v="2025-07-29T00:00:00"/>
    <s v="C00261"/>
    <s v="Customer 261"/>
    <x v="4"/>
    <x v="3"/>
    <x v="4"/>
    <n v="3"/>
    <n v="14965"/>
    <n v="0.05"/>
    <n v="42650.25"/>
    <x v="260"/>
    <x v="4"/>
    <x v="0"/>
    <x v="0"/>
    <x v="2"/>
    <x v="0"/>
    <n v="5"/>
  </r>
  <r>
    <s v="O00262"/>
    <d v="2025-09-10T00:00:00"/>
    <s v="C00262"/>
    <s v="Customer 262"/>
    <x v="6"/>
    <x v="4"/>
    <x v="6"/>
    <n v="4"/>
    <n v="12504"/>
    <n v="0"/>
    <n v="50016"/>
    <x v="261"/>
    <x v="4"/>
    <x v="2"/>
    <x v="2"/>
    <x v="4"/>
    <x v="0"/>
    <n v="1"/>
  </r>
  <r>
    <s v="O00263"/>
    <d v="2025-06-11T00:00:00"/>
    <s v="C00263"/>
    <s v="Customer 263"/>
    <x v="5"/>
    <x v="3"/>
    <x v="5"/>
    <n v="4"/>
    <n v="13312"/>
    <n v="0"/>
    <n v="53248"/>
    <x v="262"/>
    <x v="1"/>
    <x v="5"/>
    <x v="5"/>
    <x v="3"/>
    <x v="0"/>
    <n v="2"/>
  </r>
  <r>
    <s v="O00264"/>
    <d v="2025-04-23T00:00:00"/>
    <s v="C00264"/>
    <s v="Customer 264"/>
    <x v="0"/>
    <x v="0"/>
    <x v="0"/>
    <n v="3"/>
    <n v="7945"/>
    <n v="0.05"/>
    <n v="22643.25"/>
    <x v="263"/>
    <x v="4"/>
    <x v="1"/>
    <x v="1"/>
    <x v="3"/>
    <x v="3"/>
    <n v="1"/>
  </r>
  <r>
    <s v="O00265"/>
    <d v="2025-10-31T00:00:00"/>
    <s v="C00265"/>
    <s v="Customer 265"/>
    <x v="0"/>
    <x v="0"/>
    <x v="0"/>
    <n v="3"/>
    <n v="10595"/>
    <n v="0.1"/>
    <n v="28606.5"/>
    <x v="264"/>
    <x v="4"/>
    <x v="2"/>
    <x v="2"/>
    <x v="4"/>
    <x v="1"/>
    <n v="1"/>
  </r>
  <r>
    <s v="O00266"/>
    <d v="2025-08-02T00:00:00"/>
    <s v="C00266"/>
    <s v="Customer 266"/>
    <x v="6"/>
    <x v="4"/>
    <x v="6"/>
    <n v="3"/>
    <n v="6901"/>
    <n v="0"/>
    <n v="20703"/>
    <x v="265"/>
    <x v="1"/>
    <x v="4"/>
    <x v="4"/>
    <x v="4"/>
    <x v="1"/>
    <n v="5"/>
  </r>
  <r>
    <s v="O00267"/>
    <d v="2025-04-16T00:00:00"/>
    <s v="C00267"/>
    <s v="Customer 267"/>
    <x v="3"/>
    <x v="3"/>
    <x v="3"/>
    <n v="3"/>
    <n v="4322"/>
    <n v="0.2"/>
    <n v="10372.799999999999"/>
    <x v="266"/>
    <x v="2"/>
    <x v="1"/>
    <x v="1"/>
    <x v="2"/>
    <x v="2"/>
    <n v="1"/>
  </r>
  <r>
    <s v="O00268"/>
    <d v="2025-03-31T00:00:00"/>
    <s v="C00268"/>
    <s v="Customer 268"/>
    <x v="2"/>
    <x v="2"/>
    <x v="2"/>
    <n v="5"/>
    <n v="7839"/>
    <n v="0.1"/>
    <n v="35275.5"/>
    <x v="267"/>
    <x v="4"/>
    <x v="5"/>
    <x v="5"/>
    <x v="0"/>
    <x v="2"/>
    <n v="1"/>
  </r>
  <r>
    <s v="O00269"/>
    <d v="2025-01-20T00:00:00"/>
    <s v="C00269"/>
    <s v="Customer 269"/>
    <x v="5"/>
    <x v="3"/>
    <x v="5"/>
    <n v="3"/>
    <n v="5209"/>
    <n v="0.1"/>
    <n v="14064.3"/>
    <x v="268"/>
    <x v="4"/>
    <x v="1"/>
    <x v="1"/>
    <x v="4"/>
    <x v="2"/>
    <n v="3"/>
  </r>
  <r>
    <s v="O00270"/>
    <d v="2025-10-30T00:00:00"/>
    <s v="C00270"/>
    <s v="Customer 270"/>
    <x v="1"/>
    <x v="1"/>
    <x v="1"/>
    <n v="2"/>
    <n v="10260"/>
    <n v="0.15"/>
    <n v="17442"/>
    <x v="269"/>
    <x v="2"/>
    <x v="3"/>
    <x v="3"/>
    <x v="0"/>
    <x v="0"/>
    <n v="2"/>
  </r>
  <r>
    <s v="O00271"/>
    <d v="2025-02-01T00:00:00"/>
    <s v="C00271"/>
    <s v="Customer 271"/>
    <x v="3"/>
    <x v="3"/>
    <x v="3"/>
    <n v="1"/>
    <n v="7722"/>
    <n v="0.05"/>
    <n v="7335.9"/>
    <x v="270"/>
    <x v="0"/>
    <x v="4"/>
    <x v="4"/>
    <x v="3"/>
    <x v="1"/>
    <n v="2"/>
  </r>
  <r>
    <s v="O00272"/>
    <d v="2025-11-26T00:00:00"/>
    <s v="C00272"/>
    <s v="Customer 272"/>
    <x v="1"/>
    <x v="1"/>
    <x v="1"/>
    <n v="5"/>
    <n v="5882"/>
    <n v="0.05"/>
    <n v="27939.5"/>
    <x v="271"/>
    <x v="4"/>
    <x v="4"/>
    <x v="4"/>
    <x v="2"/>
    <x v="3"/>
    <n v="2"/>
  </r>
  <r>
    <s v="O00273"/>
    <d v="2025-09-26T00:00:00"/>
    <s v="C00273"/>
    <s v="Customer 273"/>
    <x v="0"/>
    <x v="0"/>
    <x v="0"/>
    <n v="4"/>
    <n v="10301"/>
    <n v="0.05"/>
    <n v="39143.800000000003"/>
    <x v="272"/>
    <x v="4"/>
    <x v="5"/>
    <x v="5"/>
    <x v="3"/>
    <x v="0"/>
    <n v="5"/>
  </r>
  <r>
    <s v="O00274"/>
    <d v="2025-05-19T00:00:00"/>
    <s v="C00274"/>
    <s v="Customer 274"/>
    <x v="6"/>
    <x v="4"/>
    <x v="6"/>
    <n v="2"/>
    <n v="4087"/>
    <n v="0"/>
    <n v="8174"/>
    <x v="273"/>
    <x v="0"/>
    <x v="0"/>
    <x v="0"/>
    <x v="4"/>
    <x v="3"/>
    <n v="2"/>
  </r>
  <r>
    <s v="O00275"/>
    <d v="2025-05-23T00:00:00"/>
    <s v="C00275"/>
    <s v="Customer 275"/>
    <x v="3"/>
    <x v="3"/>
    <x v="3"/>
    <n v="3"/>
    <n v="2771"/>
    <n v="0.1"/>
    <n v="7481.7"/>
    <x v="274"/>
    <x v="0"/>
    <x v="5"/>
    <x v="5"/>
    <x v="3"/>
    <x v="3"/>
    <n v="1"/>
  </r>
  <r>
    <s v="O00276"/>
    <d v="2025-05-26T00:00:00"/>
    <s v="C00276"/>
    <s v="Customer 276"/>
    <x v="4"/>
    <x v="3"/>
    <x v="4"/>
    <n v="2"/>
    <n v="4019"/>
    <n v="0.1"/>
    <n v="7234.2"/>
    <x v="275"/>
    <x v="3"/>
    <x v="2"/>
    <x v="2"/>
    <x v="2"/>
    <x v="0"/>
    <n v="1"/>
  </r>
  <r>
    <s v="O00277"/>
    <d v="2025-06-24T00:00:00"/>
    <s v="C00277"/>
    <s v="Customer 277"/>
    <x v="3"/>
    <x v="3"/>
    <x v="3"/>
    <n v="4"/>
    <n v="5816"/>
    <n v="0.15"/>
    <n v="19774.400000000001"/>
    <x v="276"/>
    <x v="2"/>
    <x v="2"/>
    <x v="2"/>
    <x v="0"/>
    <x v="1"/>
    <n v="1"/>
  </r>
  <r>
    <s v="O00278"/>
    <d v="2025-04-21T00:00:00"/>
    <s v="C00278"/>
    <s v="Customer 278"/>
    <x v="1"/>
    <x v="1"/>
    <x v="1"/>
    <n v="1"/>
    <n v="11586"/>
    <n v="0.1"/>
    <n v="10427.4"/>
    <x v="277"/>
    <x v="3"/>
    <x v="1"/>
    <x v="1"/>
    <x v="0"/>
    <x v="1"/>
    <n v="3"/>
  </r>
  <r>
    <s v="O00279"/>
    <d v="2025-09-23T00:00:00"/>
    <s v="C00279"/>
    <s v="Customer 279"/>
    <x v="1"/>
    <x v="1"/>
    <x v="1"/>
    <n v="4"/>
    <n v="11474"/>
    <n v="0.2"/>
    <n v="36716.800000000003"/>
    <x v="278"/>
    <x v="2"/>
    <x v="5"/>
    <x v="5"/>
    <x v="2"/>
    <x v="3"/>
    <n v="4"/>
  </r>
  <r>
    <s v="O00280"/>
    <d v="2025-07-15T00:00:00"/>
    <s v="C00280"/>
    <s v="Customer 280"/>
    <x v="0"/>
    <x v="0"/>
    <x v="0"/>
    <n v="2"/>
    <n v="7611"/>
    <n v="0"/>
    <n v="15222"/>
    <x v="279"/>
    <x v="1"/>
    <x v="3"/>
    <x v="3"/>
    <x v="3"/>
    <x v="1"/>
    <n v="3"/>
  </r>
  <r>
    <s v="O00281"/>
    <d v="2025-12-12T00:00:00"/>
    <s v="C00281"/>
    <s v="Customer 281"/>
    <x v="0"/>
    <x v="0"/>
    <x v="0"/>
    <n v="4"/>
    <n v="12825"/>
    <n v="0.15"/>
    <n v="43605"/>
    <x v="280"/>
    <x v="3"/>
    <x v="1"/>
    <x v="1"/>
    <x v="2"/>
    <x v="1"/>
    <n v="4"/>
  </r>
  <r>
    <s v="O00282"/>
    <d v="2025-05-20T00:00:00"/>
    <s v="C00282"/>
    <s v="Customer 282"/>
    <x v="5"/>
    <x v="3"/>
    <x v="5"/>
    <n v="2"/>
    <n v="11353"/>
    <n v="0"/>
    <n v="22706"/>
    <x v="281"/>
    <x v="3"/>
    <x v="2"/>
    <x v="2"/>
    <x v="1"/>
    <x v="1"/>
    <n v="1"/>
  </r>
  <r>
    <s v="O00283"/>
    <d v="2025-05-16T00:00:00"/>
    <s v="C00283"/>
    <s v="Customer 283"/>
    <x v="1"/>
    <x v="1"/>
    <x v="1"/>
    <n v="5"/>
    <n v="3464"/>
    <n v="0.15"/>
    <n v="14722"/>
    <x v="282"/>
    <x v="2"/>
    <x v="3"/>
    <x v="3"/>
    <x v="1"/>
    <x v="0"/>
    <n v="1"/>
  </r>
  <r>
    <s v="O00284"/>
    <d v="2025-09-04T00:00:00"/>
    <s v="C00284"/>
    <s v="Customer 284"/>
    <x v="7"/>
    <x v="5"/>
    <x v="7"/>
    <n v="5"/>
    <n v="14312"/>
    <n v="0.2"/>
    <n v="57248"/>
    <x v="283"/>
    <x v="4"/>
    <x v="2"/>
    <x v="2"/>
    <x v="3"/>
    <x v="2"/>
    <n v="2"/>
  </r>
  <r>
    <s v="O00285"/>
    <d v="2025-11-08T00:00:00"/>
    <s v="C00285"/>
    <s v="Customer 285"/>
    <x v="1"/>
    <x v="1"/>
    <x v="1"/>
    <n v="4"/>
    <n v="4169"/>
    <n v="0.15"/>
    <n v="14174.6"/>
    <x v="284"/>
    <x v="0"/>
    <x v="5"/>
    <x v="5"/>
    <x v="1"/>
    <x v="2"/>
    <n v="3"/>
  </r>
  <r>
    <s v="O00286"/>
    <d v="2025-08-04T00:00:00"/>
    <s v="C00286"/>
    <s v="Customer 286"/>
    <x v="3"/>
    <x v="3"/>
    <x v="3"/>
    <n v="4"/>
    <n v="4401"/>
    <n v="0.2"/>
    <n v="14083.2"/>
    <x v="285"/>
    <x v="2"/>
    <x v="3"/>
    <x v="3"/>
    <x v="4"/>
    <x v="2"/>
    <n v="5"/>
  </r>
  <r>
    <s v="O00287"/>
    <d v="2025-07-17T00:00:00"/>
    <s v="C00287"/>
    <s v="Customer 287"/>
    <x v="4"/>
    <x v="3"/>
    <x v="4"/>
    <n v="4"/>
    <n v="13824"/>
    <n v="0.1"/>
    <n v="49766.400000000001"/>
    <x v="286"/>
    <x v="2"/>
    <x v="0"/>
    <x v="0"/>
    <x v="3"/>
    <x v="1"/>
    <n v="3"/>
  </r>
  <r>
    <s v="O00288"/>
    <d v="2025-12-12T00:00:00"/>
    <s v="C00288"/>
    <s v="Customer 288"/>
    <x v="1"/>
    <x v="1"/>
    <x v="1"/>
    <n v="2"/>
    <n v="9303"/>
    <n v="0.2"/>
    <n v="14884.8"/>
    <x v="287"/>
    <x v="3"/>
    <x v="2"/>
    <x v="2"/>
    <x v="4"/>
    <x v="2"/>
    <n v="1"/>
  </r>
  <r>
    <s v="O00289"/>
    <d v="2025-01-10T00:00:00"/>
    <s v="C00289"/>
    <s v="Customer 289"/>
    <x v="2"/>
    <x v="2"/>
    <x v="2"/>
    <n v="5"/>
    <n v="354"/>
    <n v="0.1"/>
    <n v="1593"/>
    <x v="288"/>
    <x v="1"/>
    <x v="1"/>
    <x v="1"/>
    <x v="0"/>
    <x v="1"/>
    <n v="2"/>
  </r>
  <r>
    <s v="O00290"/>
    <d v="2025-07-11T00:00:00"/>
    <s v="C00290"/>
    <s v="Customer 290"/>
    <x v="1"/>
    <x v="1"/>
    <x v="1"/>
    <n v="2"/>
    <n v="9323"/>
    <n v="0.1"/>
    <n v="16781.400000000001"/>
    <x v="289"/>
    <x v="2"/>
    <x v="1"/>
    <x v="1"/>
    <x v="4"/>
    <x v="0"/>
    <n v="5"/>
  </r>
  <r>
    <s v="O00291"/>
    <d v="2025-10-11T00:00:00"/>
    <s v="C00291"/>
    <s v="Customer 291"/>
    <x v="7"/>
    <x v="5"/>
    <x v="7"/>
    <n v="4"/>
    <n v="13148"/>
    <n v="0.1"/>
    <n v="47332.800000000003"/>
    <x v="290"/>
    <x v="3"/>
    <x v="1"/>
    <x v="1"/>
    <x v="2"/>
    <x v="0"/>
    <n v="1"/>
  </r>
  <r>
    <s v="O00292"/>
    <d v="2025-06-10T00:00:00"/>
    <s v="C00292"/>
    <s v="Customer 292"/>
    <x v="5"/>
    <x v="3"/>
    <x v="5"/>
    <n v="4"/>
    <n v="11922"/>
    <n v="0.05"/>
    <n v="45303.6"/>
    <x v="291"/>
    <x v="0"/>
    <x v="0"/>
    <x v="0"/>
    <x v="4"/>
    <x v="0"/>
    <n v="5"/>
  </r>
  <r>
    <s v="O00293"/>
    <d v="2025-03-09T00:00:00"/>
    <s v="C00293"/>
    <s v="Customer 293"/>
    <x v="7"/>
    <x v="5"/>
    <x v="7"/>
    <n v="1"/>
    <n v="9726"/>
    <n v="0.1"/>
    <n v="8753.4"/>
    <x v="292"/>
    <x v="1"/>
    <x v="4"/>
    <x v="4"/>
    <x v="0"/>
    <x v="2"/>
    <n v="5"/>
  </r>
  <r>
    <s v="O00294"/>
    <d v="2025-08-18T00:00:00"/>
    <s v="C00294"/>
    <s v="Customer 294"/>
    <x v="4"/>
    <x v="3"/>
    <x v="4"/>
    <n v="1"/>
    <n v="7950"/>
    <n v="0.1"/>
    <n v="7155"/>
    <x v="293"/>
    <x v="4"/>
    <x v="3"/>
    <x v="3"/>
    <x v="1"/>
    <x v="1"/>
    <n v="5"/>
  </r>
  <r>
    <s v="O00295"/>
    <d v="2025-08-05T00:00:00"/>
    <s v="C00295"/>
    <s v="Customer 295"/>
    <x v="0"/>
    <x v="0"/>
    <x v="0"/>
    <n v="1"/>
    <n v="6621"/>
    <n v="0.2"/>
    <n v="5296.8"/>
    <x v="294"/>
    <x v="1"/>
    <x v="1"/>
    <x v="1"/>
    <x v="4"/>
    <x v="3"/>
    <n v="3"/>
  </r>
  <r>
    <s v="O00296"/>
    <d v="2025-05-27T00:00:00"/>
    <s v="C00296"/>
    <s v="Customer 296"/>
    <x v="5"/>
    <x v="3"/>
    <x v="5"/>
    <n v="5"/>
    <n v="3395"/>
    <n v="0.15"/>
    <n v="14428.75"/>
    <x v="295"/>
    <x v="2"/>
    <x v="1"/>
    <x v="1"/>
    <x v="2"/>
    <x v="3"/>
    <n v="5"/>
  </r>
  <r>
    <s v="O00297"/>
    <d v="2025-11-29T00:00:00"/>
    <s v="C00297"/>
    <s v="Customer 297"/>
    <x v="7"/>
    <x v="5"/>
    <x v="7"/>
    <n v="2"/>
    <n v="4727"/>
    <n v="0.05"/>
    <n v="8981.2999999999993"/>
    <x v="296"/>
    <x v="0"/>
    <x v="5"/>
    <x v="5"/>
    <x v="1"/>
    <x v="3"/>
    <n v="2"/>
  </r>
  <r>
    <s v="O00298"/>
    <d v="2025-03-21T00:00:00"/>
    <s v="C00298"/>
    <s v="Customer 298"/>
    <x v="6"/>
    <x v="4"/>
    <x v="6"/>
    <n v="5"/>
    <n v="13807"/>
    <n v="0.1"/>
    <n v="62131.5"/>
    <x v="297"/>
    <x v="2"/>
    <x v="2"/>
    <x v="2"/>
    <x v="0"/>
    <x v="3"/>
    <n v="3"/>
  </r>
  <r>
    <s v="O00299"/>
    <d v="2025-12-09T00:00:00"/>
    <s v="C00299"/>
    <s v="Customer 299"/>
    <x v="0"/>
    <x v="0"/>
    <x v="0"/>
    <n v="3"/>
    <n v="14908"/>
    <n v="0.1"/>
    <n v="40251.599999999999"/>
    <x v="298"/>
    <x v="1"/>
    <x v="4"/>
    <x v="4"/>
    <x v="4"/>
    <x v="0"/>
    <n v="5"/>
  </r>
  <r>
    <s v="O00300"/>
    <d v="2025-08-30T00:00:00"/>
    <s v="C00300"/>
    <s v="Customer 300"/>
    <x v="3"/>
    <x v="3"/>
    <x v="3"/>
    <n v="2"/>
    <n v="10765"/>
    <n v="0.1"/>
    <n v="19377"/>
    <x v="299"/>
    <x v="1"/>
    <x v="5"/>
    <x v="5"/>
    <x v="3"/>
    <x v="0"/>
    <n v="3"/>
  </r>
  <r>
    <s v="O00301"/>
    <d v="2025-04-30T00:00:00"/>
    <s v="C00301"/>
    <s v="Customer 301"/>
    <x v="0"/>
    <x v="0"/>
    <x v="0"/>
    <n v="4"/>
    <n v="8488"/>
    <n v="0.1"/>
    <n v="30556.799999999999"/>
    <x v="300"/>
    <x v="3"/>
    <x v="0"/>
    <x v="0"/>
    <x v="4"/>
    <x v="1"/>
    <n v="5"/>
  </r>
  <r>
    <s v="O00302"/>
    <d v="2025-05-17T00:00:00"/>
    <s v="C00302"/>
    <s v="Customer 302"/>
    <x v="7"/>
    <x v="5"/>
    <x v="7"/>
    <n v="5"/>
    <n v="10970"/>
    <n v="0.2"/>
    <n v="43880"/>
    <x v="301"/>
    <x v="2"/>
    <x v="4"/>
    <x v="4"/>
    <x v="4"/>
    <x v="0"/>
    <n v="4"/>
  </r>
  <r>
    <s v="O00303"/>
    <d v="2025-12-29T00:00:00"/>
    <s v="C00303"/>
    <s v="Customer 303"/>
    <x v="5"/>
    <x v="3"/>
    <x v="5"/>
    <n v="4"/>
    <n v="7457"/>
    <n v="0.1"/>
    <n v="26845.200000000001"/>
    <x v="302"/>
    <x v="3"/>
    <x v="0"/>
    <x v="0"/>
    <x v="2"/>
    <x v="2"/>
    <n v="5"/>
  </r>
  <r>
    <s v="O00304"/>
    <d v="2025-12-06T00:00:00"/>
    <s v="C00304"/>
    <s v="Customer 304"/>
    <x v="7"/>
    <x v="5"/>
    <x v="7"/>
    <n v="5"/>
    <n v="10275"/>
    <n v="0.1"/>
    <n v="46237.5"/>
    <x v="303"/>
    <x v="1"/>
    <x v="0"/>
    <x v="0"/>
    <x v="2"/>
    <x v="1"/>
    <n v="5"/>
  </r>
  <r>
    <s v="O00305"/>
    <d v="2025-11-12T00:00:00"/>
    <s v="C00305"/>
    <s v="Customer 305"/>
    <x v="6"/>
    <x v="4"/>
    <x v="6"/>
    <n v="3"/>
    <n v="3516"/>
    <n v="0"/>
    <n v="10548"/>
    <x v="304"/>
    <x v="0"/>
    <x v="3"/>
    <x v="3"/>
    <x v="2"/>
    <x v="0"/>
    <n v="5"/>
  </r>
  <r>
    <s v="O00306"/>
    <d v="2025-11-29T00:00:00"/>
    <s v="C00306"/>
    <s v="Customer 306"/>
    <x v="5"/>
    <x v="3"/>
    <x v="5"/>
    <n v="5"/>
    <n v="13811"/>
    <n v="0.15"/>
    <n v="58696.75"/>
    <x v="305"/>
    <x v="1"/>
    <x v="2"/>
    <x v="2"/>
    <x v="4"/>
    <x v="1"/>
    <n v="1"/>
  </r>
  <r>
    <s v="O00307"/>
    <d v="2025-10-14T00:00:00"/>
    <s v="C00307"/>
    <s v="Customer 307"/>
    <x v="1"/>
    <x v="1"/>
    <x v="1"/>
    <n v="2"/>
    <n v="4839"/>
    <n v="0.1"/>
    <n v="8710.2000000000007"/>
    <x v="306"/>
    <x v="0"/>
    <x v="1"/>
    <x v="1"/>
    <x v="3"/>
    <x v="3"/>
    <n v="1"/>
  </r>
  <r>
    <s v="O00308"/>
    <d v="2025-12-27T00:00:00"/>
    <s v="C00308"/>
    <s v="Customer 308"/>
    <x v="5"/>
    <x v="3"/>
    <x v="5"/>
    <n v="1"/>
    <n v="8010"/>
    <n v="0"/>
    <n v="8010"/>
    <x v="307"/>
    <x v="4"/>
    <x v="4"/>
    <x v="4"/>
    <x v="2"/>
    <x v="0"/>
    <n v="2"/>
  </r>
  <r>
    <s v="O00309"/>
    <d v="2025-11-18T00:00:00"/>
    <s v="C00309"/>
    <s v="Customer 309"/>
    <x v="1"/>
    <x v="1"/>
    <x v="1"/>
    <n v="5"/>
    <n v="11548"/>
    <n v="0.2"/>
    <n v="46192"/>
    <x v="308"/>
    <x v="4"/>
    <x v="1"/>
    <x v="1"/>
    <x v="2"/>
    <x v="0"/>
    <n v="3"/>
  </r>
  <r>
    <s v="O00310"/>
    <d v="2025-12-04T00:00:00"/>
    <s v="C00310"/>
    <s v="Customer 310"/>
    <x v="6"/>
    <x v="4"/>
    <x v="6"/>
    <n v="4"/>
    <n v="543"/>
    <n v="0.05"/>
    <n v="2063.4"/>
    <x v="309"/>
    <x v="3"/>
    <x v="3"/>
    <x v="3"/>
    <x v="1"/>
    <x v="1"/>
    <n v="1"/>
  </r>
  <r>
    <s v="O00311"/>
    <d v="2025-11-11T00:00:00"/>
    <s v="C00311"/>
    <s v="Customer 311"/>
    <x v="7"/>
    <x v="5"/>
    <x v="7"/>
    <n v="3"/>
    <n v="10426"/>
    <n v="0.05"/>
    <n v="29714.1"/>
    <x v="310"/>
    <x v="3"/>
    <x v="2"/>
    <x v="2"/>
    <x v="2"/>
    <x v="0"/>
    <n v="4"/>
  </r>
  <r>
    <s v="O00312"/>
    <d v="2025-11-08T00:00:00"/>
    <s v="C00312"/>
    <s v="Customer 312"/>
    <x v="2"/>
    <x v="2"/>
    <x v="2"/>
    <n v="3"/>
    <n v="12024"/>
    <n v="0.1"/>
    <n v="32464.799999999999"/>
    <x v="311"/>
    <x v="1"/>
    <x v="1"/>
    <x v="1"/>
    <x v="4"/>
    <x v="2"/>
    <n v="4"/>
  </r>
  <r>
    <s v="O00313"/>
    <d v="2025-03-16T00:00:00"/>
    <s v="C00313"/>
    <s v="Customer 313"/>
    <x v="3"/>
    <x v="3"/>
    <x v="3"/>
    <n v="4"/>
    <n v="14396"/>
    <n v="0.15"/>
    <n v="48946.400000000001"/>
    <x v="312"/>
    <x v="0"/>
    <x v="1"/>
    <x v="1"/>
    <x v="3"/>
    <x v="3"/>
    <n v="3"/>
  </r>
  <r>
    <s v="O00314"/>
    <d v="2025-09-17T00:00:00"/>
    <s v="C00314"/>
    <s v="Customer 314"/>
    <x v="3"/>
    <x v="3"/>
    <x v="3"/>
    <n v="4"/>
    <n v="1949"/>
    <n v="0.2"/>
    <n v="6236.8"/>
    <x v="313"/>
    <x v="4"/>
    <x v="4"/>
    <x v="4"/>
    <x v="2"/>
    <x v="3"/>
    <n v="5"/>
  </r>
  <r>
    <s v="O00315"/>
    <d v="2025-06-04T00:00:00"/>
    <s v="C00315"/>
    <s v="Customer 315"/>
    <x v="2"/>
    <x v="2"/>
    <x v="2"/>
    <n v="3"/>
    <n v="293"/>
    <n v="0.05"/>
    <n v="835.05"/>
    <x v="314"/>
    <x v="4"/>
    <x v="2"/>
    <x v="2"/>
    <x v="3"/>
    <x v="2"/>
    <n v="5"/>
  </r>
  <r>
    <s v="O00316"/>
    <d v="2025-09-10T00:00:00"/>
    <s v="C00316"/>
    <s v="Customer 316"/>
    <x v="6"/>
    <x v="4"/>
    <x v="6"/>
    <n v="1"/>
    <n v="1020"/>
    <n v="0.05"/>
    <n v="969"/>
    <x v="315"/>
    <x v="4"/>
    <x v="4"/>
    <x v="4"/>
    <x v="4"/>
    <x v="2"/>
    <n v="1"/>
  </r>
  <r>
    <s v="O00317"/>
    <d v="2025-10-28T00:00:00"/>
    <s v="C00317"/>
    <s v="Customer 317"/>
    <x v="5"/>
    <x v="3"/>
    <x v="5"/>
    <n v="1"/>
    <n v="12049"/>
    <n v="0.15"/>
    <n v="10241.65"/>
    <x v="316"/>
    <x v="1"/>
    <x v="4"/>
    <x v="4"/>
    <x v="2"/>
    <x v="1"/>
    <n v="3"/>
  </r>
  <r>
    <s v="O00318"/>
    <d v="2025-03-18T00:00:00"/>
    <s v="C00318"/>
    <s v="Customer 318"/>
    <x v="4"/>
    <x v="3"/>
    <x v="4"/>
    <n v="2"/>
    <n v="13112"/>
    <n v="0.2"/>
    <n v="20979.200000000001"/>
    <x v="317"/>
    <x v="4"/>
    <x v="0"/>
    <x v="0"/>
    <x v="3"/>
    <x v="3"/>
    <n v="4"/>
  </r>
  <r>
    <s v="O00319"/>
    <d v="2025-01-01T00:00:00"/>
    <s v="C00319"/>
    <s v="Customer 319"/>
    <x v="1"/>
    <x v="1"/>
    <x v="1"/>
    <n v="3"/>
    <n v="3683"/>
    <n v="0.1"/>
    <n v="9944.1"/>
    <x v="318"/>
    <x v="3"/>
    <x v="5"/>
    <x v="5"/>
    <x v="0"/>
    <x v="1"/>
    <n v="1"/>
  </r>
  <r>
    <s v="O00320"/>
    <d v="2025-06-30T00:00:00"/>
    <s v="C00320"/>
    <s v="Customer 320"/>
    <x v="2"/>
    <x v="2"/>
    <x v="2"/>
    <n v="1"/>
    <n v="11976"/>
    <n v="0"/>
    <n v="11976"/>
    <x v="319"/>
    <x v="1"/>
    <x v="5"/>
    <x v="5"/>
    <x v="1"/>
    <x v="3"/>
    <n v="4"/>
  </r>
  <r>
    <s v="O00321"/>
    <d v="2025-08-12T00:00:00"/>
    <s v="C00321"/>
    <s v="Customer 321"/>
    <x v="0"/>
    <x v="0"/>
    <x v="0"/>
    <n v="2"/>
    <n v="10406"/>
    <n v="0.05"/>
    <n v="19771.400000000001"/>
    <x v="320"/>
    <x v="3"/>
    <x v="2"/>
    <x v="2"/>
    <x v="1"/>
    <x v="2"/>
    <n v="4"/>
  </r>
  <r>
    <s v="O00322"/>
    <d v="2025-08-14T00:00:00"/>
    <s v="C00322"/>
    <s v="Customer 322"/>
    <x v="0"/>
    <x v="0"/>
    <x v="0"/>
    <n v="2"/>
    <n v="9377"/>
    <n v="0.05"/>
    <n v="17816.3"/>
    <x v="321"/>
    <x v="1"/>
    <x v="2"/>
    <x v="2"/>
    <x v="1"/>
    <x v="0"/>
    <n v="2"/>
  </r>
  <r>
    <s v="O00323"/>
    <d v="2025-06-26T00:00:00"/>
    <s v="C00323"/>
    <s v="Customer 323"/>
    <x v="0"/>
    <x v="0"/>
    <x v="0"/>
    <n v="5"/>
    <n v="8274"/>
    <n v="0.15"/>
    <n v="35164.5"/>
    <x v="322"/>
    <x v="2"/>
    <x v="5"/>
    <x v="5"/>
    <x v="3"/>
    <x v="1"/>
    <n v="1"/>
  </r>
  <r>
    <s v="O00324"/>
    <d v="2025-03-08T00:00:00"/>
    <s v="C00324"/>
    <s v="Customer 324"/>
    <x v="4"/>
    <x v="3"/>
    <x v="4"/>
    <n v="4"/>
    <n v="1767"/>
    <n v="0.05"/>
    <n v="6714.6"/>
    <x v="323"/>
    <x v="0"/>
    <x v="0"/>
    <x v="0"/>
    <x v="1"/>
    <x v="3"/>
    <n v="3"/>
  </r>
  <r>
    <s v="O00325"/>
    <d v="2025-12-31T00:00:00"/>
    <s v="C00325"/>
    <s v="Customer 325"/>
    <x v="4"/>
    <x v="3"/>
    <x v="4"/>
    <n v="4"/>
    <n v="7070"/>
    <n v="0"/>
    <n v="28280"/>
    <x v="324"/>
    <x v="1"/>
    <x v="0"/>
    <x v="0"/>
    <x v="2"/>
    <x v="3"/>
    <n v="3"/>
  </r>
  <r>
    <s v="O00326"/>
    <d v="2025-06-27T00:00:00"/>
    <s v="C00326"/>
    <s v="Customer 326"/>
    <x v="7"/>
    <x v="5"/>
    <x v="7"/>
    <n v="3"/>
    <n v="5561"/>
    <n v="0.15"/>
    <n v="14180.55"/>
    <x v="325"/>
    <x v="4"/>
    <x v="4"/>
    <x v="4"/>
    <x v="3"/>
    <x v="3"/>
    <n v="1"/>
  </r>
  <r>
    <s v="O00327"/>
    <d v="2025-01-26T00:00:00"/>
    <s v="C00327"/>
    <s v="Customer 327"/>
    <x v="5"/>
    <x v="3"/>
    <x v="5"/>
    <n v="4"/>
    <n v="10328"/>
    <n v="0"/>
    <n v="41312"/>
    <x v="326"/>
    <x v="1"/>
    <x v="0"/>
    <x v="0"/>
    <x v="4"/>
    <x v="0"/>
    <n v="2"/>
  </r>
  <r>
    <s v="O00328"/>
    <d v="2025-09-10T00:00:00"/>
    <s v="C00328"/>
    <s v="Customer 328"/>
    <x v="2"/>
    <x v="2"/>
    <x v="2"/>
    <n v="4"/>
    <n v="4131"/>
    <n v="0.15"/>
    <n v="14045.4"/>
    <x v="327"/>
    <x v="0"/>
    <x v="1"/>
    <x v="1"/>
    <x v="3"/>
    <x v="0"/>
    <n v="4"/>
  </r>
  <r>
    <s v="O00329"/>
    <d v="2025-11-17T00:00:00"/>
    <s v="C00329"/>
    <s v="Customer 329"/>
    <x v="7"/>
    <x v="5"/>
    <x v="7"/>
    <n v="5"/>
    <n v="6287"/>
    <n v="0.2"/>
    <n v="25148"/>
    <x v="328"/>
    <x v="4"/>
    <x v="3"/>
    <x v="3"/>
    <x v="4"/>
    <x v="2"/>
    <n v="2"/>
  </r>
  <r>
    <s v="O00330"/>
    <d v="2025-04-26T00:00:00"/>
    <s v="C00330"/>
    <s v="Customer 330"/>
    <x v="6"/>
    <x v="4"/>
    <x v="6"/>
    <n v="5"/>
    <n v="13227"/>
    <n v="0.2"/>
    <n v="52908"/>
    <x v="329"/>
    <x v="2"/>
    <x v="1"/>
    <x v="1"/>
    <x v="1"/>
    <x v="0"/>
    <n v="4"/>
  </r>
  <r>
    <s v="O00331"/>
    <d v="2025-01-12T00:00:00"/>
    <s v="C00331"/>
    <s v="Customer 331"/>
    <x v="1"/>
    <x v="1"/>
    <x v="1"/>
    <n v="1"/>
    <n v="8487"/>
    <n v="0.05"/>
    <n v="8062.65"/>
    <x v="330"/>
    <x v="3"/>
    <x v="4"/>
    <x v="4"/>
    <x v="2"/>
    <x v="2"/>
    <n v="2"/>
  </r>
  <r>
    <s v="O00332"/>
    <d v="2025-07-16T00:00:00"/>
    <s v="C00332"/>
    <s v="Customer 332"/>
    <x v="2"/>
    <x v="2"/>
    <x v="2"/>
    <n v="5"/>
    <n v="2492"/>
    <n v="0.2"/>
    <n v="9968"/>
    <x v="331"/>
    <x v="0"/>
    <x v="2"/>
    <x v="2"/>
    <x v="3"/>
    <x v="1"/>
    <n v="2"/>
  </r>
  <r>
    <s v="O00333"/>
    <d v="2025-10-09T00:00:00"/>
    <s v="C00333"/>
    <s v="Customer 333"/>
    <x v="2"/>
    <x v="2"/>
    <x v="2"/>
    <n v="2"/>
    <n v="3007"/>
    <n v="0"/>
    <n v="6014"/>
    <x v="332"/>
    <x v="4"/>
    <x v="1"/>
    <x v="1"/>
    <x v="4"/>
    <x v="1"/>
    <n v="5"/>
  </r>
  <r>
    <s v="O00334"/>
    <d v="2025-06-21T00:00:00"/>
    <s v="C00334"/>
    <s v="Customer 334"/>
    <x v="5"/>
    <x v="3"/>
    <x v="5"/>
    <n v="3"/>
    <n v="13956"/>
    <n v="0.2"/>
    <n v="33494.400000000001"/>
    <x v="333"/>
    <x v="3"/>
    <x v="0"/>
    <x v="0"/>
    <x v="3"/>
    <x v="0"/>
    <n v="1"/>
  </r>
  <r>
    <s v="O00335"/>
    <d v="2025-06-03T00:00:00"/>
    <s v="C00335"/>
    <s v="Customer 335"/>
    <x v="0"/>
    <x v="0"/>
    <x v="0"/>
    <n v="2"/>
    <n v="1368"/>
    <n v="0.15"/>
    <n v="2325.6"/>
    <x v="334"/>
    <x v="2"/>
    <x v="4"/>
    <x v="4"/>
    <x v="1"/>
    <x v="2"/>
    <n v="2"/>
  </r>
  <r>
    <s v="O00336"/>
    <d v="2025-01-12T00:00:00"/>
    <s v="C00336"/>
    <s v="Customer 336"/>
    <x v="0"/>
    <x v="0"/>
    <x v="0"/>
    <n v="1"/>
    <n v="7392"/>
    <n v="0.1"/>
    <n v="6652.8"/>
    <x v="335"/>
    <x v="1"/>
    <x v="3"/>
    <x v="3"/>
    <x v="0"/>
    <x v="0"/>
    <n v="5"/>
  </r>
  <r>
    <s v="O00337"/>
    <d v="2025-02-03T00:00:00"/>
    <s v="C00337"/>
    <s v="Customer 337"/>
    <x v="7"/>
    <x v="5"/>
    <x v="7"/>
    <n v="3"/>
    <n v="3682"/>
    <n v="0.1"/>
    <n v="9941.4"/>
    <x v="336"/>
    <x v="1"/>
    <x v="3"/>
    <x v="3"/>
    <x v="0"/>
    <x v="0"/>
    <n v="5"/>
  </r>
  <r>
    <s v="O00338"/>
    <d v="2025-06-24T00:00:00"/>
    <s v="C00338"/>
    <s v="Customer 338"/>
    <x v="2"/>
    <x v="2"/>
    <x v="2"/>
    <n v="5"/>
    <n v="11922"/>
    <n v="0.15"/>
    <n v="50668.5"/>
    <x v="337"/>
    <x v="0"/>
    <x v="5"/>
    <x v="5"/>
    <x v="1"/>
    <x v="0"/>
    <n v="4"/>
  </r>
  <r>
    <s v="O00339"/>
    <d v="2025-03-13T00:00:00"/>
    <s v="C00339"/>
    <s v="Customer 339"/>
    <x v="0"/>
    <x v="0"/>
    <x v="0"/>
    <n v="5"/>
    <n v="11800"/>
    <n v="0.1"/>
    <n v="53100"/>
    <x v="338"/>
    <x v="3"/>
    <x v="4"/>
    <x v="4"/>
    <x v="0"/>
    <x v="3"/>
    <n v="5"/>
  </r>
  <r>
    <s v="O00340"/>
    <d v="2025-10-28T00:00:00"/>
    <s v="C00340"/>
    <s v="Customer 340"/>
    <x v="6"/>
    <x v="4"/>
    <x v="6"/>
    <n v="1"/>
    <n v="9740"/>
    <n v="0"/>
    <n v="9740"/>
    <x v="339"/>
    <x v="2"/>
    <x v="0"/>
    <x v="0"/>
    <x v="3"/>
    <x v="2"/>
    <n v="3"/>
  </r>
  <r>
    <s v="O00341"/>
    <d v="2025-01-04T00:00:00"/>
    <s v="C00341"/>
    <s v="Customer 341"/>
    <x v="7"/>
    <x v="5"/>
    <x v="7"/>
    <n v="4"/>
    <n v="9127"/>
    <n v="0.15"/>
    <n v="31031.8"/>
    <x v="340"/>
    <x v="0"/>
    <x v="5"/>
    <x v="5"/>
    <x v="1"/>
    <x v="2"/>
    <n v="1"/>
  </r>
  <r>
    <s v="O00342"/>
    <d v="2025-07-27T00:00:00"/>
    <s v="C00342"/>
    <s v="Customer 342"/>
    <x v="0"/>
    <x v="0"/>
    <x v="0"/>
    <n v="3"/>
    <n v="10810"/>
    <n v="0.15"/>
    <n v="27565.5"/>
    <x v="341"/>
    <x v="0"/>
    <x v="4"/>
    <x v="4"/>
    <x v="0"/>
    <x v="0"/>
    <n v="5"/>
  </r>
  <r>
    <s v="O00343"/>
    <d v="2025-01-19T00:00:00"/>
    <s v="C00343"/>
    <s v="Customer 343"/>
    <x v="5"/>
    <x v="3"/>
    <x v="5"/>
    <n v="2"/>
    <n v="4384"/>
    <n v="0.2"/>
    <n v="7014.4"/>
    <x v="342"/>
    <x v="3"/>
    <x v="0"/>
    <x v="0"/>
    <x v="1"/>
    <x v="1"/>
    <n v="4"/>
  </r>
  <r>
    <s v="O00344"/>
    <d v="2025-05-26T00:00:00"/>
    <s v="C00344"/>
    <s v="Customer 344"/>
    <x v="7"/>
    <x v="5"/>
    <x v="7"/>
    <n v="4"/>
    <n v="7635"/>
    <n v="0.15"/>
    <n v="25959"/>
    <x v="343"/>
    <x v="3"/>
    <x v="2"/>
    <x v="2"/>
    <x v="3"/>
    <x v="0"/>
    <n v="2"/>
  </r>
  <r>
    <s v="O00345"/>
    <d v="2025-07-29T00:00:00"/>
    <s v="C00345"/>
    <s v="Customer 345"/>
    <x v="6"/>
    <x v="4"/>
    <x v="6"/>
    <n v="1"/>
    <n v="3775"/>
    <n v="0.15"/>
    <n v="3208.75"/>
    <x v="344"/>
    <x v="2"/>
    <x v="2"/>
    <x v="2"/>
    <x v="1"/>
    <x v="0"/>
    <n v="4"/>
  </r>
  <r>
    <s v="O00346"/>
    <d v="2025-08-29T00:00:00"/>
    <s v="C00346"/>
    <s v="Customer 346"/>
    <x v="5"/>
    <x v="3"/>
    <x v="5"/>
    <n v="3"/>
    <n v="1048"/>
    <n v="0"/>
    <n v="3144"/>
    <x v="345"/>
    <x v="2"/>
    <x v="4"/>
    <x v="4"/>
    <x v="2"/>
    <x v="0"/>
    <n v="4"/>
  </r>
  <r>
    <s v="O00347"/>
    <d v="2025-06-13T00:00:00"/>
    <s v="C00347"/>
    <s v="Customer 347"/>
    <x v="7"/>
    <x v="5"/>
    <x v="7"/>
    <n v="5"/>
    <n v="14284"/>
    <n v="0.1"/>
    <n v="64278"/>
    <x v="346"/>
    <x v="1"/>
    <x v="1"/>
    <x v="1"/>
    <x v="2"/>
    <x v="0"/>
    <n v="3"/>
  </r>
  <r>
    <s v="O00348"/>
    <d v="2025-08-25T00:00:00"/>
    <s v="C00348"/>
    <s v="Customer 348"/>
    <x v="4"/>
    <x v="3"/>
    <x v="4"/>
    <n v="5"/>
    <n v="12527"/>
    <n v="0.05"/>
    <n v="59503.25"/>
    <x v="347"/>
    <x v="1"/>
    <x v="3"/>
    <x v="3"/>
    <x v="1"/>
    <x v="2"/>
    <n v="4"/>
  </r>
  <r>
    <s v="O00349"/>
    <d v="2025-05-17T00:00:00"/>
    <s v="C00349"/>
    <s v="Customer 349"/>
    <x v="5"/>
    <x v="3"/>
    <x v="5"/>
    <n v="5"/>
    <n v="6363"/>
    <n v="0.05"/>
    <n v="30224.25"/>
    <x v="348"/>
    <x v="2"/>
    <x v="2"/>
    <x v="2"/>
    <x v="4"/>
    <x v="2"/>
    <n v="1"/>
  </r>
  <r>
    <s v="O00350"/>
    <d v="2025-07-05T00:00:00"/>
    <s v="C00350"/>
    <s v="Customer 350"/>
    <x v="2"/>
    <x v="2"/>
    <x v="2"/>
    <n v="4"/>
    <n v="2036"/>
    <n v="0"/>
    <n v="8144"/>
    <x v="349"/>
    <x v="4"/>
    <x v="2"/>
    <x v="2"/>
    <x v="2"/>
    <x v="1"/>
    <n v="2"/>
  </r>
  <r>
    <s v="O00351"/>
    <d v="2025-05-22T00:00:00"/>
    <s v="C00351"/>
    <s v="Customer 351"/>
    <x v="1"/>
    <x v="1"/>
    <x v="1"/>
    <n v="3"/>
    <n v="13418"/>
    <n v="0.15"/>
    <n v="34215.9"/>
    <x v="350"/>
    <x v="3"/>
    <x v="3"/>
    <x v="3"/>
    <x v="0"/>
    <x v="1"/>
    <n v="2"/>
  </r>
  <r>
    <s v="O00352"/>
    <d v="2025-04-04T00:00:00"/>
    <s v="C00352"/>
    <s v="Customer 352"/>
    <x v="7"/>
    <x v="5"/>
    <x v="7"/>
    <n v="4"/>
    <n v="13865"/>
    <n v="0.05"/>
    <n v="52687"/>
    <x v="351"/>
    <x v="0"/>
    <x v="2"/>
    <x v="2"/>
    <x v="0"/>
    <x v="3"/>
    <n v="1"/>
  </r>
  <r>
    <s v="O00353"/>
    <d v="2025-06-16T00:00:00"/>
    <s v="C00353"/>
    <s v="Customer 353"/>
    <x v="2"/>
    <x v="2"/>
    <x v="2"/>
    <n v="2"/>
    <n v="8051"/>
    <n v="0.15"/>
    <n v="13686.7"/>
    <x v="352"/>
    <x v="0"/>
    <x v="5"/>
    <x v="5"/>
    <x v="2"/>
    <x v="3"/>
    <n v="1"/>
  </r>
  <r>
    <s v="O00354"/>
    <d v="2025-06-15T00:00:00"/>
    <s v="C00354"/>
    <s v="Customer 354"/>
    <x v="5"/>
    <x v="3"/>
    <x v="5"/>
    <n v="5"/>
    <n v="7416"/>
    <n v="0.2"/>
    <n v="29664"/>
    <x v="353"/>
    <x v="0"/>
    <x v="0"/>
    <x v="0"/>
    <x v="4"/>
    <x v="2"/>
    <n v="3"/>
  </r>
  <r>
    <s v="O00355"/>
    <d v="2025-04-18T00:00:00"/>
    <s v="C00355"/>
    <s v="Customer 355"/>
    <x v="7"/>
    <x v="5"/>
    <x v="7"/>
    <n v="2"/>
    <n v="11184"/>
    <n v="0.05"/>
    <n v="21249.599999999999"/>
    <x v="354"/>
    <x v="2"/>
    <x v="3"/>
    <x v="3"/>
    <x v="3"/>
    <x v="1"/>
    <n v="5"/>
  </r>
  <r>
    <s v="O00356"/>
    <d v="2025-06-23T00:00:00"/>
    <s v="C00356"/>
    <s v="Customer 356"/>
    <x v="2"/>
    <x v="2"/>
    <x v="2"/>
    <n v="5"/>
    <n v="10157"/>
    <n v="0.05"/>
    <n v="48245.75"/>
    <x v="355"/>
    <x v="1"/>
    <x v="0"/>
    <x v="0"/>
    <x v="0"/>
    <x v="1"/>
    <n v="4"/>
  </r>
  <r>
    <s v="O00357"/>
    <d v="2025-11-26T00:00:00"/>
    <s v="C00357"/>
    <s v="Customer 357"/>
    <x v="3"/>
    <x v="3"/>
    <x v="3"/>
    <n v="3"/>
    <n v="3260"/>
    <n v="0.05"/>
    <n v="9291"/>
    <x v="356"/>
    <x v="1"/>
    <x v="5"/>
    <x v="5"/>
    <x v="0"/>
    <x v="1"/>
    <n v="5"/>
  </r>
  <r>
    <s v="O00358"/>
    <d v="2025-12-28T00:00:00"/>
    <s v="C00358"/>
    <s v="Customer 358"/>
    <x v="4"/>
    <x v="3"/>
    <x v="4"/>
    <n v="2"/>
    <n v="9365"/>
    <n v="0.15"/>
    <n v="15920.5"/>
    <x v="357"/>
    <x v="0"/>
    <x v="1"/>
    <x v="1"/>
    <x v="0"/>
    <x v="1"/>
    <n v="2"/>
  </r>
  <r>
    <s v="O00359"/>
    <d v="2025-07-06T00:00:00"/>
    <s v="C00359"/>
    <s v="Customer 359"/>
    <x v="4"/>
    <x v="3"/>
    <x v="4"/>
    <n v="2"/>
    <n v="14506"/>
    <n v="0.15"/>
    <n v="24660.2"/>
    <x v="358"/>
    <x v="0"/>
    <x v="0"/>
    <x v="0"/>
    <x v="2"/>
    <x v="3"/>
    <n v="4"/>
  </r>
  <r>
    <s v="O00360"/>
    <d v="2025-07-13T00:00:00"/>
    <s v="C00360"/>
    <s v="Customer 360"/>
    <x v="0"/>
    <x v="0"/>
    <x v="0"/>
    <n v="2"/>
    <n v="11071"/>
    <n v="0.05"/>
    <n v="21034.9"/>
    <x v="359"/>
    <x v="2"/>
    <x v="5"/>
    <x v="5"/>
    <x v="3"/>
    <x v="1"/>
    <n v="4"/>
  </r>
  <r>
    <s v="O00361"/>
    <d v="2025-07-10T00:00:00"/>
    <s v="C00361"/>
    <s v="Customer 361"/>
    <x v="1"/>
    <x v="1"/>
    <x v="1"/>
    <n v="4"/>
    <n v="13189"/>
    <n v="0.1"/>
    <n v="47480.4"/>
    <x v="360"/>
    <x v="2"/>
    <x v="1"/>
    <x v="1"/>
    <x v="3"/>
    <x v="0"/>
    <n v="3"/>
  </r>
  <r>
    <s v="O00362"/>
    <d v="2025-07-27T00:00:00"/>
    <s v="C00362"/>
    <s v="Customer 362"/>
    <x v="2"/>
    <x v="2"/>
    <x v="2"/>
    <n v="4"/>
    <n v="8619"/>
    <n v="0.2"/>
    <n v="27580.799999999999"/>
    <x v="361"/>
    <x v="0"/>
    <x v="0"/>
    <x v="0"/>
    <x v="2"/>
    <x v="3"/>
    <n v="2"/>
  </r>
  <r>
    <s v="O00363"/>
    <d v="2025-03-28T00:00:00"/>
    <s v="C00363"/>
    <s v="Customer 363"/>
    <x v="6"/>
    <x v="4"/>
    <x v="6"/>
    <n v="5"/>
    <n v="6921"/>
    <n v="0.1"/>
    <n v="31144.5"/>
    <x v="362"/>
    <x v="2"/>
    <x v="1"/>
    <x v="1"/>
    <x v="3"/>
    <x v="3"/>
    <n v="5"/>
  </r>
  <r>
    <s v="O00364"/>
    <d v="2025-03-22T00:00:00"/>
    <s v="C00364"/>
    <s v="Customer 364"/>
    <x v="0"/>
    <x v="0"/>
    <x v="0"/>
    <n v="5"/>
    <n v="13164"/>
    <n v="0"/>
    <n v="65820"/>
    <x v="363"/>
    <x v="4"/>
    <x v="4"/>
    <x v="4"/>
    <x v="4"/>
    <x v="1"/>
    <n v="5"/>
  </r>
  <r>
    <s v="O00365"/>
    <d v="2025-04-20T00:00:00"/>
    <s v="C00365"/>
    <s v="Customer 365"/>
    <x v="7"/>
    <x v="5"/>
    <x v="7"/>
    <n v="2"/>
    <n v="3455"/>
    <n v="0"/>
    <n v="6910"/>
    <x v="364"/>
    <x v="0"/>
    <x v="3"/>
    <x v="3"/>
    <x v="0"/>
    <x v="0"/>
    <n v="4"/>
  </r>
  <r>
    <s v="O00366"/>
    <d v="2025-08-09T00:00:00"/>
    <s v="C00366"/>
    <s v="Customer 366"/>
    <x v="1"/>
    <x v="1"/>
    <x v="1"/>
    <n v="4"/>
    <n v="13169"/>
    <n v="0"/>
    <n v="52676"/>
    <x v="365"/>
    <x v="0"/>
    <x v="4"/>
    <x v="4"/>
    <x v="3"/>
    <x v="1"/>
    <n v="3"/>
  </r>
  <r>
    <s v="O00367"/>
    <d v="2025-05-11T00:00:00"/>
    <s v="C00367"/>
    <s v="Customer 367"/>
    <x v="7"/>
    <x v="5"/>
    <x v="7"/>
    <n v="2"/>
    <n v="8993"/>
    <n v="0"/>
    <n v="17986"/>
    <x v="366"/>
    <x v="0"/>
    <x v="0"/>
    <x v="0"/>
    <x v="1"/>
    <x v="0"/>
    <n v="5"/>
  </r>
  <r>
    <s v="O00368"/>
    <d v="2025-07-17T00:00:00"/>
    <s v="C00368"/>
    <s v="Customer 368"/>
    <x v="7"/>
    <x v="5"/>
    <x v="7"/>
    <n v="1"/>
    <n v="12506"/>
    <n v="0.1"/>
    <n v="11255.4"/>
    <x v="367"/>
    <x v="1"/>
    <x v="4"/>
    <x v="4"/>
    <x v="3"/>
    <x v="0"/>
    <n v="1"/>
  </r>
  <r>
    <s v="O00369"/>
    <d v="2025-01-15T00:00:00"/>
    <s v="C00369"/>
    <s v="Customer 369"/>
    <x v="0"/>
    <x v="0"/>
    <x v="0"/>
    <n v="3"/>
    <n v="2749"/>
    <n v="0.15"/>
    <n v="7009.95"/>
    <x v="368"/>
    <x v="2"/>
    <x v="4"/>
    <x v="4"/>
    <x v="4"/>
    <x v="0"/>
    <n v="1"/>
  </r>
  <r>
    <s v="O00370"/>
    <d v="2025-09-04T00:00:00"/>
    <s v="C00370"/>
    <s v="Customer 370"/>
    <x v="5"/>
    <x v="3"/>
    <x v="5"/>
    <n v="5"/>
    <n v="4419"/>
    <n v="0.05"/>
    <n v="20990.25"/>
    <x v="369"/>
    <x v="2"/>
    <x v="3"/>
    <x v="3"/>
    <x v="2"/>
    <x v="2"/>
    <n v="3"/>
  </r>
  <r>
    <s v="O00371"/>
    <d v="2025-04-22T00:00:00"/>
    <s v="C00371"/>
    <s v="Customer 371"/>
    <x v="3"/>
    <x v="3"/>
    <x v="3"/>
    <n v="1"/>
    <n v="10101"/>
    <n v="0.2"/>
    <n v="8080.8"/>
    <x v="370"/>
    <x v="3"/>
    <x v="3"/>
    <x v="3"/>
    <x v="4"/>
    <x v="2"/>
    <n v="1"/>
  </r>
  <r>
    <s v="O00372"/>
    <d v="2025-12-28T00:00:00"/>
    <s v="C00372"/>
    <s v="Customer 372"/>
    <x v="7"/>
    <x v="5"/>
    <x v="7"/>
    <n v="5"/>
    <n v="4831"/>
    <n v="0.15"/>
    <n v="20531.75"/>
    <x v="371"/>
    <x v="4"/>
    <x v="0"/>
    <x v="0"/>
    <x v="2"/>
    <x v="0"/>
    <n v="4"/>
  </r>
  <r>
    <s v="O00373"/>
    <d v="2025-02-24T00:00:00"/>
    <s v="C00373"/>
    <s v="Customer 373"/>
    <x v="5"/>
    <x v="3"/>
    <x v="5"/>
    <n v="5"/>
    <n v="6454"/>
    <n v="0.05"/>
    <n v="30656.5"/>
    <x v="372"/>
    <x v="2"/>
    <x v="1"/>
    <x v="1"/>
    <x v="3"/>
    <x v="1"/>
    <n v="4"/>
  </r>
  <r>
    <s v="O00374"/>
    <d v="2025-06-09T00:00:00"/>
    <s v="C00374"/>
    <s v="Customer 374"/>
    <x v="4"/>
    <x v="3"/>
    <x v="4"/>
    <n v="4"/>
    <n v="1435"/>
    <n v="0"/>
    <n v="5740"/>
    <x v="373"/>
    <x v="2"/>
    <x v="3"/>
    <x v="3"/>
    <x v="3"/>
    <x v="1"/>
    <n v="2"/>
  </r>
  <r>
    <s v="O00375"/>
    <d v="2025-06-30T00:00:00"/>
    <s v="C00375"/>
    <s v="Customer 375"/>
    <x v="5"/>
    <x v="3"/>
    <x v="5"/>
    <n v="4"/>
    <n v="6148"/>
    <n v="0.05"/>
    <n v="23362.400000000001"/>
    <x v="374"/>
    <x v="0"/>
    <x v="2"/>
    <x v="2"/>
    <x v="4"/>
    <x v="2"/>
    <n v="2"/>
  </r>
  <r>
    <s v="O00376"/>
    <d v="2025-04-29T00:00:00"/>
    <s v="C00376"/>
    <s v="Customer 376"/>
    <x v="3"/>
    <x v="3"/>
    <x v="3"/>
    <n v="3"/>
    <n v="9385"/>
    <n v="0.05"/>
    <n v="26747.25"/>
    <x v="375"/>
    <x v="2"/>
    <x v="3"/>
    <x v="3"/>
    <x v="3"/>
    <x v="0"/>
    <n v="3"/>
  </r>
  <r>
    <s v="O00377"/>
    <d v="2025-06-23T00:00:00"/>
    <s v="C00377"/>
    <s v="Customer 377"/>
    <x v="0"/>
    <x v="0"/>
    <x v="0"/>
    <n v="4"/>
    <n v="3562"/>
    <n v="0.15"/>
    <n v="12110.8"/>
    <x v="376"/>
    <x v="0"/>
    <x v="0"/>
    <x v="0"/>
    <x v="1"/>
    <x v="2"/>
    <n v="2"/>
  </r>
  <r>
    <s v="O00378"/>
    <d v="2025-05-26T00:00:00"/>
    <s v="C00378"/>
    <s v="Customer 378"/>
    <x v="5"/>
    <x v="3"/>
    <x v="5"/>
    <n v="5"/>
    <n v="11902"/>
    <n v="0.05"/>
    <n v="56534.5"/>
    <x v="377"/>
    <x v="3"/>
    <x v="3"/>
    <x v="3"/>
    <x v="1"/>
    <x v="2"/>
    <n v="3"/>
  </r>
  <r>
    <s v="O00379"/>
    <d v="2025-09-12T00:00:00"/>
    <s v="C00379"/>
    <s v="Customer 379"/>
    <x v="6"/>
    <x v="4"/>
    <x v="6"/>
    <n v="4"/>
    <n v="12187"/>
    <n v="0.1"/>
    <n v="43873.2"/>
    <x v="378"/>
    <x v="4"/>
    <x v="2"/>
    <x v="2"/>
    <x v="0"/>
    <x v="2"/>
    <n v="2"/>
  </r>
  <r>
    <s v="O00380"/>
    <d v="2025-04-02T00:00:00"/>
    <s v="C00380"/>
    <s v="Customer 380"/>
    <x v="4"/>
    <x v="3"/>
    <x v="4"/>
    <n v="5"/>
    <n v="2831"/>
    <n v="0.1"/>
    <n v="12739.5"/>
    <x v="379"/>
    <x v="0"/>
    <x v="5"/>
    <x v="5"/>
    <x v="3"/>
    <x v="3"/>
    <n v="2"/>
  </r>
  <r>
    <s v="O00381"/>
    <d v="2025-01-12T00:00:00"/>
    <s v="C00381"/>
    <s v="Customer 381"/>
    <x v="3"/>
    <x v="3"/>
    <x v="3"/>
    <n v="2"/>
    <n v="12550"/>
    <n v="0.1"/>
    <n v="22590"/>
    <x v="380"/>
    <x v="4"/>
    <x v="0"/>
    <x v="0"/>
    <x v="0"/>
    <x v="3"/>
    <n v="1"/>
  </r>
  <r>
    <s v="O00382"/>
    <d v="2025-06-10T00:00:00"/>
    <s v="C00382"/>
    <s v="Customer 382"/>
    <x v="6"/>
    <x v="4"/>
    <x v="6"/>
    <n v="4"/>
    <n v="11245"/>
    <n v="0.1"/>
    <n v="40482"/>
    <x v="381"/>
    <x v="1"/>
    <x v="4"/>
    <x v="4"/>
    <x v="3"/>
    <x v="3"/>
    <n v="5"/>
  </r>
  <r>
    <s v="O00383"/>
    <d v="2025-07-15T00:00:00"/>
    <s v="C00383"/>
    <s v="Customer 383"/>
    <x v="4"/>
    <x v="3"/>
    <x v="4"/>
    <n v="5"/>
    <n v="5175"/>
    <n v="0.15"/>
    <n v="21993.75"/>
    <x v="382"/>
    <x v="3"/>
    <x v="5"/>
    <x v="5"/>
    <x v="1"/>
    <x v="1"/>
    <n v="1"/>
  </r>
  <r>
    <s v="O00384"/>
    <d v="2025-01-10T00:00:00"/>
    <s v="C00384"/>
    <s v="Customer 384"/>
    <x v="5"/>
    <x v="3"/>
    <x v="5"/>
    <n v="2"/>
    <n v="7848"/>
    <n v="0"/>
    <n v="15696"/>
    <x v="383"/>
    <x v="4"/>
    <x v="4"/>
    <x v="4"/>
    <x v="2"/>
    <x v="1"/>
    <n v="3"/>
  </r>
  <r>
    <s v="O00385"/>
    <d v="2025-08-31T00:00:00"/>
    <s v="C00385"/>
    <s v="Customer 385"/>
    <x v="5"/>
    <x v="3"/>
    <x v="5"/>
    <n v="3"/>
    <n v="14247"/>
    <n v="0.2"/>
    <n v="34192.800000000003"/>
    <x v="384"/>
    <x v="0"/>
    <x v="2"/>
    <x v="2"/>
    <x v="0"/>
    <x v="3"/>
    <n v="1"/>
  </r>
  <r>
    <s v="O00386"/>
    <d v="2025-06-28T00:00:00"/>
    <s v="C00386"/>
    <s v="Customer 386"/>
    <x v="2"/>
    <x v="2"/>
    <x v="2"/>
    <n v="5"/>
    <n v="14250"/>
    <n v="0.1"/>
    <n v="64125"/>
    <x v="385"/>
    <x v="1"/>
    <x v="4"/>
    <x v="4"/>
    <x v="1"/>
    <x v="0"/>
    <n v="2"/>
  </r>
  <r>
    <s v="O00387"/>
    <d v="2025-11-07T00:00:00"/>
    <s v="C00387"/>
    <s v="Customer 387"/>
    <x v="1"/>
    <x v="1"/>
    <x v="1"/>
    <n v="5"/>
    <n v="7885"/>
    <n v="0"/>
    <n v="39425"/>
    <x v="386"/>
    <x v="2"/>
    <x v="0"/>
    <x v="0"/>
    <x v="0"/>
    <x v="3"/>
    <n v="3"/>
  </r>
  <r>
    <s v="O00388"/>
    <d v="2025-08-11T00:00:00"/>
    <s v="C00388"/>
    <s v="Customer 388"/>
    <x v="4"/>
    <x v="3"/>
    <x v="4"/>
    <n v="4"/>
    <n v="1933"/>
    <n v="0"/>
    <n v="7732"/>
    <x v="387"/>
    <x v="0"/>
    <x v="0"/>
    <x v="0"/>
    <x v="3"/>
    <x v="2"/>
    <n v="1"/>
  </r>
  <r>
    <s v="O00389"/>
    <d v="2025-05-04T00:00:00"/>
    <s v="C00389"/>
    <s v="Customer 389"/>
    <x v="6"/>
    <x v="4"/>
    <x v="6"/>
    <n v="4"/>
    <n v="2169"/>
    <n v="0.15"/>
    <n v="7374.6"/>
    <x v="388"/>
    <x v="1"/>
    <x v="3"/>
    <x v="3"/>
    <x v="4"/>
    <x v="2"/>
    <n v="3"/>
  </r>
  <r>
    <s v="O00390"/>
    <d v="2025-08-12T00:00:00"/>
    <s v="C00390"/>
    <s v="Customer 390"/>
    <x v="0"/>
    <x v="0"/>
    <x v="0"/>
    <n v="5"/>
    <n v="9751"/>
    <n v="0"/>
    <n v="48755"/>
    <x v="389"/>
    <x v="4"/>
    <x v="5"/>
    <x v="5"/>
    <x v="2"/>
    <x v="0"/>
    <n v="5"/>
  </r>
  <r>
    <s v="O00391"/>
    <d v="2025-10-16T00:00:00"/>
    <s v="C00391"/>
    <s v="Customer 391"/>
    <x v="4"/>
    <x v="3"/>
    <x v="4"/>
    <n v="5"/>
    <n v="3102"/>
    <n v="0"/>
    <n v="15510"/>
    <x v="390"/>
    <x v="3"/>
    <x v="4"/>
    <x v="4"/>
    <x v="0"/>
    <x v="1"/>
    <n v="3"/>
  </r>
  <r>
    <s v="O00392"/>
    <d v="2025-01-10T00:00:00"/>
    <s v="C00392"/>
    <s v="Customer 392"/>
    <x v="4"/>
    <x v="3"/>
    <x v="4"/>
    <n v="2"/>
    <n v="11101"/>
    <n v="0"/>
    <n v="22202"/>
    <x v="391"/>
    <x v="4"/>
    <x v="0"/>
    <x v="0"/>
    <x v="2"/>
    <x v="0"/>
    <n v="1"/>
  </r>
  <r>
    <s v="O00393"/>
    <d v="2025-05-03T00:00:00"/>
    <s v="C00393"/>
    <s v="Customer 393"/>
    <x v="2"/>
    <x v="2"/>
    <x v="2"/>
    <n v="3"/>
    <n v="14801"/>
    <n v="0.2"/>
    <n v="35522.400000000001"/>
    <x v="392"/>
    <x v="2"/>
    <x v="3"/>
    <x v="3"/>
    <x v="2"/>
    <x v="0"/>
    <n v="1"/>
  </r>
  <r>
    <s v="O00394"/>
    <d v="2025-12-09T00:00:00"/>
    <s v="C00394"/>
    <s v="Customer 394"/>
    <x v="2"/>
    <x v="2"/>
    <x v="2"/>
    <n v="3"/>
    <n v="2695"/>
    <n v="0.1"/>
    <n v="7276.5"/>
    <x v="393"/>
    <x v="3"/>
    <x v="2"/>
    <x v="2"/>
    <x v="1"/>
    <x v="2"/>
    <n v="2"/>
  </r>
  <r>
    <s v="O00395"/>
    <d v="2025-01-02T00:00:00"/>
    <s v="C00395"/>
    <s v="Customer 395"/>
    <x v="1"/>
    <x v="1"/>
    <x v="1"/>
    <n v="2"/>
    <n v="11052"/>
    <n v="0.1"/>
    <n v="19893.599999999999"/>
    <x v="394"/>
    <x v="1"/>
    <x v="1"/>
    <x v="1"/>
    <x v="2"/>
    <x v="3"/>
    <n v="3"/>
  </r>
  <r>
    <s v="O00396"/>
    <d v="2025-06-28T00:00:00"/>
    <s v="C00396"/>
    <s v="Customer 396"/>
    <x v="1"/>
    <x v="1"/>
    <x v="1"/>
    <n v="5"/>
    <n v="270"/>
    <n v="0.2"/>
    <n v="1080"/>
    <x v="395"/>
    <x v="4"/>
    <x v="2"/>
    <x v="2"/>
    <x v="3"/>
    <x v="1"/>
    <n v="1"/>
  </r>
  <r>
    <s v="O00397"/>
    <d v="2025-07-10T00:00:00"/>
    <s v="C00397"/>
    <s v="Customer 397"/>
    <x v="2"/>
    <x v="2"/>
    <x v="2"/>
    <n v="5"/>
    <n v="221"/>
    <n v="0"/>
    <n v="1105"/>
    <x v="396"/>
    <x v="0"/>
    <x v="0"/>
    <x v="0"/>
    <x v="1"/>
    <x v="1"/>
    <n v="2"/>
  </r>
  <r>
    <s v="O00398"/>
    <d v="2025-05-27T00:00:00"/>
    <s v="C00398"/>
    <s v="Customer 398"/>
    <x v="4"/>
    <x v="3"/>
    <x v="4"/>
    <n v="2"/>
    <n v="7670"/>
    <n v="0.1"/>
    <n v="13806"/>
    <x v="397"/>
    <x v="4"/>
    <x v="2"/>
    <x v="2"/>
    <x v="4"/>
    <x v="1"/>
    <n v="2"/>
  </r>
  <r>
    <s v="O00399"/>
    <d v="2025-10-06T00:00:00"/>
    <s v="C00399"/>
    <s v="Customer 399"/>
    <x v="7"/>
    <x v="5"/>
    <x v="7"/>
    <n v="1"/>
    <n v="13526"/>
    <n v="0.05"/>
    <n v="12849.7"/>
    <x v="398"/>
    <x v="0"/>
    <x v="0"/>
    <x v="0"/>
    <x v="0"/>
    <x v="1"/>
    <n v="1"/>
  </r>
  <r>
    <s v="O00400"/>
    <d v="2025-05-20T00:00:00"/>
    <s v="C00400"/>
    <s v="Customer 400"/>
    <x v="1"/>
    <x v="1"/>
    <x v="1"/>
    <n v="1"/>
    <n v="2520"/>
    <n v="0.2"/>
    <n v="2016"/>
    <x v="399"/>
    <x v="1"/>
    <x v="4"/>
    <x v="4"/>
    <x v="4"/>
    <x v="2"/>
    <n v="5"/>
  </r>
  <r>
    <s v="O00401"/>
    <d v="2025-10-28T00:00:00"/>
    <s v="C00401"/>
    <s v="Customer 401"/>
    <x v="1"/>
    <x v="1"/>
    <x v="1"/>
    <n v="2"/>
    <n v="12838"/>
    <n v="0.05"/>
    <n v="24392.2"/>
    <x v="400"/>
    <x v="3"/>
    <x v="1"/>
    <x v="1"/>
    <x v="1"/>
    <x v="3"/>
    <n v="3"/>
  </r>
  <r>
    <s v="O00402"/>
    <d v="2025-08-25T00:00:00"/>
    <s v="C00402"/>
    <s v="Customer 402"/>
    <x v="7"/>
    <x v="5"/>
    <x v="7"/>
    <n v="4"/>
    <n v="7205"/>
    <n v="0.2"/>
    <n v="23056"/>
    <x v="401"/>
    <x v="2"/>
    <x v="4"/>
    <x v="4"/>
    <x v="1"/>
    <x v="1"/>
    <n v="3"/>
  </r>
  <r>
    <s v="O00403"/>
    <d v="2025-09-30T00:00:00"/>
    <s v="C00403"/>
    <s v="Customer 403"/>
    <x v="4"/>
    <x v="3"/>
    <x v="4"/>
    <n v="5"/>
    <n v="12488"/>
    <n v="0"/>
    <n v="62440"/>
    <x v="402"/>
    <x v="2"/>
    <x v="3"/>
    <x v="3"/>
    <x v="4"/>
    <x v="3"/>
    <n v="4"/>
  </r>
  <r>
    <s v="O00404"/>
    <d v="2025-03-08T00:00:00"/>
    <s v="C00404"/>
    <s v="Customer 404"/>
    <x v="4"/>
    <x v="3"/>
    <x v="4"/>
    <n v="2"/>
    <n v="12481"/>
    <n v="0.15"/>
    <n v="21217.7"/>
    <x v="403"/>
    <x v="1"/>
    <x v="4"/>
    <x v="4"/>
    <x v="4"/>
    <x v="3"/>
    <n v="2"/>
  </r>
  <r>
    <s v="O00405"/>
    <d v="2025-11-13T00:00:00"/>
    <s v="C00405"/>
    <s v="Customer 405"/>
    <x v="2"/>
    <x v="2"/>
    <x v="2"/>
    <n v="5"/>
    <n v="12950"/>
    <n v="0.2"/>
    <n v="51800"/>
    <x v="404"/>
    <x v="0"/>
    <x v="5"/>
    <x v="5"/>
    <x v="1"/>
    <x v="0"/>
    <n v="1"/>
  </r>
  <r>
    <s v="O00406"/>
    <d v="2025-07-13T00:00:00"/>
    <s v="C00406"/>
    <s v="Customer 406"/>
    <x v="3"/>
    <x v="3"/>
    <x v="3"/>
    <n v="2"/>
    <n v="2828"/>
    <n v="0.1"/>
    <n v="5090.3999999999996"/>
    <x v="405"/>
    <x v="2"/>
    <x v="3"/>
    <x v="3"/>
    <x v="1"/>
    <x v="1"/>
    <n v="3"/>
  </r>
  <r>
    <s v="O00407"/>
    <d v="2025-01-18T00:00:00"/>
    <s v="C00407"/>
    <s v="Customer 407"/>
    <x v="0"/>
    <x v="0"/>
    <x v="0"/>
    <n v="1"/>
    <n v="13424"/>
    <n v="0"/>
    <n v="13424"/>
    <x v="406"/>
    <x v="4"/>
    <x v="5"/>
    <x v="5"/>
    <x v="4"/>
    <x v="3"/>
    <n v="4"/>
  </r>
  <r>
    <s v="O00408"/>
    <d v="2025-03-08T00:00:00"/>
    <s v="C00408"/>
    <s v="Customer 408"/>
    <x v="5"/>
    <x v="3"/>
    <x v="5"/>
    <n v="3"/>
    <n v="13397"/>
    <n v="0"/>
    <n v="40191"/>
    <x v="407"/>
    <x v="1"/>
    <x v="4"/>
    <x v="4"/>
    <x v="4"/>
    <x v="0"/>
    <n v="3"/>
  </r>
  <r>
    <s v="O00409"/>
    <d v="2025-02-10T00:00:00"/>
    <s v="C00409"/>
    <s v="Customer 409"/>
    <x v="0"/>
    <x v="0"/>
    <x v="0"/>
    <n v="2"/>
    <n v="4009"/>
    <n v="0.15"/>
    <n v="6815.3"/>
    <x v="408"/>
    <x v="4"/>
    <x v="1"/>
    <x v="1"/>
    <x v="1"/>
    <x v="3"/>
    <n v="1"/>
  </r>
  <r>
    <s v="O00410"/>
    <d v="2025-02-13T00:00:00"/>
    <s v="C00410"/>
    <s v="Customer 410"/>
    <x v="5"/>
    <x v="3"/>
    <x v="5"/>
    <n v="4"/>
    <n v="7361"/>
    <n v="0.1"/>
    <n v="26499.599999999999"/>
    <x v="409"/>
    <x v="0"/>
    <x v="1"/>
    <x v="1"/>
    <x v="0"/>
    <x v="2"/>
    <n v="1"/>
  </r>
  <r>
    <s v="O00411"/>
    <d v="2025-08-10T00:00:00"/>
    <s v="C00411"/>
    <s v="Customer 411"/>
    <x v="3"/>
    <x v="3"/>
    <x v="3"/>
    <n v="4"/>
    <n v="5440"/>
    <n v="0.05"/>
    <n v="20672"/>
    <x v="410"/>
    <x v="1"/>
    <x v="0"/>
    <x v="0"/>
    <x v="2"/>
    <x v="3"/>
    <n v="4"/>
  </r>
  <r>
    <s v="O00412"/>
    <d v="2025-10-23T00:00:00"/>
    <s v="C00412"/>
    <s v="Customer 412"/>
    <x v="3"/>
    <x v="3"/>
    <x v="3"/>
    <n v="1"/>
    <n v="2979"/>
    <n v="0.15"/>
    <n v="2532.15"/>
    <x v="411"/>
    <x v="4"/>
    <x v="4"/>
    <x v="4"/>
    <x v="4"/>
    <x v="3"/>
    <n v="1"/>
  </r>
  <r>
    <s v="O00413"/>
    <d v="2025-10-02T00:00:00"/>
    <s v="C00413"/>
    <s v="Customer 413"/>
    <x v="6"/>
    <x v="4"/>
    <x v="6"/>
    <n v="3"/>
    <n v="10033"/>
    <n v="0.05"/>
    <n v="28594.05"/>
    <x v="412"/>
    <x v="0"/>
    <x v="0"/>
    <x v="0"/>
    <x v="2"/>
    <x v="1"/>
    <n v="4"/>
  </r>
  <r>
    <s v="O00414"/>
    <d v="2025-01-17T00:00:00"/>
    <s v="C00414"/>
    <s v="Customer 414"/>
    <x v="4"/>
    <x v="3"/>
    <x v="4"/>
    <n v="3"/>
    <n v="6306"/>
    <n v="0.05"/>
    <n v="17972.099999999999"/>
    <x v="413"/>
    <x v="3"/>
    <x v="4"/>
    <x v="4"/>
    <x v="4"/>
    <x v="2"/>
    <n v="3"/>
  </r>
  <r>
    <s v="O00415"/>
    <d v="2025-04-09T00:00:00"/>
    <s v="C00415"/>
    <s v="Customer 415"/>
    <x v="2"/>
    <x v="2"/>
    <x v="2"/>
    <n v="4"/>
    <n v="1560"/>
    <n v="0.05"/>
    <n v="5928"/>
    <x v="414"/>
    <x v="1"/>
    <x v="5"/>
    <x v="5"/>
    <x v="2"/>
    <x v="2"/>
    <n v="1"/>
  </r>
  <r>
    <s v="O00416"/>
    <d v="2025-04-15T00:00:00"/>
    <s v="C00416"/>
    <s v="Customer 416"/>
    <x v="5"/>
    <x v="3"/>
    <x v="5"/>
    <n v="2"/>
    <n v="14511"/>
    <n v="0.1"/>
    <n v="26119.8"/>
    <x v="415"/>
    <x v="1"/>
    <x v="1"/>
    <x v="1"/>
    <x v="0"/>
    <x v="3"/>
    <n v="3"/>
  </r>
  <r>
    <s v="O00417"/>
    <d v="2025-06-14T00:00:00"/>
    <s v="C00417"/>
    <s v="Customer 417"/>
    <x v="0"/>
    <x v="0"/>
    <x v="0"/>
    <n v="1"/>
    <n v="14441"/>
    <n v="0.1"/>
    <n v="12996.9"/>
    <x v="416"/>
    <x v="1"/>
    <x v="2"/>
    <x v="2"/>
    <x v="3"/>
    <x v="3"/>
    <n v="3"/>
  </r>
  <r>
    <s v="O00418"/>
    <d v="2025-10-12T00:00:00"/>
    <s v="C00418"/>
    <s v="Customer 418"/>
    <x v="4"/>
    <x v="3"/>
    <x v="4"/>
    <n v="2"/>
    <n v="1728"/>
    <n v="0.1"/>
    <n v="3110.4"/>
    <x v="417"/>
    <x v="2"/>
    <x v="4"/>
    <x v="4"/>
    <x v="1"/>
    <x v="2"/>
    <n v="2"/>
  </r>
  <r>
    <s v="O00419"/>
    <d v="2025-02-17T00:00:00"/>
    <s v="C00419"/>
    <s v="Customer 419"/>
    <x v="4"/>
    <x v="3"/>
    <x v="4"/>
    <n v="5"/>
    <n v="1863"/>
    <n v="0.15"/>
    <n v="7917.75"/>
    <x v="418"/>
    <x v="2"/>
    <x v="4"/>
    <x v="4"/>
    <x v="0"/>
    <x v="3"/>
    <n v="5"/>
  </r>
  <r>
    <s v="O00420"/>
    <d v="2025-11-09T00:00:00"/>
    <s v="C00420"/>
    <s v="Customer 420"/>
    <x v="7"/>
    <x v="5"/>
    <x v="7"/>
    <n v="1"/>
    <n v="12801"/>
    <n v="0.2"/>
    <n v="10240.799999999999"/>
    <x v="419"/>
    <x v="4"/>
    <x v="1"/>
    <x v="1"/>
    <x v="1"/>
    <x v="3"/>
    <n v="3"/>
  </r>
  <r>
    <s v="O00421"/>
    <d v="2025-03-14T00:00:00"/>
    <s v="C00421"/>
    <s v="Customer 421"/>
    <x v="4"/>
    <x v="3"/>
    <x v="4"/>
    <n v="3"/>
    <n v="12847"/>
    <n v="0.1"/>
    <n v="34686.9"/>
    <x v="420"/>
    <x v="0"/>
    <x v="0"/>
    <x v="0"/>
    <x v="4"/>
    <x v="2"/>
    <n v="3"/>
  </r>
  <r>
    <s v="O00422"/>
    <d v="2025-05-18T00:00:00"/>
    <s v="C00422"/>
    <s v="Customer 422"/>
    <x v="5"/>
    <x v="3"/>
    <x v="5"/>
    <n v="2"/>
    <n v="11233"/>
    <n v="0.05"/>
    <n v="21342.7"/>
    <x v="421"/>
    <x v="1"/>
    <x v="3"/>
    <x v="3"/>
    <x v="1"/>
    <x v="2"/>
    <n v="4"/>
  </r>
  <r>
    <s v="O00423"/>
    <d v="2025-11-18T00:00:00"/>
    <s v="C00423"/>
    <s v="Customer 423"/>
    <x v="4"/>
    <x v="3"/>
    <x v="4"/>
    <n v="1"/>
    <n v="4058"/>
    <n v="0"/>
    <n v="4058"/>
    <x v="422"/>
    <x v="4"/>
    <x v="4"/>
    <x v="4"/>
    <x v="4"/>
    <x v="2"/>
    <n v="3"/>
  </r>
  <r>
    <s v="O00424"/>
    <d v="2025-04-14T00:00:00"/>
    <s v="C00424"/>
    <s v="Customer 424"/>
    <x v="7"/>
    <x v="5"/>
    <x v="7"/>
    <n v="4"/>
    <n v="4573"/>
    <n v="0.05"/>
    <n v="17377.400000000001"/>
    <x v="423"/>
    <x v="0"/>
    <x v="0"/>
    <x v="0"/>
    <x v="0"/>
    <x v="2"/>
    <n v="1"/>
  </r>
  <r>
    <s v="O00425"/>
    <d v="2025-04-25T00:00:00"/>
    <s v="C00425"/>
    <s v="Customer 425"/>
    <x v="2"/>
    <x v="2"/>
    <x v="2"/>
    <n v="4"/>
    <n v="9723"/>
    <n v="0.15"/>
    <n v="33058.199999999997"/>
    <x v="424"/>
    <x v="2"/>
    <x v="3"/>
    <x v="3"/>
    <x v="0"/>
    <x v="1"/>
    <n v="2"/>
  </r>
  <r>
    <s v="O00426"/>
    <d v="2025-12-13T00:00:00"/>
    <s v="C00426"/>
    <s v="Customer 426"/>
    <x v="5"/>
    <x v="3"/>
    <x v="5"/>
    <n v="1"/>
    <n v="7819"/>
    <n v="0.05"/>
    <n v="7428.05"/>
    <x v="425"/>
    <x v="3"/>
    <x v="5"/>
    <x v="5"/>
    <x v="3"/>
    <x v="0"/>
    <n v="5"/>
  </r>
  <r>
    <s v="O00427"/>
    <d v="2025-03-23T00:00:00"/>
    <s v="C00427"/>
    <s v="Customer 427"/>
    <x v="2"/>
    <x v="2"/>
    <x v="2"/>
    <n v="2"/>
    <n v="7245"/>
    <n v="0.1"/>
    <n v="13041"/>
    <x v="426"/>
    <x v="1"/>
    <x v="2"/>
    <x v="2"/>
    <x v="4"/>
    <x v="0"/>
    <n v="5"/>
  </r>
  <r>
    <s v="O00428"/>
    <d v="2025-05-24T00:00:00"/>
    <s v="C00428"/>
    <s v="Customer 428"/>
    <x v="2"/>
    <x v="2"/>
    <x v="2"/>
    <n v="2"/>
    <n v="13679"/>
    <n v="0.05"/>
    <n v="25990.1"/>
    <x v="427"/>
    <x v="3"/>
    <x v="2"/>
    <x v="2"/>
    <x v="0"/>
    <x v="2"/>
    <n v="5"/>
  </r>
  <r>
    <s v="O00429"/>
    <d v="2025-08-04T00:00:00"/>
    <s v="C00429"/>
    <s v="Customer 429"/>
    <x v="7"/>
    <x v="5"/>
    <x v="7"/>
    <n v="1"/>
    <n v="4641"/>
    <n v="0.2"/>
    <n v="3712.8"/>
    <x v="428"/>
    <x v="3"/>
    <x v="4"/>
    <x v="4"/>
    <x v="2"/>
    <x v="2"/>
    <n v="1"/>
  </r>
  <r>
    <s v="O00430"/>
    <d v="2025-02-22T00:00:00"/>
    <s v="C00430"/>
    <s v="Customer 430"/>
    <x v="6"/>
    <x v="4"/>
    <x v="6"/>
    <n v="5"/>
    <n v="2176"/>
    <n v="0.2"/>
    <n v="8704"/>
    <x v="429"/>
    <x v="1"/>
    <x v="3"/>
    <x v="3"/>
    <x v="3"/>
    <x v="0"/>
    <n v="4"/>
  </r>
  <r>
    <s v="O00431"/>
    <d v="2025-09-21T00:00:00"/>
    <s v="C00431"/>
    <s v="Customer 431"/>
    <x v="7"/>
    <x v="5"/>
    <x v="7"/>
    <n v="2"/>
    <n v="1700"/>
    <n v="0.15"/>
    <n v="2890"/>
    <x v="430"/>
    <x v="1"/>
    <x v="1"/>
    <x v="1"/>
    <x v="0"/>
    <x v="3"/>
    <n v="2"/>
  </r>
  <r>
    <s v="O00432"/>
    <d v="2025-10-27T00:00:00"/>
    <s v="C00432"/>
    <s v="Customer 432"/>
    <x v="7"/>
    <x v="5"/>
    <x v="7"/>
    <n v="3"/>
    <n v="2953"/>
    <n v="0.1"/>
    <n v="7973.1"/>
    <x v="431"/>
    <x v="2"/>
    <x v="1"/>
    <x v="1"/>
    <x v="3"/>
    <x v="3"/>
    <n v="1"/>
  </r>
  <r>
    <s v="O00433"/>
    <d v="2025-08-18T00:00:00"/>
    <s v="C00433"/>
    <s v="Customer 433"/>
    <x v="7"/>
    <x v="5"/>
    <x v="7"/>
    <n v="4"/>
    <n v="2782"/>
    <n v="0.1"/>
    <n v="10015.200000000001"/>
    <x v="432"/>
    <x v="2"/>
    <x v="3"/>
    <x v="3"/>
    <x v="4"/>
    <x v="3"/>
    <n v="2"/>
  </r>
  <r>
    <s v="O00434"/>
    <d v="2025-01-02T00:00:00"/>
    <s v="C00434"/>
    <s v="Customer 434"/>
    <x v="2"/>
    <x v="2"/>
    <x v="2"/>
    <n v="4"/>
    <n v="3915"/>
    <n v="0.2"/>
    <n v="12528"/>
    <x v="433"/>
    <x v="1"/>
    <x v="0"/>
    <x v="0"/>
    <x v="1"/>
    <x v="1"/>
    <n v="2"/>
  </r>
  <r>
    <s v="O00435"/>
    <d v="2025-08-18T00:00:00"/>
    <s v="C00435"/>
    <s v="Customer 435"/>
    <x v="3"/>
    <x v="3"/>
    <x v="3"/>
    <n v="1"/>
    <n v="10034"/>
    <n v="0"/>
    <n v="10034"/>
    <x v="434"/>
    <x v="0"/>
    <x v="2"/>
    <x v="2"/>
    <x v="3"/>
    <x v="1"/>
    <n v="2"/>
  </r>
  <r>
    <s v="O00436"/>
    <d v="2025-02-01T00:00:00"/>
    <s v="C00436"/>
    <s v="Customer 436"/>
    <x v="4"/>
    <x v="3"/>
    <x v="4"/>
    <n v="4"/>
    <n v="313"/>
    <n v="0.15"/>
    <n v="1064.2"/>
    <x v="435"/>
    <x v="4"/>
    <x v="5"/>
    <x v="5"/>
    <x v="4"/>
    <x v="2"/>
    <n v="3"/>
  </r>
  <r>
    <s v="O00437"/>
    <d v="2025-01-27T00:00:00"/>
    <s v="C00437"/>
    <s v="Customer 437"/>
    <x v="5"/>
    <x v="3"/>
    <x v="5"/>
    <n v="1"/>
    <n v="3565"/>
    <n v="0"/>
    <n v="3565"/>
    <x v="436"/>
    <x v="2"/>
    <x v="2"/>
    <x v="2"/>
    <x v="1"/>
    <x v="1"/>
    <n v="2"/>
  </r>
  <r>
    <s v="O00438"/>
    <d v="2025-11-09T00:00:00"/>
    <s v="C00438"/>
    <s v="Customer 438"/>
    <x v="5"/>
    <x v="3"/>
    <x v="5"/>
    <n v="3"/>
    <n v="9244"/>
    <n v="0.15"/>
    <n v="23572.2"/>
    <x v="437"/>
    <x v="1"/>
    <x v="5"/>
    <x v="5"/>
    <x v="1"/>
    <x v="1"/>
    <n v="4"/>
  </r>
  <r>
    <s v="O00439"/>
    <d v="2025-03-26T00:00:00"/>
    <s v="C00439"/>
    <s v="Customer 439"/>
    <x v="1"/>
    <x v="1"/>
    <x v="1"/>
    <n v="3"/>
    <n v="4794"/>
    <n v="0.15"/>
    <n v="12224.7"/>
    <x v="438"/>
    <x v="1"/>
    <x v="0"/>
    <x v="0"/>
    <x v="3"/>
    <x v="0"/>
    <n v="1"/>
  </r>
  <r>
    <s v="O00440"/>
    <d v="2025-11-03T00:00:00"/>
    <s v="C00440"/>
    <s v="Customer 440"/>
    <x v="3"/>
    <x v="3"/>
    <x v="3"/>
    <n v="2"/>
    <n v="7407"/>
    <n v="0.15"/>
    <n v="12591.9"/>
    <x v="439"/>
    <x v="0"/>
    <x v="4"/>
    <x v="4"/>
    <x v="2"/>
    <x v="0"/>
    <n v="2"/>
  </r>
  <r>
    <s v="O00441"/>
    <d v="2025-07-04T00:00:00"/>
    <s v="C00441"/>
    <s v="Customer 441"/>
    <x v="4"/>
    <x v="3"/>
    <x v="4"/>
    <n v="4"/>
    <n v="7306"/>
    <n v="0.1"/>
    <n v="26301.599999999999"/>
    <x v="440"/>
    <x v="0"/>
    <x v="4"/>
    <x v="4"/>
    <x v="3"/>
    <x v="2"/>
    <n v="2"/>
  </r>
  <r>
    <s v="O00442"/>
    <d v="2025-07-09T00:00:00"/>
    <s v="C00442"/>
    <s v="Customer 442"/>
    <x v="5"/>
    <x v="3"/>
    <x v="5"/>
    <n v="3"/>
    <n v="14306"/>
    <n v="0.15"/>
    <n v="36480.300000000003"/>
    <x v="441"/>
    <x v="1"/>
    <x v="1"/>
    <x v="1"/>
    <x v="2"/>
    <x v="0"/>
    <n v="4"/>
  </r>
  <r>
    <s v="O00443"/>
    <d v="2025-07-01T00:00:00"/>
    <s v="C00443"/>
    <s v="Customer 443"/>
    <x v="6"/>
    <x v="4"/>
    <x v="6"/>
    <n v="1"/>
    <n v="384"/>
    <n v="0"/>
    <n v="384"/>
    <x v="442"/>
    <x v="0"/>
    <x v="2"/>
    <x v="2"/>
    <x v="4"/>
    <x v="3"/>
    <n v="1"/>
  </r>
  <r>
    <s v="O00444"/>
    <d v="2025-09-30T00:00:00"/>
    <s v="C00444"/>
    <s v="Customer 444"/>
    <x v="2"/>
    <x v="2"/>
    <x v="2"/>
    <n v="4"/>
    <n v="1379"/>
    <n v="0.2"/>
    <n v="4412.8"/>
    <x v="443"/>
    <x v="4"/>
    <x v="1"/>
    <x v="1"/>
    <x v="0"/>
    <x v="2"/>
    <n v="2"/>
  </r>
  <r>
    <s v="O00445"/>
    <d v="2025-04-24T00:00:00"/>
    <s v="C00445"/>
    <s v="Customer 445"/>
    <x v="2"/>
    <x v="2"/>
    <x v="2"/>
    <n v="3"/>
    <n v="11733"/>
    <n v="0.1"/>
    <n v="31679.1"/>
    <x v="444"/>
    <x v="1"/>
    <x v="2"/>
    <x v="2"/>
    <x v="3"/>
    <x v="3"/>
    <n v="2"/>
  </r>
  <r>
    <s v="O00446"/>
    <d v="2025-02-09T00:00:00"/>
    <s v="C00446"/>
    <s v="Customer 446"/>
    <x v="3"/>
    <x v="3"/>
    <x v="3"/>
    <n v="3"/>
    <n v="2439"/>
    <n v="0"/>
    <n v="7317"/>
    <x v="445"/>
    <x v="3"/>
    <x v="1"/>
    <x v="1"/>
    <x v="0"/>
    <x v="0"/>
    <n v="1"/>
  </r>
  <r>
    <s v="O00447"/>
    <d v="2025-12-05T00:00:00"/>
    <s v="C00447"/>
    <s v="Customer 447"/>
    <x v="6"/>
    <x v="4"/>
    <x v="6"/>
    <n v="2"/>
    <n v="1859"/>
    <n v="0.2"/>
    <n v="2974.4"/>
    <x v="446"/>
    <x v="2"/>
    <x v="2"/>
    <x v="2"/>
    <x v="4"/>
    <x v="3"/>
    <n v="1"/>
  </r>
  <r>
    <s v="O00448"/>
    <d v="2025-11-10T00:00:00"/>
    <s v="C00448"/>
    <s v="Customer 448"/>
    <x v="2"/>
    <x v="2"/>
    <x v="2"/>
    <n v="3"/>
    <n v="8811"/>
    <n v="0.2"/>
    <n v="21146.400000000001"/>
    <x v="447"/>
    <x v="3"/>
    <x v="0"/>
    <x v="0"/>
    <x v="4"/>
    <x v="2"/>
    <n v="1"/>
  </r>
  <r>
    <s v="O00449"/>
    <d v="2025-08-28T00:00:00"/>
    <s v="C00449"/>
    <s v="Customer 449"/>
    <x v="7"/>
    <x v="5"/>
    <x v="7"/>
    <n v="1"/>
    <n v="13330"/>
    <n v="0.15"/>
    <n v="11330.5"/>
    <x v="448"/>
    <x v="2"/>
    <x v="2"/>
    <x v="2"/>
    <x v="3"/>
    <x v="3"/>
    <n v="2"/>
  </r>
  <r>
    <s v="O00450"/>
    <d v="2025-05-02T00:00:00"/>
    <s v="C00450"/>
    <s v="Customer 450"/>
    <x v="2"/>
    <x v="2"/>
    <x v="2"/>
    <n v="4"/>
    <n v="12835"/>
    <n v="0"/>
    <n v="51340"/>
    <x v="449"/>
    <x v="4"/>
    <x v="3"/>
    <x v="3"/>
    <x v="0"/>
    <x v="3"/>
    <n v="5"/>
  </r>
  <r>
    <s v="O00451"/>
    <d v="2025-07-28T00:00:00"/>
    <s v="C00451"/>
    <s v="Customer 451"/>
    <x v="4"/>
    <x v="3"/>
    <x v="4"/>
    <n v="5"/>
    <n v="2116"/>
    <n v="0.2"/>
    <n v="8464"/>
    <x v="450"/>
    <x v="1"/>
    <x v="4"/>
    <x v="4"/>
    <x v="4"/>
    <x v="0"/>
    <n v="4"/>
  </r>
  <r>
    <s v="O00452"/>
    <d v="2025-09-19T00:00:00"/>
    <s v="C00452"/>
    <s v="Customer 452"/>
    <x v="1"/>
    <x v="1"/>
    <x v="1"/>
    <n v="4"/>
    <n v="6807"/>
    <n v="0.15"/>
    <n v="23143.8"/>
    <x v="451"/>
    <x v="2"/>
    <x v="0"/>
    <x v="0"/>
    <x v="3"/>
    <x v="3"/>
    <n v="2"/>
  </r>
  <r>
    <s v="O00453"/>
    <d v="2025-12-14T00:00:00"/>
    <s v="C00453"/>
    <s v="Customer 453"/>
    <x v="4"/>
    <x v="3"/>
    <x v="4"/>
    <n v="1"/>
    <n v="3614"/>
    <n v="0.2"/>
    <n v="2891.2"/>
    <x v="452"/>
    <x v="3"/>
    <x v="0"/>
    <x v="0"/>
    <x v="3"/>
    <x v="2"/>
    <n v="3"/>
  </r>
  <r>
    <s v="O00454"/>
    <d v="2025-08-13T00:00:00"/>
    <s v="C00454"/>
    <s v="Customer 454"/>
    <x v="7"/>
    <x v="5"/>
    <x v="7"/>
    <n v="2"/>
    <n v="11286"/>
    <n v="0.15"/>
    <n v="19186.2"/>
    <x v="453"/>
    <x v="1"/>
    <x v="1"/>
    <x v="1"/>
    <x v="0"/>
    <x v="0"/>
    <n v="1"/>
  </r>
  <r>
    <s v="O00455"/>
    <d v="2025-12-18T00:00:00"/>
    <s v="C00455"/>
    <s v="Customer 455"/>
    <x v="3"/>
    <x v="3"/>
    <x v="3"/>
    <n v="2"/>
    <n v="8793"/>
    <n v="0.15"/>
    <n v="14948.1"/>
    <x v="454"/>
    <x v="0"/>
    <x v="0"/>
    <x v="0"/>
    <x v="0"/>
    <x v="3"/>
    <n v="5"/>
  </r>
  <r>
    <s v="O00456"/>
    <d v="2025-06-20T00:00:00"/>
    <s v="C00456"/>
    <s v="Customer 456"/>
    <x v="1"/>
    <x v="1"/>
    <x v="1"/>
    <n v="3"/>
    <n v="11302"/>
    <n v="0"/>
    <n v="33906"/>
    <x v="455"/>
    <x v="4"/>
    <x v="2"/>
    <x v="2"/>
    <x v="2"/>
    <x v="3"/>
    <n v="1"/>
  </r>
  <r>
    <s v="O00457"/>
    <d v="2025-02-06T00:00:00"/>
    <s v="C00457"/>
    <s v="Customer 457"/>
    <x v="1"/>
    <x v="1"/>
    <x v="1"/>
    <n v="5"/>
    <n v="14729"/>
    <n v="0.1"/>
    <n v="66280.5"/>
    <x v="456"/>
    <x v="0"/>
    <x v="3"/>
    <x v="3"/>
    <x v="2"/>
    <x v="2"/>
    <n v="4"/>
  </r>
  <r>
    <s v="O00458"/>
    <d v="2025-11-17T00:00:00"/>
    <s v="C00458"/>
    <s v="Customer 458"/>
    <x v="3"/>
    <x v="3"/>
    <x v="3"/>
    <n v="2"/>
    <n v="8601"/>
    <n v="0.1"/>
    <n v="15481.8"/>
    <x v="457"/>
    <x v="4"/>
    <x v="4"/>
    <x v="4"/>
    <x v="0"/>
    <x v="2"/>
    <n v="2"/>
  </r>
  <r>
    <s v="O00459"/>
    <d v="2025-06-03T00:00:00"/>
    <s v="C00459"/>
    <s v="Customer 459"/>
    <x v="2"/>
    <x v="2"/>
    <x v="2"/>
    <n v="4"/>
    <n v="12017"/>
    <n v="0.05"/>
    <n v="45664.6"/>
    <x v="458"/>
    <x v="0"/>
    <x v="0"/>
    <x v="0"/>
    <x v="1"/>
    <x v="3"/>
    <n v="1"/>
  </r>
  <r>
    <s v="O00460"/>
    <d v="2025-09-10T00:00:00"/>
    <s v="C00460"/>
    <s v="Customer 460"/>
    <x v="1"/>
    <x v="1"/>
    <x v="1"/>
    <n v="2"/>
    <n v="6284"/>
    <n v="0.2"/>
    <n v="10054.4"/>
    <x v="459"/>
    <x v="2"/>
    <x v="5"/>
    <x v="5"/>
    <x v="3"/>
    <x v="1"/>
    <n v="4"/>
  </r>
  <r>
    <s v="O00461"/>
    <d v="2025-12-21T00:00:00"/>
    <s v="C00461"/>
    <s v="Customer 461"/>
    <x v="7"/>
    <x v="5"/>
    <x v="7"/>
    <n v="1"/>
    <n v="7502"/>
    <n v="0.15"/>
    <n v="6376.7"/>
    <x v="460"/>
    <x v="0"/>
    <x v="2"/>
    <x v="2"/>
    <x v="3"/>
    <x v="2"/>
    <n v="2"/>
  </r>
  <r>
    <s v="O00462"/>
    <d v="2025-02-03T00:00:00"/>
    <s v="C00462"/>
    <s v="Customer 462"/>
    <x v="0"/>
    <x v="0"/>
    <x v="0"/>
    <n v="3"/>
    <n v="924"/>
    <n v="0.05"/>
    <n v="2633.4"/>
    <x v="461"/>
    <x v="3"/>
    <x v="2"/>
    <x v="2"/>
    <x v="3"/>
    <x v="1"/>
    <n v="4"/>
  </r>
  <r>
    <s v="O00463"/>
    <d v="2025-08-18T00:00:00"/>
    <s v="C00463"/>
    <s v="Customer 463"/>
    <x v="1"/>
    <x v="1"/>
    <x v="1"/>
    <n v="2"/>
    <n v="14334"/>
    <n v="0"/>
    <n v="28668"/>
    <x v="462"/>
    <x v="1"/>
    <x v="1"/>
    <x v="1"/>
    <x v="0"/>
    <x v="2"/>
    <n v="3"/>
  </r>
  <r>
    <s v="O00464"/>
    <d v="2025-07-24T00:00:00"/>
    <s v="C00464"/>
    <s v="Customer 464"/>
    <x v="4"/>
    <x v="3"/>
    <x v="4"/>
    <n v="4"/>
    <n v="7157"/>
    <n v="0"/>
    <n v="28628"/>
    <x v="463"/>
    <x v="4"/>
    <x v="2"/>
    <x v="2"/>
    <x v="3"/>
    <x v="1"/>
    <n v="1"/>
  </r>
  <r>
    <s v="O00465"/>
    <d v="2025-03-27T00:00:00"/>
    <s v="C00465"/>
    <s v="Customer 465"/>
    <x v="7"/>
    <x v="5"/>
    <x v="7"/>
    <n v="5"/>
    <n v="13739"/>
    <n v="0.1"/>
    <n v="61825.5"/>
    <x v="464"/>
    <x v="3"/>
    <x v="0"/>
    <x v="0"/>
    <x v="1"/>
    <x v="2"/>
    <n v="1"/>
  </r>
  <r>
    <s v="O00466"/>
    <d v="2025-12-25T00:00:00"/>
    <s v="C00466"/>
    <s v="Customer 466"/>
    <x v="6"/>
    <x v="4"/>
    <x v="6"/>
    <n v="3"/>
    <n v="12228"/>
    <n v="0.15"/>
    <n v="31181.4"/>
    <x v="465"/>
    <x v="1"/>
    <x v="3"/>
    <x v="3"/>
    <x v="0"/>
    <x v="3"/>
    <n v="3"/>
  </r>
  <r>
    <s v="O00467"/>
    <d v="2025-06-08T00:00:00"/>
    <s v="C00467"/>
    <s v="Customer 467"/>
    <x v="0"/>
    <x v="0"/>
    <x v="0"/>
    <n v="4"/>
    <n v="1010"/>
    <n v="0"/>
    <n v="4040"/>
    <x v="466"/>
    <x v="2"/>
    <x v="4"/>
    <x v="4"/>
    <x v="0"/>
    <x v="1"/>
    <n v="2"/>
  </r>
  <r>
    <s v="O00468"/>
    <d v="2025-06-14T00:00:00"/>
    <s v="C00468"/>
    <s v="Customer 468"/>
    <x v="6"/>
    <x v="4"/>
    <x v="6"/>
    <n v="1"/>
    <n v="11662"/>
    <n v="0"/>
    <n v="11662"/>
    <x v="467"/>
    <x v="3"/>
    <x v="3"/>
    <x v="3"/>
    <x v="4"/>
    <x v="2"/>
    <n v="4"/>
  </r>
  <r>
    <s v="O00469"/>
    <d v="2025-07-22T00:00:00"/>
    <s v="C00469"/>
    <s v="Customer 469"/>
    <x v="4"/>
    <x v="3"/>
    <x v="4"/>
    <n v="2"/>
    <n v="5393"/>
    <n v="0.05"/>
    <n v="10246.700000000001"/>
    <x v="468"/>
    <x v="0"/>
    <x v="2"/>
    <x v="2"/>
    <x v="1"/>
    <x v="3"/>
    <n v="1"/>
  </r>
  <r>
    <s v="O00470"/>
    <d v="2025-09-01T00:00:00"/>
    <s v="C00470"/>
    <s v="Customer 470"/>
    <x v="7"/>
    <x v="5"/>
    <x v="7"/>
    <n v="5"/>
    <n v="8173"/>
    <n v="0.05"/>
    <n v="38821.75"/>
    <x v="469"/>
    <x v="4"/>
    <x v="5"/>
    <x v="5"/>
    <x v="3"/>
    <x v="2"/>
    <n v="2"/>
  </r>
  <r>
    <s v="O00471"/>
    <d v="2025-09-18T00:00:00"/>
    <s v="C00471"/>
    <s v="Customer 471"/>
    <x v="6"/>
    <x v="4"/>
    <x v="6"/>
    <n v="1"/>
    <n v="1854"/>
    <n v="0.2"/>
    <n v="1483.2"/>
    <x v="470"/>
    <x v="2"/>
    <x v="4"/>
    <x v="4"/>
    <x v="4"/>
    <x v="1"/>
    <n v="5"/>
  </r>
  <r>
    <s v="O00472"/>
    <d v="2025-10-16T00:00:00"/>
    <s v="C00472"/>
    <s v="Customer 472"/>
    <x v="1"/>
    <x v="1"/>
    <x v="1"/>
    <n v="1"/>
    <n v="11729"/>
    <n v="0.05"/>
    <n v="11142.55"/>
    <x v="471"/>
    <x v="1"/>
    <x v="5"/>
    <x v="5"/>
    <x v="1"/>
    <x v="0"/>
    <n v="2"/>
  </r>
  <r>
    <s v="O00473"/>
    <d v="2025-09-19T00:00:00"/>
    <s v="C00473"/>
    <s v="Customer 473"/>
    <x v="7"/>
    <x v="5"/>
    <x v="7"/>
    <n v="4"/>
    <n v="1663"/>
    <n v="0"/>
    <n v="6652"/>
    <x v="472"/>
    <x v="1"/>
    <x v="1"/>
    <x v="1"/>
    <x v="2"/>
    <x v="1"/>
    <n v="5"/>
  </r>
  <r>
    <s v="O00474"/>
    <d v="2025-02-22T00:00:00"/>
    <s v="C00474"/>
    <s v="Customer 474"/>
    <x v="2"/>
    <x v="2"/>
    <x v="2"/>
    <n v="4"/>
    <n v="14380"/>
    <n v="0"/>
    <n v="57520"/>
    <x v="473"/>
    <x v="1"/>
    <x v="0"/>
    <x v="0"/>
    <x v="1"/>
    <x v="1"/>
    <n v="4"/>
  </r>
  <r>
    <s v="O00475"/>
    <d v="2025-03-27T00:00:00"/>
    <s v="C00475"/>
    <s v="Customer 475"/>
    <x v="4"/>
    <x v="3"/>
    <x v="4"/>
    <n v="4"/>
    <n v="10497"/>
    <n v="0.2"/>
    <n v="33590.400000000001"/>
    <x v="474"/>
    <x v="2"/>
    <x v="1"/>
    <x v="1"/>
    <x v="0"/>
    <x v="3"/>
    <n v="1"/>
  </r>
  <r>
    <s v="O00476"/>
    <d v="2025-01-16T00:00:00"/>
    <s v="C00476"/>
    <s v="Customer 476"/>
    <x v="2"/>
    <x v="2"/>
    <x v="2"/>
    <n v="4"/>
    <n v="3985"/>
    <n v="0.1"/>
    <n v="14346"/>
    <x v="475"/>
    <x v="4"/>
    <x v="1"/>
    <x v="1"/>
    <x v="2"/>
    <x v="3"/>
    <n v="3"/>
  </r>
  <r>
    <s v="O00477"/>
    <d v="2025-06-19T00:00:00"/>
    <s v="C00477"/>
    <s v="Customer 477"/>
    <x v="6"/>
    <x v="4"/>
    <x v="6"/>
    <n v="2"/>
    <n v="7638"/>
    <n v="0.15"/>
    <n v="12984.6"/>
    <x v="476"/>
    <x v="2"/>
    <x v="1"/>
    <x v="1"/>
    <x v="4"/>
    <x v="3"/>
    <n v="1"/>
  </r>
  <r>
    <s v="O00478"/>
    <d v="2025-06-15T00:00:00"/>
    <s v="C00478"/>
    <s v="Customer 478"/>
    <x v="1"/>
    <x v="1"/>
    <x v="1"/>
    <n v="5"/>
    <n v="14918"/>
    <n v="0"/>
    <n v="74590"/>
    <x v="477"/>
    <x v="3"/>
    <x v="1"/>
    <x v="1"/>
    <x v="0"/>
    <x v="1"/>
    <n v="2"/>
  </r>
  <r>
    <s v="O00479"/>
    <d v="2025-11-03T00:00:00"/>
    <s v="C00479"/>
    <s v="Customer 479"/>
    <x v="6"/>
    <x v="4"/>
    <x v="6"/>
    <n v="4"/>
    <n v="4350"/>
    <n v="0.1"/>
    <n v="15660"/>
    <x v="478"/>
    <x v="0"/>
    <x v="1"/>
    <x v="1"/>
    <x v="4"/>
    <x v="1"/>
    <n v="2"/>
  </r>
  <r>
    <s v="O00480"/>
    <d v="2025-12-05T00:00:00"/>
    <s v="C00480"/>
    <s v="Customer 480"/>
    <x v="0"/>
    <x v="0"/>
    <x v="0"/>
    <n v="5"/>
    <n v="4742"/>
    <n v="0.05"/>
    <n v="22524.5"/>
    <x v="479"/>
    <x v="2"/>
    <x v="1"/>
    <x v="1"/>
    <x v="0"/>
    <x v="1"/>
    <n v="5"/>
  </r>
  <r>
    <s v="O00481"/>
    <d v="2025-01-22T00:00:00"/>
    <s v="C00481"/>
    <s v="Customer 481"/>
    <x v="7"/>
    <x v="5"/>
    <x v="7"/>
    <n v="2"/>
    <n v="4802"/>
    <n v="0.1"/>
    <n v="8643.6"/>
    <x v="480"/>
    <x v="4"/>
    <x v="5"/>
    <x v="5"/>
    <x v="3"/>
    <x v="0"/>
    <n v="1"/>
  </r>
  <r>
    <s v="O00482"/>
    <d v="2025-03-07T00:00:00"/>
    <s v="C00482"/>
    <s v="Customer 482"/>
    <x v="2"/>
    <x v="2"/>
    <x v="2"/>
    <n v="1"/>
    <n v="8290"/>
    <n v="0.15"/>
    <n v="7046.5"/>
    <x v="481"/>
    <x v="3"/>
    <x v="1"/>
    <x v="1"/>
    <x v="4"/>
    <x v="3"/>
    <n v="1"/>
  </r>
  <r>
    <s v="O00483"/>
    <d v="2025-07-02T00:00:00"/>
    <s v="C00483"/>
    <s v="Customer 483"/>
    <x v="7"/>
    <x v="5"/>
    <x v="7"/>
    <n v="5"/>
    <n v="1554"/>
    <n v="0.1"/>
    <n v="6993"/>
    <x v="482"/>
    <x v="2"/>
    <x v="4"/>
    <x v="4"/>
    <x v="3"/>
    <x v="0"/>
    <n v="4"/>
  </r>
  <r>
    <s v="O00484"/>
    <d v="2025-08-07T00:00:00"/>
    <s v="C00484"/>
    <s v="Customer 484"/>
    <x v="2"/>
    <x v="2"/>
    <x v="2"/>
    <n v="4"/>
    <n v="9213"/>
    <n v="0.1"/>
    <n v="33166.800000000003"/>
    <x v="483"/>
    <x v="0"/>
    <x v="0"/>
    <x v="0"/>
    <x v="4"/>
    <x v="3"/>
    <n v="3"/>
  </r>
  <r>
    <s v="O00485"/>
    <d v="2025-03-10T00:00:00"/>
    <s v="C00485"/>
    <s v="Customer 485"/>
    <x v="2"/>
    <x v="2"/>
    <x v="2"/>
    <n v="5"/>
    <n v="12792"/>
    <n v="0.05"/>
    <n v="60762"/>
    <x v="484"/>
    <x v="4"/>
    <x v="5"/>
    <x v="5"/>
    <x v="2"/>
    <x v="0"/>
    <n v="3"/>
  </r>
  <r>
    <s v="O00486"/>
    <d v="2025-08-21T00:00:00"/>
    <s v="C00486"/>
    <s v="Customer 486"/>
    <x v="7"/>
    <x v="5"/>
    <x v="7"/>
    <n v="1"/>
    <n v="6796"/>
    <n v="0"/>
    <n v="6796"/>
    <x v="485"/>
    <x v="3"/>
    <x v="3"/>
    <x v="3"/>
    <x v="1"/>
    <x v="1"/>
    <n v="2"/>
  </r>
  <r>
    <s v="O00487"/>
    <d v="2025-08-08T00:00:00"/>
    <s v="C00487"/>
    <s v="Customer 487"/>
    <x v="3"/>
    <x v="3"/>
    <x v="3"/>
    <n v="4"/>
    <n v="12047"/>
    <n v="0.2"/>
    <n v="38550.400000000001"/>
    <x v="486"/>
    <x v="2"/>
    <x v="2"/>
    <x v="2"/>
    <x v="3"/>
    <x v="0"/>
    <n v="4"/>
  </r>
  <r>
    <s v="O00488"/>
    <d v="2025-08-03T00:00:00"/>
    <s v="C00488"/>
    <s v="Customer 488"/>
    <x v="1"/>
    <x v="1"/>
    <x v="1"/>
    <n v="5"/>
    <n v="1988"/>
    <n v="0.15"/>
    <n v="8449"/>
    <x v="487"/>
    <x v="4"/>
    <x v="4"/>
    <x v="4"/>
    <x v="1"/>
    <x v="0"/>
    <n v="2"/>
  </r>
  <r>
    <s v="O00489"/>
    <d v="2025-05-16T00:00:00"/>
    <s v="C00489"/>
    <s v="Customer 489"/>
    <x v="0"/>
    <x v="0"/>
    <x v="0"/>
    <n v="5"/>
    <n v="13512"/>
    <n v="0.05"/>
    <n v="64182"/>
    <x v="488"/>
    <x v="0"/>
    <x v="0"/>
    <x v="0"/>
    <x v="3"/>
    <x v="3"/>
    <n v="1"/>
  </r>
  <r>
    <s v="O00490"/>
    <d v="2025-07-12T00:00:00"/>
    <s v="C00490"/>
    <s v="Customer 490"/>
    <x v="6"/>
    <x v="4"/>
    <x v="6"/>
    <n v="3"/>
    <n v="9982"/>
    <n v="0.1"/>
    <n v="26951.4"/>
    <x v="489"/>
    <x v="2"/>
    <x v="1"/>
    <x v="1"/>
    <x v="4"/>
    <x v="2"/>
    <n v="1"/>
  </r>
  <r>
    <s v="O00491"/>
    <d v="2025-07-15T00:00:00"/>
    <s v="C00491"/>
    <s v="Customer 491"/>
    <x v="6"/>
    <x v="4"/>
    <x v="6"/>
    <n v="1"/>
    <n v="9673"/>
    <n v="0.2"/>
    <n v="7738.4"/>
    <x v="490"/>
    <x v="0"/>
    <x v="0"/>
    <x v="0"/>
    <x v="2"/>
    <x v="2"/>
    <n v="3"/>
  </r>
  <r>
    <s v="O00492"/>
    <d v="2025-04-04T00:00:00"/>
    <s v="C00492"/>
    <s v="Customer 492"/>
    <x v="0"/>
    <x v="0"/>
    <x v="0"/>
    <n v="3"/>
    <n v="9706"/>
    <n v="0"/>
    <n v="29118"/>
    <x v="491"/>
    <x v="3"/>
    <x v="5"/>
    <x v="5"/>
    <x v="0"/>
    <x v="2"/>
    <n v="5"/>
  </r>
  <r>
    <s v="O00493"/>
    <d v="2025-06-16T00:00:00"/>
    <s v="C00493"/>
    <s v="Customer 493"/>
    <x v="3"/>
    <x v="3"/>
    <x v="3"/>
    <n v="4"/>
    <n v="3243"/>
    <n v="0.1"/>
    <n v="11674.8"/>
    <x v="492"/>
    <x v="0"/>
    <x v="2"/>
    <x v="2"/>
    <x v="4"/>
    <x v="2"/>
    <n v="4"/>
  </r>
  <r>
    <s v="O00494"/>
    <d v="2025-07-04T00:00:00"/>
    <s v="C00494"/>
    <s v="Customer 494"/>
    <x v="0"/>
    <x v="0"/>
    <x v="0"/>
    <n v="3"/>
    <n v="941"/>
    <n v="0.2"/>
    <n v="2258.4"/>
    <x v="493"/>
    <x v="0"/>
    <x v="3"/>
    <x v="3"/>
    <x v="3"/>
    <x v="3"/>
    <n v="2"/>
  </r>
  <r>
    <s v="O00495"/>
    <d v="2025-11-17T00:00:00"/>
    <s v="C00495"/>
    <s v="Customer 495"/>
    <x v="0"/>
    <x v="0"/>
    <x v="0"/>
    <n v="3"/>
    <n v="6638"/>
    <n v="0.2"/>
    <n v="15931.2"/>
    <x v="494"/>
    <x v="2"/>
    <x v="4"/>
    <x v="4"/>
    <x v="1"/>
    <x v="2"/>
    <n v="3"/>
  </r>
  <r>
    <s v="O00496"/>
    <d v="2025-06-07T00:00:00"/>
    <s v="C00496"/>
    <s v="Customer 496"/>
    <x v="6"/>
    <x v="4"/>
    <x v="6"/>
    <n v="1"/>
    <n v="5242"/>
    <n v="0.1"/>
    <n v="4717.8"/>
    <x v="495"/>
    <x v="2"/>
    <x v="2"/>
    <x v="2"/>
    <x v="3"/>
    <x v="3"/>
    <n v="1"/>
  </r>
  <r>
    <s v="O00497"/>
    <d v="2025-04-07T00:00:00"/>
    <s v="C00497"/>
    <s v="Customer 497"/>
    <x v="2"/>
    <x v="2"/>
    <x v="2"/>
    <n v="3"/>
    <n v="1778"/>
    <n v="0"/>
    <n v="5334"/>
    <x v="496"/>
    <x v="1"/>
    <x v="5"/>
    <x v="5"/>
    <x v="3"/>
    <x v="3"/>
    <n v="1"/>
  </r>
  <r>
    <s v="O00498"/>
    <d v="2025-09-05T00:00:00"/>
    <s v="C00498"/>
    <s v="Customer 498"/>
    <x v="0"/>
    <x v="0"/>
    <x v="0"/>
    <n v="1"/>
    <n v="13110"/>
    <n v="0.05"/>
    <n v="12454.5"/>
    <x v="497"/>
    <x v="2"/>
    <x v="5"/>
    <x v="5"/>
    <x v="3"/>
    <x v="0"/>
    <n v="3"/>
  </r>
  <r>
    <s v="O00499"/>
    <d v="2025-06-24T00:00:00"/>
    <s v="C00499"/>
    <s v="Customer 499"/>
    <x v="2"/>
    <x v="2"/>
    <x v="2"/>
    <n v="1"/>
    <n v="6277"/>
    <n v="0.15"/>
    <n v="5335.45"/>
    <x v="498"/>
    <x v="3"/>
    <x v="1"/>
    <x v="1"/>
    <x v="0"/>
    <x v="0"/>
    <n v="5"/>
  </r>
  <r>
    <s v="O00500"/>
    <d v="2025-03-02T00:00:00"/>
    <s v="C00500"/>
    <s v="Customer 500"/>
    <x v="4"/>
    <x v="3"/>
    <x v="4"/>
    <n v="2"/>
    <n v="2504"/>
    <n v="0.2"/>
    <n v="4006.4"/>
    <x v="499"/>
    <x v="2"/>
    <x v="3"/>
    <x v="3"/>
    <x v="0"/>
    <x v="3"/>
    <n v="2"/>
  </r>
  <r>
    <s v="O00501"/>
    <d v="2025-01-14T00:00:00"/>
    <s v="C00501"/>
    <s v="Customer 501"/>
    <x v="2"/>
    <x v="2"/>
    <x v="2"/>
    <n v="5"/>
    <n v="12980"/>
    <n v="0"/>
    <n v="64900"/>
    <x v="500"/>
    <x v="3"/>
    <x v="0"/>
    <x v="0"/>
    <x v="1"/>
    <x v="2"/>
    <n v="3"/>
  </r>
  <r>
    <s v="O00502"/>
    <d v="2025-04-13T00:00:00"/>
    <s v="C00502"/>
    <s v="Customer 502"/>
    <x v="5"/>
    <x v="3"/>
    <x v="5"/>
    <n v="3"/>
    <n v="4466"/>
    <n v="0.15"/>
    <n v="11388.3"/>
    <x v="501"/>
    <x v="3"/>
    <x v="5"/>
    <x v="5"/>
    <x v="3"/>
    <x v="2"/>
    <n v="2"/>
  </r>
  <r>
    <s v="O00503"/>
    <d v="2025-10-21T00:00:00"/>
    <s v="C00503"/>
    <s v="Customer 503"/>
    <x v="3"/>
    <x v="3"/>
    <x v="3"/>
    <n v="1"/>
    <n v="3749"/>
    <n v="0"/>
    <n v="3749"/>
    <x v="502"/>
    <x v="3"/>
    <x v="5"/>
    <x v="5"/>
    <x v="4"/>
    <x v="0"/>
    <n v="3"/>
  </r>
  <r>
    <s v="O00504"/>
    <d v="2025-01-10T00:00:00"/>
    <s v="C00504"/>
    <s v="Customer 504"/>
    <x v="4"/>
    <x v="3"/>
    <x v="4"/>
    <n v="5"/>
    <n v="7505"/>
    <n v="0.1"/>
    <n v="33772.5"/>
    <x v="503"/>
    <x v="3"/>
    <x v="1"/>
    <x v="1"/>
    <x v="3"/>
    <x v="1"/>
    <n v="3"/>
  </r>
  <r>
    <s v="O00505"/>
    <d v="2025-09-05T00:00:00"/>
    <s v="C00505"/>
    <s v="Customer 505"/>
    <x v="6"/>
    <x v="4"/>
    <x v="6"/>
    <n v="4"/>
    <n v="11121"/>
    <n v="0"/>
    <n v="44484"/>
    <x v="504"/>
    <x v="3"/>
    <x v="2"/>
    <x v="2"/>
    <x v="2"/>
    <x v="1"/>
    <n v="3"/>
  </r>
  <r>
    <s v="O00506"/>
    <d v="2025-07-23T00:00:00"/>
    <s v="C00506"/>
    <s v="Customer 506"/>
    <x v="1"/>
    <x v="1"/>
    <x v="1"/>
    <n v="5"/>
    <n v="1796"/>
    <n v="0"/>
    <n v="8980"/>
    <x v="505"/>
    <x v="1"/>
    <x v="0"/>
    <x v="0"/>
    <x v="3"/>
    <x v="3"/>
    <n v="3"/>
  </r>
  <r>
    <s v="O00507"/>
    <d v="2025-05-10T00:00:00"/>
    <s v="C00507"/>
    <s v="Customer 507"/>
    <x v="4"/>
    <x v="3"/>
    <x v="4"/>
    <n v="4"/>
    <n v="6102"/>
    <n v="0.1"/>
    <n v="21967.200000000001"/>
    <x v="506"/>
    <x v="2"/>
    <x v="0"/>
    <x v="0"/>
    <x v="4"/>
    <x v="1"/>
    <n v="4"/>
  </r>
  <r>
    <s v="O00508"/>
    <d v="2025-03-02T00:00:00"/>
    <s v="C00508"/>
    <s v="Customer 508"/>
    <x v="2"/>
    <x v="2"/>
    <x v="2"/>
    <n v="4"/>
    <n v="9023"/>
    <n v="0"/>
    <n v="36092"/>
    <x v="507"/>
    <x v="1"/>
    <x v="3"/>
    <x v="3"/>
    <x v="2"/>
    <x v="3"/>
    <n v="3"/>
  </r>
  <r>
    <s v="O00509"/>
    <d v="2025-09-02T00:00:00"/>
    <s v="C00509"/>
    <s v="Customer 509"/>
    <x v="7"/>
    <x v="5"/>
    <x v="7"/>
    <n v="2"/>
    <n v="11363"/>
    <n v="0.05"/>
    <n v="21589.7"/>
    <x v="508"/>
    <x v="1"/>
    <x v="5"/>
    <x v="5"/>
    <x v="2"/>
    <x v="2"/>
    <n v="1"/>
  </r>
  <r>
    <s v="O00510"/>
    <d v="2025-07-09T00:00:00"/>
    <s v="C00510"/>
    <s v="Customer 510"/>
    <x v="7"/>
    <x v="5"/>
    <x v="7"/>
    <n v="4"/>
    <n v="13628"/>
    <n v="0.1"/>
    <n v="49060.800000000003"/>
    <x v="509"/>
    <x v="3"/>
    <x v="5"/>
    <x v="5"/>
    <x v="0"/>
    <x v="1"/>
    <n v="1"/>
  </r>
  <r>
    <s v="O00511"/>
    <d v="2025-01-08T00:00:00"/>
    <s v="C00511"/>
    <s v="Customer 511"/>
    <x v="0"/>
    <x v="0"/>
    <x v="0"/>
    <n v="5"/>
    <n v="3138"/>
    <n v="0.1"/>
    <n v="14121"/>
    <x v="510"/>
    <x v="1"/>
    <x v="0"/>
    <x v="0"/>
    <x v="0"/>
    <x v="3"/>
    <n v="3"/>
  </r>
  <r>
    <s v="O00512"/>
    <d v="2025-05-30T00:00:00"/>
    <s v="C00512"/>
    <s v="Customer 512"/>
    <x v="5"/>
    <x v="3"/>
    <x v="5"/>
    <n v="5"/>
    <n v="979"/>
    <n v="0"/>
    <n v="4895"/>
    <x v="511"/>
    <x v="3"/>
    <x v="2"/>
    <x v="2"/>
    <x v="1"/>
    <x v="2"/>
    <n v="1"/>
  </r>
  <r>
    <s v="O00513"/>
    <d v="2025-04-15T00:00:00"/>
    <s v="C00513"/>
    <s v="Customer 513"/>
    <x v="5"/>
    <x v="3"/>
    <x v="5"/>
    <n v="2"/>
    <n v="13473"/>
    <n v="0.05"/>
    <n v="25598.7"/>
    <x v="512"/>
    <x v="2"/>
    <x v="4"/>
    <x v="4"/>
    <x v="3"/>
    <x v="3"/>
    <n v="1"/>
  </r>
  <r>
    <s v="O00514"/>
    <d v="2025-06-14T00:00:00"/>
    <s v="C00514"/>
    <s v="Customer 514"/>
    <x v="5"/>
    <x v="3"/>
    <x v="5"/>
    <n v="2"/>
    <n v="12564"/>
    <n v="0.1"/>
    <n v="22615.200000000001"/>
    <x v="513"/>
    <x v="0"/>
    <x v="1"/>
    <x v="1"/>
    <x v="3"/>
    <x v="0"/>
    <n v="2"/>
  </r>
  <r>
    <s v="O00515"/>
    <d v="2025-02-09T00:00:00"/>
    <s v="C00515"/>
    <s v="Customer 515"/>
    <x v="3"/>
    <x v="3"/>
    <x v="3"/>
    <n v="1"/>
    <n v="13267"/>
    <n v="0.2"/>
    <n v="10613.6"/>
    <x v="514"/>
    <x v="1"/>
    <x v="1"/>
    <x v="1"/>
    <x v="2"/>
    <x v="3"/>
    <n v="1"/>
  </r>
  <r>
    <s v="O00516"/>
    <d v="2025-12-15T00:00:00"/>
    <s v="C00516"/>
    <s v="Customer 516"/>
    <x v="5"/>
    <x v="3"/>
    <x v="5"/>
    <n v="2"/>
    <n v="14930"/>
    <n v="0.2"/>
    <n v="23888"/>
    <x v="515"/>
    <x v="2"/>
    <x v="4"/>
    <x v="4"/>
    <x v="2"/>
    <x v="2"/>
    <n v="4"/>
  </r>
  <r>
    <s v="O00517"/>
    <d v="2025-05-14T00:00:00"/>
    <s v="C00517"/>
    <s v="Customer 517"/>
    <x v="6"/>
    <x v="4"/>
    <x v="6"/>
    <n v="5"/>
    <n v="13848"/>
    <n v="0.15"/>
    <n v="58854"/>
    <x v="516"/>
    <x v="0"/>
    <x v="5"/>
    <x v="5"/>
    <x v="3"/>
    <x v="2"/>
    <n v="3"/>
  </r>
  <r>
    <s v="O00518"/>
    <d v="2025-02-06T00:00:00"/>
    <s v="C00518"/>
    <s v="Customer 518"/>
    <x v="0"/>
    <x v="0"/>
    <x v="0"/>
    <n v="5"/>
    <n v="11667"/>
    <n v="0.15"/>
    <n v="49584.75"/>
    <x v="517"/>
    <x v="4"/>
    <x v="1"/>
    <x v="1"/>
    <x v="4"/>
    <x v="0"/>
    <n v="3"/>
  </r>
  <r>
    <s v="O00519"/>
    <d v="2025-03-17T00:00:00"/>
    <s v="C00519"/>
    <s v="Customer 519"/>
    <x v="4"/>
    <x v="3"/>
    <x v="4"/>
    <n v="1"/>
    <n v="12019"/>
    <n v="0.15"/>
    <n v="10216.15"/>
    <x v="518"/>
    <x v="2"/>
    <x v="5"/>
    <x v="5"/>
    <x v="4"/>
    <x v="1"/>
    <n v="3"/>
  </r>
  <r>
    <s v="O00520"/>
    <d v="2025-05-10T00:00:00"/>
    <s v="C00520"/>
    <s v="Customer 520"/>
    <x v="4"/>
    <x v="3"/>
    <x v="4"/>
    <n v="2"/>
    <n v="9478"/>
    <n v="0.05"/>
    <n v="18008.2"/>
    <x v="519"/>
    <x v="4"/>
    <x v="2"/>
    <x v="2"/>
    <x v="4"/>
    <x v="0"/>
    <n v="1"/>
  </r>
  <r>
    <s v="O00521"/>
    <d v="2025-05-09T00:00:00"/>
    <s v="C00521"/>
    <s v="Customer 521"/>
    <x v="1"/>
    <x v="1"/>
    <x v="1"/>
    <n v="2"/>
    <n v="14026"/>
    <n v="0.05"/>
    <n v="26649.4"/>
    <x v="520"/>
    <x v="0"/>
    <x v="3"/>
    <x v="3"/>
    <x v="1"/>
    <x v="2"/>
    <n v="3"/>
  </r>
  <r>
    <s v="O00522"/>
    <d v="2025-09-01T00:00:00"/>
    <s v="C00522"/>
    <s v="Customer 522"/>
    <x v="5"/>
    <x v="3"/>
    <x v="5"/>
    <n v="2"/>
    <n v="13567"/>
    <n v="0.15"/>
    <n v="23063.9"/>
    <x v="521"/>
    <x v="1"/>
    <x v="5"/>
    <x v="5"/>
    <x v="1"/>
    <x v="3"/>
    <n v="3"/>
  </r>
  <r>
    <s v="O00523"/>
    <d v="2025-11-14T00:00:00"/>
    <s v="C00523"/>
    <s v="Customer 523"/>
    <x v="6"/>
    <x v="4"/>
    <x v="6"/>
    <n v="1"/>
    <n v="5025"/>
    <n v="0.05"/>
    <n v="4773.75"/>
    <x v="522"/>
    <x v="1"/>
    <x v="3"/>
    <x v="3"/>
    <x v="0"/>
    <x v="3"/>
    <n v="5"/>
  </r>
  <r>
    <s v="O00524"/>
    <d v="2025-09-27T00:00:00"/>
    <s v="C00524"/>
    <s v="Customer 524"/>
    <x v="2"/>
    <x v="2"/>
    <x v="2"/>
    <n v="5"/>
    <n v="9380"/>
    <n v="0.2"/>
    <n v="37520"/>
    <x v="523"/>
    <x v="1"/>
    <x v="1"/>
    <x v="1"/>
    <x v="3"/>
    <x v="0"/>
    <n v="5"/>
  </r>
  <r>
    <s v="O00525"/>
    <d v="2025-09-26T00:00:00"/>
    <s v="C00525"/>
    <s v="Customer 525"/>
    <x v="3"/>
    <x v="3"/>
    <x v="3"/>
    <n v="4"/>
    <n v="9615"/>
    <n v="0.1"/>
    <n v="34614"/>
    <x v="524"/>
    <x v="4"/>
    <x v="4"/>
    <x v="4"/>
    <x v="0"/>
    <x v="1"/>
    <n v="5"/>
  </r>
  <r>
    <s v="O00526"/>
    <d v="2025-06-08T00:00:00"/>
    <s v="C00526"/>
    <s v="Customer 526"/>
    <x v="2"/>
    <x v="2"/>
    <x v="2"/>
    <n v="3"/>
    <n v="6122"/>
    <n v="0.2"/>
    <n v="14692.8"/>
    <x v="525"/>
    <x v="1"/>
    <x v="4"/>
    <x v="4"/>
    <x v="2"/>
    <x v="0"/>
    <n v="4"/>
  </r>
  <r>
    <s v="O00527"/>
    <d v="2025-11-20T00:00:00"/>
    <s v="C00527"/>
    <s v="Customer 527"/>
    <x v="5"/>
    <x v="3"/>
    <x v="5"/>
    <n v="3"/>
    <n v="6898"/>
    <n v="0"/>
    <n v="20694"/>
    <x v="526"/>
    <x v="4"/>
    <x v="4"/>
    <x v="4"/>
    <x v="1"/>
    <x v="3"/>
    <n v="4"/>
  </r>
  <r>
    <s v="O00528"/>
    <d v="2025-08-04T00:00:00"/>
    <s v="C00528"/>
    <s v="Customer 528"/>
    <x v="3"/>
    <x v="3"/>
    <x v="3"/>
    <n v="2"/>
    <n v="11575"/>
    <n v="0"/>
    <n v="23150"/>
    <x v="527"/>
    <x v="2"/>
    <x v="3"/>
    <x v="3"/>
    <x v="4"/>
    <x v="1"/>
    <n v="4"/>
  </r>
  <r>
    <s v="O00529"/>
    <d v="2025-09-18T00:00:00"/>
    <s v="C00529"/>
    <s v="Customer 529"/>
    <x v="4"/>
    <x v="3"/>
    <x v="4"/>
    <n v="3"/>
    <n v="14585"/>
    <n v="0"/>
    <n v="43755"/>
    <x v="528"/>
    <x v="1"/>
    <x v="2"/>
    <x v="2"/>
    <x v="0"/>
    <x v="3"/>
    <n v="4"/>
  </r>
  <r>
    <s v="O00530"/>
    <d v="2025-07-12T00:00:00"/>
    <s v="C00530"/>
    <s v="Customer 530"/>
    <x v="7"/>
    <x v="5"/>
    <x v="7"/>
    <n v="4"/>
    <n v="13194"/>
    <n v="0.15"/>
    <n v="44859.6"/>
    <x v="529"/>
    <x v="3"/>
    <x v="1"/>
    <x v="1"/>
    <x v="0"/>
    <x v="3"/>
    <n v="3"/>
  </r>
  <r>
    <s v="O00531"/>
    <d v="2025-08-05T00:00:00"/>
    <s v="C00531"/>
    <s v="Customer 531"/>
    <x v="6"/>
    <x v="4"/>
    <x v="6"/>
    <n v="4"/>
    <n v="11554"/>
    <n v="0.05"/>
    <n v="43905.2"/>
    <x v="530"/>
    <x v="2"/>
    <x v="3"/>
    <x v="3"/>
    <x v="2"/>
    <x v="0"/>
    <n v="3"/>
  </r>
  <r>
    <s v="O00532"/>
    <d v="2025-03-27T00:00:00"/>
    <s v="C00532"/>
    <s v="Customer 532"/>
    <x v="6"/>
    <x v="4"/>
    <x v="6"/>
    <n v="1"/>
    <n v="477"/>
    <n v="0.2"/>
    <n v="381.6"/>
    <x v="531"/>
    <x v="1"/>
    <x v="5"/>
    <x v="5"/>
    <x v="0"/>
    <x v="0"/>
    <n v="2"/>
  </r>
  <r>
    <s v="O00533"/>
    <d v="2025-03-24T00:00:00"/>
    <s v="C00533"/>
    <s v="Customer 533"/>
    <x v="3"/>
    <x v="3"/>
    <x v="3"/>
    <n v="2"/>
    <n v="5717"/>
    <n v="0.1"/>
    <n v="10290.6"/>
    <x v="532"/>
    <x v="4"/>
    <x v="1"/>
    <x v="1"/>
    <x v="0"/>
    <x v="3"/>
    <n v="2"/>
  </r>
  <r>
    <s v="O00534"/>
    <d v="2025-12-10T00:00:00"/>
    <s v="C00534"/>
    <s v="Customer 534"/>
    <x v="1"/>
    <x v="1"/>
    <x v="1"/>
    <n v="2"/>
    <n v="6447"/>
    <n v="0.2"/>
    <n v="10315.200000000001"/>
    <x v="533"/>
    <x v="2"/>
    <x v="2"/>
    <x v="2"/>
    <x v="3"/>
    <x v="2"/>
    <n v="4"/>
  </r>
  <r>
    <s v="O00535"/>
    <d v="2025-06-07T00:00:00"/>
    <s v="C00535"/>
    <s v="Customer 535"/>
    <x v="3"/>
    <x v="3"/>
    <x v="3"/>
    <n v="1"/>
    <n v="14599"/>
    <n v="0.15"/>
    <n v="12409.15"/>
    <x v="534"/>
    <x v="2"/>
    <x v="1"/>
    <x v="1"/>
    <x v="4"/>
    <x v="1"/>
    <n v="2"/>
  </r>
  <r>
    <s v="O00536"/>
    <d v="2025-04-23T00:00:00"/>
    <s v="C00536"/>
    <s v="Customer 536"/>
    <x v="6"/>
    <x v="4"/>
    <x v="6"/>
    <n v="2"/>
    <n v="9103"/>
    <n v="0"/>
    <n v="18206"/>
    <x v="535"/>
    <x v="1"/>
    <x v="4"/>
    <x v="4"/>
    <x v="2"/>
    <x v="2"/>
    <n v="1"/>
  </r>
  <r>
    <s v="O00537"/>
    <d v="2025-06-03T00:00:00"/>
    <s v="C00537"/>
    <s v="Customer 537"/>
    <x v="1"/>
    <x v="1"/>
    <x v="1"/>
    <n v="1"/>
    <n v="13031"/>
    <n v="0.15"/>
    <n v="11076.35"/>
    <x v="536"/>
    <x v="2"/>
    <x v="1"/>
    <x v="1"/>
    <x v="0"/>
    <x v="0"/>
    <n v="2"/>
  </r>
  <r>
    <s v="O00538"/>
    <d v="2025-05-04T00:00:00"/>
    <s v="C00538"/>
    <s v="Customer 538"/>
    <x v="0"/>
    <x v="0"/>
    <x v="0"/>
    <n v="3"/>
    <n v="4443"/>
    <n v="0.05"/>
    <n v="12662.55"/>
    <x v="537"/>
    <x v="3"/>
    <x v="5"/>
    <x v="5"/>
    <x v="4"/>
    <x v="3"/>
    <n v="4"/>
  </r>
  <r>
    <s v="O00539"/>
    <d v="2025-02-09T00:00:00"/>
    <s v="C00539"/>
    <s v="Customer 539"/>
    <x v="1"/>
    <x v="1"/>
    <x v="1"/>
    <n v="2"/>
    <n v="14820"/>
    <n v="0.2"/>
    <n v="23712"/>
    <x v="538"/>
    <x v="0"/>
    <x v="4"/>
    <x v="4"/>
    <x v="2"/>
    <x v="0"/>
    <n v="2"/>
  </r>
  <r>
    <s v="O00540"/>
    <d v="2025-08-04T00:00:00"/>
    <s v="C00540"/>
    <s v="Customer 540"/>
    <x v="0"/>
    <x v="0"/>
    <x v="0"/>
    <n v="1"/>
    <n v="2999"/>
    <n v="0.2"/>
    <n v="2399.1999999999998"/>
    <x v="539"/>
    <x v="2"/>
    <x v="5"/>
    <x v="5"/>
    <x v="3"/>
    <x v="1"/>
    <n v="3"/>
  </r>
  <r>
    <s v="O00541"/>
    <d v="2025-05-27T00:00:00"/>
    <s v="C00541"/>
    <s v="Customer 541"/>
    <x v="3"/>
    <x v="3"/>
    <x v="3"/>
    <n v="1"/>
    <n v="13607"/>
    <n v="0.15"/>
    <n v="11565.95"/>
    <x v="540"/>
    <x v="3"/>
    <x v="0"/>
    <x v="0"/>
    <x v="2"/>
    <x v="3"/>
    <n v="5"/>
  </r>
  <r>
    <s v="O00542"/>
    <d v="2025-11-28T00:00:00"/>
    <s v="C00542"/>
    <s v="Customer 542"/>
    <x v="3"/>
    <x v="3"/>
    <x v="3"/>
    <n v="5"/>
    <n v="4192"/>
    <n v="0.2"/>
    <n v="16768"/>
    <x v="541"/>
    <x v="3"/>
    <x v="4"/>
    <x v="4"/>
    <x v="1"/>
    <x v="3"/>
    <n v="5"/>
  </r>
  <r>
    <s v="O00543"/>
    <d v="2025-12-14T00:00:00"/>
    <s v="C00543"/>
    <s v="Customer 543"/>
    <x v="7"/>
    <x v="5"/>
    <x v="7"/>
    <n v="3"/>
    <n v="14037"/>
    <n v="0.15"/>
    <n v="35794.35"/>
    <x v="542"/>
    <x v="2"/>
    <x v="0"/>
    <x v="0"/>
    <x v="1"/>
    <x v="2"/>
    <n v="2"/>
  </r>
  <r>
    <s v="O00544"/>
    <d v="2025-11-23T00:00:00"/>
    <s v="C00544"/>
    <s v="Customer 544"/>
    <x v="2"/>
    <x v="2"/>
    <x v="2"/>
    <n v="2"/>
    <n v="6429"/>
    <n v="0.2"/>
    <n v="10286.4"/>
    <x v="543"/>
    <x v="0"/>
    <x v="4"/>
    <x v="4"/>
    <x v="0"/>
    <x v="3"/>
    <n v="5"/>
  </r>
  <r>
    <s v="O00545"/>
    <d v="2025-08-16T00:00:00"/>
    <s v="C00545"/>
    <s v="Customer 545"/>
    <x v="2"/>
    <x v="2"/>
    <x v="2"/>
    <n v="5"/>
    <n v="2108"/>
    <n v="0.1"/>
    <n v="9486"/>
    <x v="544"/>
    <x v="1"/>
    <x v="4"/>
    <x v="4"/>
    <x v="3"/>
    <x v="2"/>
    <n v="1"/>
  </r>
  <r>
    <s v="O00546"/>
    <d v="2025-04-10T00:00:00"/>
    <s v="C00546"/>
    <s v="Customer 546"/>
    <x v="3"/>
    <x v="3"/>
    <x v="3"/>
    <n v="1"/>
    <n v="7263"/>
    <n v="0.05"/>
    <n v="6899.85"/>
    <x v="545"/>
    <x v="2"/>
    <x v="1"/>
    <x v="1"/>
    <x v="3"/>
    <x v="3"/>
    <n v="3"/>
  </r>
  <r>
    <s v="O00547"/>
    <d v="2025-04-28T00:00:00"/>
    <s v="C00547"/>
    <s v="Customer 547"/>
    <x v="4"/>
    <x v="3"/>
    <x v="4"/>
    <n v="5"/>
    <n v="4322"/>
    <n v="0.15"/>
    <n v="18368.5"/>
    <x v="546"/>
    <x v="4"/>
    <x v="4"/>
    <x v="4"/>
    <x v="3"/>
    <x v="0"/>
    <n v="5"/>
  </r>
  <r>
    <s v="O00548"/>
    <d v="2025-07-06T00:00:00"/>
    <s v="C00548"/>
    <s v="Customer 548"/>
    <x v="6"/>
    <x v="4"/>
    <x v="6"/>
    <n v="4"/>
    <n v="8385"/>
    <n v="0"/>
    <n v="33540"/>
    <x v="547"/>
    <x v="3"/>
    <x v="4"/>
    <x v="4"/>
    <x v="4"/>
    <x v="3"/>
    <n v="3"/>
  </r>
  <r>
    <s v="O00549"/>
    <d v="2025-10-20T00:00:00"/>
    <s v="C00549"/>
    <s v="Customer 549"/>
    <x v="4"/>
    <x v="3"/>
    <x v="4"/>
    <n v="1"/>
    <n v="5317"/>
    <n v="0.15"/>
    <n v="4519.45"/>
    <x v="548"/>
    <x v="0"/>
    <x v="5"/>
    <x v="5"/>
    <x v="1"/>
    <x v="0"/>
    <n v="1"/>
  </r>
  <r>
    <s v="O00550"/>
    <d v="2025-02-02T00:00:00"/>
    <s v="C00550"/>
    <s v="Customer 550"/>
    <x v="0"/>
    <x v="0"/>
    <x v="0"/>
    <n v="1"/>
    <n v="10818"/>
    <n v="0"/>
    <n v="10818"/>
    <x v="549"/>
    <x v="4"/>
    <x v="5"/>
    <x v="5"/>
    <x v="0"/>
    <x v="0"/>
    <n v="1"/>
  </r>
  <r>
    <s v="O00551"/>
    <d v="2025-05-06T00:00:00"/>
    <s v="C00551"/>
    <s v="Customer 551"/>
    <x v="7"/>
    <x v="5"/>
    <x v="7"/>
    <n v="3"/>
    <n v="11070"/>
    <n v="0.1"/>
    <n v="29889"/>
    <x v="550"/>
    <x v="4"/>
    <x v="5"/>
    <x v="5"/>
    <x v="2"/>
    <x v="0"/>
    <n v="1"/>
  </r>
  <r>
    <s v="O00552"/>
    <d v="2025-05-29T00:00:00"/>
    <s v="C00552"/>
    <s v="Customer 552"/>
    <x v="0"/>
    <x v="0"/>
    <x v="0"/>
    <n v="1"/>
    <n v="4950"/>
    <n v="0.05"/>
    <n v="4702.5"/>
    <x v="551"/>
    <x v="3"/>
    <x v="4"/>
    <x v="4"/>
    <x v="0"/>
    <x v="1"/>
    <n v="2"/>
  </r>
  <r>
    <s v="O00553"/>
    <d v="2025-12-24T00:00:00"/>
    <s v="C00553"/>
    <s v="Customer 553"/>
    <x v="5"/>
    <x v="3"/>
    <x v="5"/>
    <n v="5"/>
    <n v="2856"/>
    <n v="0.05"/>
    <n v="13566"/>
    <x v="552"/>
    <x v="1"/>
    <x v="0"/>
    <x v="0"/>
    <x v="0"/>
    <x v="3"/>
    <n v="3"/>
  </r>
  <r>
    <s v="O00554"/>
    <d v="2025-12-12T00:00:00"/>
    <s v="C00554"/>
    <s v="Customer 554"/>
    <x v="2"/>
    <x v="2"/>
    <x v="2"/>
    <n v="1"/>
    <n v="9980"/>
    <n v="0.15"/>
    <n v="8483"/>
    <x v="553"/>
    <x v="1"/>
    <x v="4"/>
    <x v="4"/>
    <x v="2"/>
    <x v="0"/>
    <n v="4"/>
  </r>
  <r>
    <s v="O00555"/>
    <d v="2025-06-16T00:00:00"/>
    <s v="C00555"/>
    <s v="Customer 555"/>
    <x v="5"/>
    <x v="3"/>
    <x v="5"/>
    <n v="4"/>
    <n v="12269"/>
    <n v="0.1"/>
    <n v="44168.4"/>
    <x v="554"/>
    <x v="1"/>
    <x v="0"/>
    <x v="0"/>
    <x v="4"/>
    <x v="1"/>
    <n v="4"/>
  </r>
  <r>
    <s v="O00556"/>
    <d v="2025-07-10T00:00:00"/>
    <s v="C00556"/>
    <s v="Customer 556"/>
    <x v="7"/>
    <x v="5"/>
    <x v="7"/>
    <n v="1"/>
    <n v="5722"/>
    <n v="0.2"/>
    <n v="4577.6000000000004"/>
    <x v="555"/>
    <x v="0"/>
    <x v="0"/>
    <x v="0"/>
    <x v="3"/>
    <x v="1"/>
    <n v="1"/>
  </r>
  <r>
    <s v="O00557"/>
    <d v="2025-04-16T00:00:00"/>
    <s v="C00557"/>
    <s v="Customer 557"/>
    <x v="2"/>
    <x v="2"/>
    <x v="2"/>
    <n v="4"/>
    <n v="7610"/>
    <n v="0.1"/>
    <n v="27396"/>
    <x v="556"/>
    <x v="1"/>
    <x v="4"/>
    <x v="4"/>
    <x v="2"/>
    <x v="0"/>
    <n v="1"/>
  </r>
  <r>
    <s v="O00558"/>
    <d v="2025-05-13T00:00:00"/>
    <s v="C00558"/>
    <s v="Customer 558"/>
    <x v="3"/>
    <x v="3"/>
    <x v="3"/>
    <n v="1"/>
    <n v="2212"/>
    <n v="0.15"/>
    <n v="1880.2"/>
    <x v="557"/>
    <x v="1"/>
    <x v="3"/>
    <x v="3"/>
    <x v="2"/>
    <x v="3"/>
    <n v="3"/>
  </r>
  <r>
    <s v="O00559"/>
    <d v="2025-08-06T00:00:00"/>
    <s v="C00559"/>
    <s v="Customer 559"/>
    <x v="4"/>
    <x v="3"/>
    <x v="4"/>
    <n v="4"/>
    <n v="14241"/>
    <n v="0.2"/>
    <n v="45571.199999999997"/>
    <x v="558"/>
    <x v="1"/>
    <x v="1"/>
    <x v="1"/>
    <x v="2"/>
    <x v="0"/>
    <n v="2"/>
  </r>
  <r>
    <s v="O00560"/>
    <d v="2025-10-21T00:00:00"/>
    <s v="C00560"/>
    <s v="Customer 560"/>
    <x v="0"/>
    <x v="0"/>
    <x v="0"/>
    <n v="3"/>
    <n v="948"/>
    <n v="0.1"/>
    <n v="2559.6"/>
    <x v="559"/>
    <x v="4"/>
    <x v="0"/>
    <x v="0"/>
    <x v="4"/>
    <x v="0"/>
    <n v="1"/>
  </r>
  <r>
    <s v="O00561"/>
    <d v="2025-08-07T00:00:00"/>
    <s v="C00561"/>
    <s v="Customer 561"/>
    <x v="7"/>
    <x v="5"/>
    <x v="7"/>
    <n v="3"/>
    <n v="14054"/>
    <n v="0"/>
    <n v="42162"/>
    <x v="560"/>
    <x v="0"/>
    <x v="0"/>
    <x v="0"/>
    <x v="1"/>
    <x v="1"/>
    <n v="5"/>
  </r>
  <r>
    <s v="O00562"/>
    <d v="2025-03-25T00:00:00"/>
    <s v="C00562"/>
    <s v="Customer 562"/>
    <x v="4"/>
    <x v="3"/>
    <x v="4"/>
    <n v="1"/>
    <n v="2086"/>
    <n v="0.1"/>
    <n v="1877.4"/>
    <x v="561"/>
    <x v="3"/>
    <x v="1"/>
    <x v="1"/>
    <x v="2"/>
    <x v="2"/>
    <n v="1"/>
  </r>
  <r>
    <s v="O00563"/>
    <d v="2025-08-28T00:00:00"/>
    <s v="C00563"/>
    <s v="Customer 563"/>
    <x v="3"/>
    <x v="3"/>
    <x v="3"/>
    <n v="2"/>
    <n v="5322"/>
    <n v="0.05"/>
    <n v="10111.799999999999"/>
    <x v="562"/>
    <x v="0"/>
    <x v="1"/>
    <x v="1"/>
    <x v="3"/>
    <x v="2"/>
    <n v="1"/>
  </r>
  <r>
    <s v="O00564"/>
    <d v="2025-12-04T00:00:00"/>
    <s v="C00564"/>
    <s v="Customer 564"/>
    <x v="5"/>
    <x v="3"/>
    <x v="5"/>
    <n v="5"/>
    <n v="2573"/>
    <n v="0.15"/>
    <n v="10935.25"/>
    <x v="563"/>
    <x v="1"/>
    <x v="3"/>
    <x v="3"/>
    <x v="4"/>
    <x v="1"/>
    <n v="1"/>
  </r>
  <r>
    <s v="O00565"/>
    <d v="2025-07-05T00:00:00"/>
    <s v="C00565"/>
    <s v="Customer 565"/>
    <x v="6"/>
    <x v="4"/>
    <x v="6"/>
    <n v="1"/>
    <n v="12093"/>
    <n v="0.1"/>
    <n v="10883.7"/>
    <x v="564"/>
    <x v="1"/>
    <x v="5"/>
    <x v="5"/>
    <x v="4"/>
    <x v="0"/>
    <n v="5"/>
  </r>
  <r>
    <s v="O00566"/>
    <d v="2025-08-12T00:00:00"/>
    <s v="C00566"/>
    <s v="Customer 566"/>
    <x v="7"/>
    <x v="5"/>
    <x v="7"/>
    <n v="2"/>
    <n v="12080"/>
    <n v="0.15"/>
    <n v="20536"/>
    <x v="565"/>
    <x v="1"/>
    <x v="1"/>
    <x v="1"/>
    <x v="3"/>
    <x v="0"/>
    <n v="4"/>
  </r>
  <r>
    <s v="O00567"/>
    <d v="2025-11-26T00:00:00"/>
    <s v="C00567"/>
    <s v="Customer 567"/>
    <x v="1"/>
    <x v="1"/>
    <x v="1"/>
    <n v="4"/>
    <n v="12257"/>
    <n v="0"/>
    <n v="49028"/>
    <x v="566"/>
    <x v="3"/>
    <x v="2"/>
    <x v="2"/>
    <x v="3"/>
    <x v="1"/>
    <n v="1"/>
  </r>
  <r>
    <s v="O00568"/>
    <d v="2025-07-20T00:00:00"/>
    <s v="C00568"/>
    <s v="Customer 568"/>
    <x v="5"/>
    <x v="3"/>
    <x v="5"/>
    <n v="4"/>
    <n v="7822"/>
    <n v="0.05"/>
    <n v="29723.599999999999"/>
    <x v="567"/>
    <x v="3"/>
    <x v="5"/>
    <x v="5"/>
    <x v="3"/>
    <x v="1"/>
    <n v="3"/>
  </r>
  <r>
    <s v="O00569"/>
    <d v="2025-09-12T00:00:00"/>
    <s v="C00569"/>
    <s v="Customer 569"/>
    <x v="5"/>
    <x v="3"/>
    <x v="5"/>
    <n v="5"/>
    <n v="12931"/>
    <n v="0.15"/>
    <n v="54956.75"/>
    <x v="568"/>
    <x v="1"/>
    <x v="2"/>
    <x v="2"/>
    <x v="3"/>
    <x v="1"/>
    <n v="5"/>
  </r>
  <r>
    <s v="O00570"/>
    <d v="2025-03-15T00:00:00"/>
    <s v="C00570"/>
    <s v="Customer 570"/>
    <x v="5"/>
    <x v="3"/>
    <x v="5"/>
    <n v="2"/>
    <n v="8181"/>
    <n v="0.2"/>
    <n v="13089.6"/>
    <x v="569"/>
    <x v="2"/>
    <x v="3"/>
    <x v="3"/>
    <x v="2"/>
    <x v="2"/>
    <n v="4"/>
  </r>
  <r>
    <s v="O00571"/>
    <d v="2025-05-02T00:00:00"/>
    <s v="C00571"/>
    <s v="Customer 571"/>
    <x v="2"/>
    <x v="2"/>
    <x v="2"/>
    <n v="4"/>
    <n v="13944"/>
    <n v="0"/>
    <n v="55776"/>
    <x v="570"/>
    <x v="1"/>
    <x v="3"/>
    <x v="3"/>
    <x v="0"/>
    <x v="1"/>
    <n v="3"/>
  </r>
  <r>
    <s v="O00572"/>
    <d v="2025-01-05T00:00:00"/>
    <s v="C00572"/>
    <s v="Customer 572"/>
    <x v="4"/>
    <x v="3"/>
    <x v="4"/>
    <n v="5"/>
    <n v="12750"/>
    <n v="0.1"/>
    <n v="57375"/>
    <x v="571"/>
    <x v="3"/>
    <x v="0"/>
    <x v="0"/>
    <x v="2"/>
    <x v="2"/>
    <n v="3"/>
  </r>
  <r>
    <s v="O00573"/>
    <d v="2025-08-16T00:00:00"/>
    <s v="C00573"/>
    <s v="Customer 573"/>
    <x v="0"/>
    <x v="0"/>
    <x v="0"/>
    <n v="3"/>
    <n v="12161"/>
    <n v="0.1"/>
    <n v="32834.699999999997"/>
    <x v="572"/>
    <x v="2"/>
    <x v="5"/>
    <x v="5"/>
    <x v="4"/>
    <x v="0"/>
    <n v="5"/>
  </r>
  <r>
    <s v="O00574"/>
    <d v="2025-03-20T00:00:00"/>
    <s v="C00574"/>
    <s v="Customer 574"/>
    <x v="3"/>
    <x v="3"/>
    <x v="3"/>
    <n v="2"/>
    <n v="13407"/>
    <n v="0.15"/>
    <n v="22791.9"/>
    <x v="573"/>
    <x v="0"/>
    <x v="1"/>
    <x v="1"/>
    <x v="2"/>
    <x v="0"/>
    <n v="1"/>
  </r>
  <r>
    <s v="O00575"/>
    <d v="2025-08-08T00:00:00"/>
    <s v="C00575"/>
    <s v="Customer 575"/>
    <x v="0"/>
    <x v="0"/>
    <x v="0"/>
    <n v="4"/>
    <n v="532"/>
    <n v="0.1"/>
    <n v="1915.2"/>
    <x v="574"/>
    <x v="1"/>
    <x v="5"/>
    <x v="5"/>
    <x v="3"/>
    <x v="1"/>
    <n v="4"/>
  </r>
  <r>
    <s v="O00576"/>
    <d v="2025-10-13T00:00:00"/>
    <s v="C00576"/>
    <s v="Customer 576"/>
    <x v="5"/>
    <x v="3"/>
    <x v="5"/>
    <n v="3"/>
    <n v="4008"/>
    <n v="0.1"/>
    <n v="10821.6"/>
    <x v="575"/>
    <x v="1"/>
    <x v="0"/>
    <x v="0"/>
    <x v="4"/>
    <x v="0"/>
    <n v="4"/>
  </r>
  <r>
    <s v="O00577"/>
    <d v="2025-02-14T00:00:00"/>
    <s v="C00577"/>
    <s v="Customer 577"/>
    <x v="7"/>
    <x v="5"/>
    <x v="7"/>
    <n v="4"/>
    <n v="7203"/>
    <n v="0.15"/>
    <n v="24490.2"/>
    <x v="576"/>
    <x v="1"/>
    <x v="5"/>
    <x v="5"/>
    <x v="4"/>
    <x v="0"/>
    <n v="4"/>
  </r>
  <r>
    <s v="O00578"/>
    <d v="2025-04-06T00:00:00"/>
    <s v="C00578"/>
    <s v="Customer 578"/>
    <x v="1"/>
    <x v="1"/>
    <x v="1"/>
    <n v="4"/>
    <n v="2876"/>
    <n v="0"/>
    <n v="11504"/>
    <x v="577"/>
    <x v="2"/>
    <x v="2"/>
    <x v="2"/>
    <x v="1"/>
    <x v="0"/>
    <n v="4"/>
  </r>
  <r>
    <s v="O00579"/>
    <d v="2025-07-28T00:00:00"/>
    <s v="C00579"/>
    <s v="Customer 579"/>
    <x v="3"/>
    <x v="3"/>
    <x v="3"/>
    <n v="4"/>
    <n v="12069"/>
    <n v="0"/>
    <n v="48276"/>
    <x v="578"/>
    <x v="2"/>
    <x v="0"/>
    <x v="0"/>
    <x v="4"/>
    <x v="1"/>
    <n v="4"/>
  </r>
  <r>
    <s v="O00580"/>
    <d v="2025-03-04T00:00:00"/>
    <s v="C00580"/>
    <s v="Customer 580"/>
    <x v="4"/>
    <x v="3"/>
    <x v="4"/>
    <n v="1"/>
    <n v="10038"/>
    <n v="0.15"/>
    <n v="8532.2999999999993"/>
    <x v="579"/>
    <x v="2"/>
    <x v="4"/>
    <x v="4"/>
    <x v="1"/>
    <x v="3"/>
    <n v="5"/>
  </r>
  <r>
    <s v="O00581"/>
    <d v="2025-04-28T00:00:00"/>
    <s v="C00581"/>
    <s v="Customer 581"/>
    <x v="0"/>
    <x v="0"/>
    <x v="0"/>
    <n v="2"/>
    <n v="1364"/>
    <n v="0.2"/>
    <n v="2182.4"/>
    <x v="580"/>
    <x v="2"/>
    <x v="2"/>
    <x v="2"/>
    <x v="3"/>
    <x v="3"/>
    <n v="1"/>
  </r>
  <r>
    <s v="O00582"/>
    <d v="2025-03-11T00:00:00"/>
    <s v="C00582"/>
    <s v="Customer 582"/>
    <x v="2"/>
    <x v="2"/>
    <x v="2"/>
    <n v="3"/>
    <n v="4116"/>
    <n v="0.2"/>
    <n v="9878.4"/>
    <x v="581"/>
    <x v="2"/>
    <x v="5"/>
    <x v="5"/>
    <x v="2"/>
    <x v="3"/>
    <n v="1"/>
  </r>
  <r>
    <s v="O00583"/>
    <d v="2025-09-27T00:00:00"/>
    <s v="C00583"/>
    <s v="Customer 583"/>
    <x v="3"/>
    <x v="3"/>
    <x v="3"/>
    <n v="5"/>
    <n v="1038"/>
    <n v="0.1"/>
    <n v="4671"/>
    <x v="582"/>
    <x v="3"/>
    <x v="1"/>
    <x v="1"/>
    <x v="4"/>
    <x v="3"/>
    <n v="1"/>
  </r>
  <r>
    <s v="O00584"/>
    <d v="2025-05-24T00:00:00"/>
    <s v="C00584"/>
    <s v="Customer 584"/>
    <x v="7"/>
    <x v="5"/>
    <x v="7"/>
    <n v="2"/>
    <n v="4259"/>
    <n v="0.1"/>
    <n v="7666.2"/>
    <x v="583"/>
    <x v="1"/>
    <x v="0"/>
    <x v="0"/>
    <x v="3"/>
    <x v="0"/>
    <n v="5"/>
  </r>
  <r>
    <s v="O00585"/>
    <d v="2025-03-12T00:00:00"/>
    <s v="C00585"/>
    <s v="Customer 585"/>
    <x v="7"/>
    <x v="5"/>
    <x v="7"/>
    <n v="2"/>
    <n v="4283"/>
    <n v="0.2"/>
    <n v="6852.8"/>
    <x v="584"/>
    <x v="4"/>
    <x v="0"/>
    <x v="0"/>
    <x v="3"/>
    <x v="2"/>
    <n v="4"/>
  </r>
  <r>
    <s v="O00586"/>
    <d v="2025-04-15T00:00:00"/>
    <s v="C00586"/>
    <s v="Customer 586"/>
    <x v="3"/>
    <x v="3"/>
    <x v="3"/>
    <n v="4"/>
    <n v="10846"/>
    <n v="0.2"/>
    <n v="34707.199999999997"/>
    <x v="585"/>
    <x v="4"/>
    <x v="3"/>
    <x v="3"/>
    <x v="2"/>
    <x v="1"/>
    <n v="2"/>
  </r>
  <r>
    <s v="O00587"/>
    <d v="2025-05-02T00:00:00"/>
    <s v="C00587"/>
    <s v="Customer 587"/>
    <x v="0"/>
    <x v="0"/>
    <x v="0"/>
    <n v="5"/>
    <n v="1076"/>
    <n v="0"/>
    <n v="5380"/>
    <x v="586"/>
    <x v="2"/>
    <x v="1"/>
    <x v="1"/>
    <x v="2"/>
    <x v="2"/>
    <n v="1"/>
  </r>
  <r>
    <s v="O00588"/>
    <d v="2025-02-10T00:00:00"/>
    <s v="C00588"/>
    <s v="Customer 588"/>
    <x v="0"/>
    <x v="0"/>
    <x v="0"/>
    <n v="4"/>
    <n v="2413"/>
    <n v="0.2"/>
    <n v="7721.6"/>
    <x v="587"/>
    <x v="4"/>
    <x v="5"/>
    <x v="5"/>
    <x v="0"/>
    <x v="1"/>
    <n v="5"/>
  </r>
  <r>
    <s v="O00589"/>
    <d v="2025-11-23T00:00:00"/>
    <s v="C00589"/>
    <s v="Customer 589"/>
    <x v="7"/>
    <x v="5"/>
    <x v="7"/>
    <n v="1"/>
    <n v="12945"/>
    <n v="0.1"/>
    <n v="11650.5"/>
    <x v="588"/>
    <x v="4"/>
    <x v="5"/>
    <x v="5"/>
    <x v="4"/>
    <x v="1"/>
    <n v="5"/>
  </r>
  <r>
    <s v="O00590"/>
    <d v="2025-02-19T00:00:00"/>
    <s v="C00590"/>
    <s v="Customer 590"/>
    <x v="2"/>
    <x v="2"/>
    <x v="2"/>
    <n v="3"/>
    <n v="8564"/>
    <n v="0.05"/>
    <n v="24407.4"/>
    <x v="589"/>
    <x v="3"/>
    <x v="4"/>
    <x v="4"/>
    <x v="1"/>
    <x v="3"/>
    <n v="4"/>
  </r>
  <r>
    <s v="O00591"/>
    <d v="2025-05-22T00:00:00"/>
    <s v="C00591"/>
    <s v="Customer 591"/>
    <x v="2"/>
    <x v="2"/>
    <x v="2"/>
    <n v="5"/>
    <n v="12648"/>
    <n v="0"/>
    <n v="63240"/>
    <x v="590"/>
    <x v="2"/>
    <x v="1"/>
    <x v="1"/>
    <x v="0"/>
    <x v="0"/>
    <n v="4"/>
  </r>
  <r>
    <s v="O00592"/>
    <d v="2025-07-21T00:00:00"/>
    <s v="C00592"/>
    <s v="Customer 592"/>
    <x v="4"/>
    <x v="3"/>
    <x v="4"/>
    <n v="3"/>
    <n v="3773"/>
    <n v="0.05"/>
    <n v="10753.05"/>
    <x v="591"/>
    <x v="0"/>
    <x v="1"/>
    <x v="1"/>
    <x v="0"/>
    <x v="3"/>
    <n v="4"/>
  </r>
  <r>
    <s v="O00593"/>
    <d v="2025-07-29T00:00:00"/>
    <s v="C00593"/>
    <s v="Customer 593"/>
    <x v="7"/>
    <x v="5"/>
    <x v="7"/>
    <n v="1"/>
    <n v="3283"/>
    <n v="0.05"/>
    <n v="3118.85"/>
    <x v="592"/>
    <x v="3"/>
    <x v="0"/>
    <x v="0"/>
    <x v="3"/>
    <x v="1"/>
    <n v="4"/>
  </r>
  <r>
    <s v="O00594"/>
    <d v="2025-10-21T00:00:00"/>
    <s v="C00594"/>
    <s v="Customer 594"/>
    <x v="7"/>
    <x v="5"/>
    <x v="7"/>
    <n v="1"/>
    <n v="6490"/>
    <n v="0.05"/>
    <n v="6165.5"/>
    <x v="593"/>
    <x v="4"/>
    <x v="5"/>
    <x v="5"/>
    <x v="4"/>
    <x v="1"/>
    <n v="5"/>
  </r>
  <r>
    <s v="O00595"/>
    <d v="2025-02-10T00:00:00"/>
    <s v="C00595"/>
    <s v="Customer 595"/>
    <x v="4"/>
    <x v="3"/>
    <x v="4"/>
    <n v="3"/>
    <n v="1714"/>
    <n v="0.15"/>
    <n v="4370.7"/>
    <x v="594"/>
    <x v="3"/>
    <x v="0"/>
    <x v="0"/>
    <x v="1"/>
    <x v="3"/>
    <n v="3"/>
  </r>
  <r>
    <s v="O00596"/>
    <d v="2025-06-07T00:00:00"/>
    <s v="C00596"/>
    <s v="Customer 596"/>
    <x v="1"/>
    <x v="1"/>
    <x v="1"/>
    <n v="4"/>
    <n v="2883"/>
    <n v="0.1"/>
    <n v="10378.799999999999"/>
    <x v="595"/>
    <x v="3"/>
    <x v="0"/>
    <x v="0"/>
    <x v="0"/>
    <x v="3"/>
    <n v="5"/>
  </r>
  <r>
    <s v="O00597"/>
    <d v="2025-03-25T00:00:00"/>
    <s v="C00597"/>
    <s v="Customer 597"/>
    <x v="1"/>
    <x v="1"/>
    <x v="1"/>
    <n v="5"/>
    <n v="1694"/>
    <n v="0.15"/>
    <n v="7199.5"/>
    <x v="596"/>
    <x v="1"/>
    <x v="2"/>
    <x v="2"/>
    <x v="1"/>
    <x v="1"/>
    <n v="4"/>
  </r>
  <r>
    <s v="O00598"/>
    <d v="2025-11-10T00:00:00"/>
    <s v="C00598"/>
    <s v="Customer 598"/>
    <x v="2"/>
    <x v="2"/>
    <x v="2"/>
    <n v="2"/>
    <n v="5903"/>
    <n v="0"/>
    <n v="11806"/>
    <x v="597"/>
    <x v="1"/>
    <x v="1"/>
    <x v="1"/>
    <x v="0"/>
    <x v="3"/>
    <n v="5"/>
  </r>
  <r>
    <s v="O00599"/>
    <d v="2025-12-20T00:00:00"/>
    <s v="C00599"/>
    <s v="Customer 599"/>
    <x v="1"/>
    <x v="1"/>
    <x v="1"/>
    <n v="4"/>
    <n v="6740"/>
    <n v="0"/>
    <n v="26960"/>
    <x v="598"/>
    <x v="3"/>
    <x v="1"/>
    <x v="1"/>
    <x v="3"/>
    <x v="2"/>
    <n v="2"/>
  </r>
  <r>
    <s v="O00600"/>
    <d v="2025-10-13T00:00:00"/>
    <s v="C00600"/>
    <s v="Customer 600"/>
    <x v="0"/>
    <x v="0"/>
    <x v="0"/>
    <n v="3"/>
    <n v="4982"/>
    <n v="0.2"/>
    <n v="11956.8"/>
    <x v="599"/>
    <x v="0"/>
    <x v="5"/>
    <x v="5"/>
    <x v="3"/>
    <x v="0"/>
    <n v="1"/>
  </r>
  <r>
    <s v="O00601"/>
    <d v="2025-01-29T00:00:00"/>
    <s v="C00601"/>
    <s v="Customer 601"/>
    <x v="2"/>
    <x v="2"/>
    <x v="2"/>
    <n v="2"/>
    <n v="13442"/>
    <n v="0.05"/>
    <n v="25539.8"/>
    <x v="600"/>
    <x v="3"/>
    <x v="2"/>
    <x v="2"/>
    <x v="0"/>
    <x v="1"/>
    <n v="1"/>
  </r>
  <r>
    <s v="O00602"/>
    <d v="2025-02-12T00:00:00"/>
    <s v="C00602"/>
    <s v="Customer 602"/>
    <x v="2"/>
    <x v="2"/>
    <x v="2"/>
    <n v="3"/>
    <n v="14242"/>
    <n v="0.05"/>
    <n v="40589.699999999997"/>
    <x v="601"/>
    <x v="4"/>
    <x v="2"/>
    <x v="2"/>
    <x v="2"/>
    <x v="1"/>
    <n v="1"/>
  </r>
  <r>
    <s v="O00603"/>
    <d v="2025-11-06T00:00:00"/>
    <s v="C00603"/>
    <s v="Customer 603"/>
    <x v="1"/>
    <x v="1"/>
    <x v="1"/>
    <n v="3"/>
    <n v="10431"/>
    <n v="0.2"/>
    <n v="25034.400000000001"/>
    <x v="602"/>
    <x v="4"/>
    <x v="0"/>
    <x v="0"/>
    <x v="3"/>
    <x v="3"/>
    <n v="3"/>
  </r>
  <r>
    <s v="O00604"/>
    <d v="2025-07-20T00:00:00"/>
    <s v="C00604"/>
    <s v="Customer 604"/>
    <x v="4"/>
    <x v="3"/>
    <x v="4"/>
    <n v="5"/>
    <n v="10579"/>
    <n v="0.2"/>
    <n v="42316"/>
    <x v="603"/>
    <x v="1"/>
    <x v="4"/>
    <x v="4"/>
    <x v="2"/>
    <x v="3"/>
    <n v="4"/>
  </r>
  <r>
    <s v="O00605"/>
    <d v="2025-11-29T00:00:00"/>
    <s v="C00605"/>
    <s v="Customer 605"/>
    <x v="0"/>
    <x v="0"/>
    <x v="0"/>
    <n v="1"/>
    <n v="1042"/>
    <n v="0"/>
    <n v="1042"/>
    <x v="604"/>
    <x v="0"/>
    <x v="1"/>
    <x v="1"/>
    <x v="4"/>
    <x v="1"/>
    <n v="3"/>
  </r>
  <r>
    <s v="O00606"/>
    <d v="2025-04-27T00:00:00"/>
    <s v="C00606"/>
    <s v="Customer 606"/>
    <x v="6"/>
    <x v="4"/>
    <x v="6"/>
    <n v="3"/>
    <n v="5268"/>
    <n v="0.15"/>
    <n v="13433.4"/>
    <x v="605"/>
    <x v="4"/>
    <x v="1"/>
    <x v="1"/>
    <x v="0"/>
    <x v="2"/>
    <n v="2"/>
  </r>
  <r>
    <s v="O00607"/>
    <d v="2025-09-26T00:00:00"/>
    <s v="C00607"/>
    <s v="Customer 607"/>
    <x v="4"/>
    <x v="3"/>
    <x v="4"/>
    <n v="4"/>
    <n v="10542"/>
    <n v="0.1"/>
    <n v="37951.199999999997"/>
    <x v="606"/>
    <x v="3"/>
    <x v="3"/>
    <x v="3"/>
    <x v="1"/>
    <x v="3"/>
    <n v="1"/>
  </r>
  <r>
    <s v="O00608"/>
    <d v="2025-10-02T00:00:00"/>
    <s v="C00608"/>
    <s v="Customer 608"/>
    <x v="2"/>
    <x v="2"/>
    <x v="2"/>
    <n v="1"/>
    <n v="4775"/>
    <n v="0.05"/>
    <n v="4536.25"/>
    <x v="607"/>
    <x v="2"/>
    <x v="2"/>
    <x v="2"/>
    <x v="2"/>
    <x v="1"/>
    <n v="3"/>
  </r>
  <r>
    <s v="O00609"/>
    <d v="2025-09-01T00:00:00"/>
    <s v="C00609"/>
    <s v="Customer 609"/>
    <x v="6"/>
    <x v="4"/>
    <x v="6"/>
    <n v="3"/>
    <n v="2713"/>
    <n v="0.15"/>
    <n v="6918.15"/>
    <x v="608"/>
    <x v="0"/>
    <x v="0"/>
    <x v="0"/>
    <x v="0"/>
    <x v="0"/>
    <n v="1"/>
  </r>
  <r>
    <s v="O00610"/>
    <d v="2025-04-03T00:00:00"/>
    <s v="C00610"/>
    <s v="Customer 610"/>
    <x v="4"/>
    <x v="3"/>
    <x v="4"/>
    <n v="2"/>
    <n v="4087"/>
    <n v="0.05"/>
    <n v="7765.3"/>
    <x v="609"/>
    <x v="2"/>
    <x v="2"/>
    <x v="2"/>
    <x v="3"/>
    <x v="3"/>
    <n v="5"/>
  </r>
  <r>
    <s v="O00611"/>
    <d v="2025-06-12T00:00:00"/>
    <s v="C00611"/>
    <s v="Customer 611"/>
    <x v="1"/>
    <x v="1"/>
    <x v="1"/>
    <n v="2"/>
    <n v="5089"/>
    <n v="0.05"/>
    <n v="9669.1"/>
    <x v="610"/>
    <x v="3"/>
    <x v="5"/>
    <x v="5"/>
    <x v="0"/>
    <x v="2"/>
    <n v="1"/>
  </r>
  <r>
    <s v="O00612"/>
    <d v="2025-02-13T00:00:00"/>
    <s v="C00612"/>
    <s v="Customer 612"/>
    <x v="1"/>
    <x v="1"/>
    <x v="1"/>
    <n v="3"/>
    <n v="2764"/>
    <n v="0.15"/>
    <n v="7048.2"/>
    <x v="611"/>
    <x v="0"/>
    <x v="4"/>
    <x v="4"/>
    <x v="0"/>
    <x v="2"/>
    <n v="3"/>
  </r>
  <r>
    <s v="O00613"/>
    <d v="2025-01-20T00:00:00"/>
    <s v="C00613"/>
    <s v="Customer 613"/>
    <x v="7"/>
    <x v="5"/>
    <x v="7"/>
    <n v="1"/>
    <n v="4057"/>
    <n v="0"/>
    <n v="4057"/>
    <x v="612"/>
    <x v="1"/>
    <x v="1"/>
    <x v="1"/>
    <x v="2"/>
    <x v="0"/>
    <n v="4"/>
  </r>
  <r>
    <s v="O00614"/>
    <d v="2025-07-05T00:00:00"/>
    <s v="C00614"/>
    <s v="Customer 614"/>
    <x v="2"/>
    <x v="2"/>
    <x v="2"/>
    <n v="3"/>
    <n v="4443"/>
    <n v="0.05"/>
    <n v="12662.55"/>
    <x v="613"/>
    <x v="1"/>
    <x v="4"/>
    <x v="4"/>
    <x v="2"/>
    <x v="2"/>
    <n v="5"/>
  </r>
  <r>
    <s v="O00615"/>
    <d v="2025-09-23T00:00:00"/>
    <s v="C00615"/>
    <s v="Customer 615"/>
    <x v="0"/>
    <x v="0"/>
    <x v="0"/>
    <n v="1"/>
    <n v="11625"/>
    <n v="0"/>
    <n v="11625"/>
    <x v="614"/>
    <x v="0"/>
    <x v="1"/>
    <x v="1"/>
    <x v="2"/>
    <x v="2"/>
    <n v="2"/>
  </r>
  <r>
    <s v="O00616"/>
    <d v="2025-06-26T00:00:00"/>
    <s v="C00616"/>
    <s v="Customer 616"/>
    <x v="2"/>
    <x v="2"/>
    <x v="2"/>
    <n v="2"/>
    <n v="8287"/>
    <n v="0"/>
    <n v="16574"/>
    <x v="615"/>
    <x v="4"/>
    <x v="2"/>
    <x v="2"/>
    <x v="3"/>
    <x v="1"/>
    <n v="5"/>
  </r>
  <r>
    <s v="O00617"/>
    <d v="2025-09-21T00:00:00"/>
    <s v="C00617"/>
    <s v="Customer 617"/>
    <x v="3"/>
    <x v="3"/>
    <x v="3"/>
    <n v="2"/>
    <n v="3582"/>
    <n v="0.1"/>
    <n v="6447.6"/>
    <x v="616"/>
    <x v="3"/>
    <x v="2"/>
    <x v="2"/>
    <x v="0"/>
    <x v="2"/>
    <n v="2"/>
  </r>
  <r>
    <s v="O00618"/>
    <d v="2025-10-26T00:00:00"/>
    <s v="C00618"/>
    <s v="Customer 618"/>
    <x v="7"/>
    <x v="5"/>
    <x v="7"/>
    <n v="1"/>
    <n v="5318"/>
    <n v="0.15"/>
    <n v="4520.3"/>
    <x v="617"/>
    <x v="0"/>
    <x v="4"/>
    <x v="4"/>
    <x v="3"/>
    <x v="1"/>
    <n v="5"/>
  </r>
  <r>
    <s v="O00619"/>
    <d v="2025-09-09T00:00:00"/>
    <s v="C00619"/>
    <s v="Customer 619"/>
    <x v="5"/>
    <x v="3"/>
    <x v="5"/>
    <n v="1"/>
    <n v="4782"/>
    <n v="0.2"/>
    <n v="3825.6"/>
    <x v="618"/>
    <x v="3"/>
    <x v="5"/>
    <x v="5"/>
    <x v="0"/>
    <x v="0"/>
    <n v="5"/>
  </r>
  <r>
    <s v="O00620"/>
    <d v="2025-04-07T00:00:00"/>
    <s v="C00620"/>
    <s v="Customer 620"/>
    <x v="1"/>
    <x v="1"/>
    <x v="1"/>
    <n v="4"/>
    <n v="6456"/>
    <n v="0.15"/>
    <n v="21950.400000000001"/>
    <x v="619"/>
    <x v="3"/>
    <x v="5"/>
    <x v="5"/>
    <x v="4"/>
    <x v="2"/>
    <n v="4"/>
  </r>
  <r>
    <s v="O00621"/>
    <d v="2025-09-08T00:00:00"/>
    <s v="C00621"/>
    <s v="Customer 621"/>
    <x v="2"/>
    <x v="2"/>
    <x v="2"/>
    <n v="2"/>
    <n v="5973"/>
    <n v="0.1"/>
    <n v="10751.4"/>
    <x v="620"/>
    <x v="2"/>
    <x v="2"/>
    <x v="2"/>
    <x v="4"/>
    <x v="1"/>
    <n v="2"/>
  </r>
  <r>
    <s v="O00622"/>
    <d v="2025-09-26T00:00:00"/>
    <s v="C00622"/>
    <s v="Customer 622"/>
    <x v="1"/>
    <x v="1"/>
    <x v="1"/>
    <n v="2"/>
    <n v="12256"/>
    <n v="0"/>
    <n v="24512"/>
    <x v="621"/>
    <x v="1"/>
    <x v="1"/>
    <x v="1"/>
    <x v="1"/>
    <x v="3"/>
    <n v="5"/>
  </r>
  <r>
    <s v="O00623"/>
    <d v="2025-05-14T00:00:00"/>
    <s v="C00623"/>
    <s v="Customer 623"/>
    <x v="3"/>
    <x v="3"/>
    <x v="3"/>
    <n v="2"/>
    <n v="3342"/>
    <n v="0.1"/>
    <n v="6015.6"/>
    <x v="622"/>
    <x v="2"/>
    <x v="1"/>
    <x v="1"/>
    <x v="4"/>
    <x v="3"/>
    <n v="3"/>
  </r>
  <r>
    <s v="O00624"/>
    <d v="2025-09-30T00:00:00"/>
    <s v="C00624"/>
    <s v="Customer 624"/>
    <x v="4"/>
    <x v="3"/>
    <x v="4"/>
    <n v="1"/>
    <n v="3142"/>
    <n v="0.15"/>
    <n v="2670.7"/>
    <x v="623"/>
    <x v="2"/>
    <x v="2"/>
    <x v="2"/>
    <x v="3"/>
    <x v="1"/>
    <n v="3"/>
  </r>
  <r>
    <s v="O00625"/>
    <d v="2025-06-04T00:00:00"/>
    <s v="C00625"/>
    <s v="Customer 625"/>
    <x v="7"/>
    <x v="5"/>
    <x v="7"/>
    <n v="2"/>
    <n v="4321"/>
    <n v="0.1"/>
    <n v="7777.8"/>
    <x v="624"/>
    <x v="4"/>
    <x v="1"/>
    <x v="1"/>
    <x v="4"/>
    <x v="0"/>
    <n v="1"/>
  </r>
  <r>
    <s v="O00626"/>
    <d v="2025-07-14T00:00:00"/>
    <s v="C00626"/>
    <s v="Customer 626"/>
    <x v="0"/>
    <x v="0"/>
    <x v="0"/>
    <n v="5"/>
    <n v="12975"/>
    <n v="0.05"/>
    <n v="61631.25"/>
    <x v="625"/>
    <x v="3"/>
    <x v="1"/>
    <x v="1"/>
    <x v="0"/>
    <x v="0"/>
    <n v="5"/>
  </r>
  <r>
    <s v="O00627"/>
    <d v="2025-01-14T00:00:00"/>
    <s v="C00627"/>
    <s v="Customer 627"/>
    <x v="7"/>
    <x v="5"/>
    <x v="7"/>
    <n v="5"/>
    <n v="3249"/>
    <n v="0.15"/>
    <n v="13808.25"/>
    <x v="626"/>
    <x v="0"/>
    <x v="4"/>
    <x v="4"/>
    <x v="2"/>
    <x v="0"/>
    <n v="3"/>
  </r>
  <r>
    <s v="O00628"/>
    <d v="2025-12-04T00:00:00"/>
    <s v="C00628"/>
    <s v="Customer 628"/>
    <x v="0"/>
    <x v="0"/>
    <x v="0"/>
    <n v="4"/>
    <n v="10292"/>
    <n v="0.1"/>
    <n v="37051.199999999997"/>
    <x v="627"/>
    <x v="4"/>
    <x v="4"/>
    <x v="4"/>
    <x v="0"/>
    <x v="2"/>
    <n v="1"/>
  </r>
  <r>
    <s v="O00629"/>
    <d v="2025-11-14T00:00:00"/>
    <s v="C00629"/>
    <s v="Customer 629"/>
    <x v="6"/>
    <x v="4"/>
    <x v="6"/>
    <n v="1"/>
    <n v="5741"/>
    <n v="0"/>
    <n v="5741"/>
    <x v="628"/>
    <x v="1"/>
    <x v="5"/>
    <x v="5"/>
    <x v="0"/>
    <x v="0"/>
    <n v="5"/>
  </r>
  <r>
    <s v="O00630"/>
    <d v="2025-01-26T00:00:00"/>
    <s v="C00630"/>
    <s v="Customer 630"/>
    <x v="7"/>
    <x v="5"/>
    <x v="7"/>
    <n v="1"/>
    <n v="6449"/>
    <n v="0"/>
    <n v="6449"/>
    <x v="629"/>
    <x v="2"/>
    <x v="3"/>
    <x v="3"/>
    <x v="3"/>
    <x v="0"/>
    <n v="5"/>
  </r>
  <r>
    <s v="O00631"/>
    <d v="2025-06-05T00:00:00"/>
    <s v="C00631"/>
    <s v="Customer 631"/>
    <x v="3"/>
    <x v="3"/>
    <x v="3"/>
    <n v="1"/>
    <n v="892"/>
    <n v="0.1"/>
    <n v="802.8"/>
    <x v="630"/>
    <x v="1"/>
    <x v="1"/>
    <x v="1"/>
    <x v="1"/>
    <x v="0"/>
    <n v="1"/>
  </r>
  <r>
    <s v="O00632"/>
    <d v="2025-03-25T00:00:00"/>
    <s v="C00632"/>
    <s v="Customer 632"/>
    <x v="7"/>
    <x v="5"/>
    <x v="7"/>
    <n v="4"/>
    <n v="5259"/>
    <n v="0.1"/>
    <n v="18932.400000000001"/>
    <x v="631"/>
    <x v="0"/>
    <x v="1"/>
    <x v="1"/>
    <x v="0"/>
    <x v="2"/>
    <n v="4"/>
  </r>
  <r>
    <s v="O00633"/>
    <d v="2025-02-26T00:00:00"/>
    <s v="C00633"/>
    <s v="Customer 633"/>
    <x v="2"/>
    <x v="2"/>
    <x v="2"/>
    <n v="2"/>
    <n v="5891"/>
    <n v="0.1"/>
    <n v="10603.8"/>
    <x v="632"/>
    <x v="3"/>
    <x v="5"/>
    <x v="5"/>
    <x v="1"/>
    <x v="3"/>
    <n v="1"/>
  </r>
  <r>
    <s v="O00634"/>
    <d v="2025-06-27T00:00:00"/>
    <s v="C00634"/>
    <s v="Customer 634"/>
    <x v="4"/>
    <x v="3"/>
    <x v="4"/>
    <n v="4"/>
    <n v="3342"/>
    <n v="0.15"/>
    <n v="11362.8"/>
    <x v="633"/>
    <x v="2"/>
    <x v="0"/>
    <x v="0"/>
    <x v="0"/>
    <x v="0"/>
    <n v="4"/>
  </r>
  <r>
    <s v="O00635"/>
    <d v="2025-09-09T00:00:00"/>
    <s v="C00635"/>
    <s v="Customer 635"/>
    <x v="4"/>
    <x v="3"/>
    <x v="4"/>
    <n v="3"/>
    <n v="3315"/>
    <n v="0.1"/>
    <n v="8950.5"/>
    <x v="634"/>
    <x v="3"/>
    <x v="0"/>
    <x v="0"/>
    <x v="4"/>
    <x v="2"/>
    <n v="5"/>
  </r>
  <r>
    <s v="O00636"/>
    <d v="2025-07-21T00:00:00"/>
    <s v="C00636"/>
    <s v="Customer 636"/>
    <x v="6"/>
    <x v="4"/>
    <x v="6"/>
    <n v="4"/>
    <n v="2833"/>
    <n v="0.1"/>
    <n v="10198.799999999999"/>
    <x v="635"/>
    <x v="1"/>
    <x v="2"/>
    <x v="2"/>
    <x v="1"/>
    <x v="1"/>
    <n v="3"/>
  </r>
  <r>
    <s v="O00637"/>
    <d v="2025-08-19T00:00:00"/>
    <s v="C00637"/>
    <s v="Customer 637"/>
    <x v="1"/>
    <x v="1"/>
    <x v="1"/>
    <n v="4"/>
    <n v="11395"/>
    <n v="0"/>
    <n v="45580"/>
    <x v="636"/>
    <x v="4"/>
    <x v="4"/>
    <x v="4"/>
    <x v="2"/>
    <x v="0"/>
    <n v="5"/>
  </r>
  <r>
    <s v="O00638"/>
    <d v="2025-10-05T00:00:00"/>
    <s v="C00638"/>
    <s v="Customer 638"/>
    <x v="0"/>
    <x v="0"/>
    <x v="0"/>
    <n v="3"/>
    <n v="4110"/>
    <n v="0.05"/>
    <n v="11713.5"/>
    <x v="637"/>
    <x v="2"/>
    <x v="2"/>
    <x v="2"/>
    <x v="3"/>
    <x v="3"/>
    <n v="4"/>
  </r>
  <r>
    <s v="O00639"/>
    <d v="2025-02-03T00:00:00"/>
    <s v="C00639"/>
    <s v="Customer 639"/>
    <x v="7"/>
    <x v="5"/>
    <x v="7"/>
    <n v="1"/>
    <n v="8563"/>
    <n v="0.05"/>
    <n v="8134.85"/>
    <x v="638"/>
    <x v="2"/>
    <x v="1"/>
    <x v="1"/>
    <x v="4"/>
    <x v="1"/>
    <n v="2"/>
  </r>
  <r>
    <s v="O00640"/>
    <d v="2025-08-27T00:00:00"/>
    <s v="C00640"/>
    <s v="Customer 640"/>
    <x v="5"/>
    <x v="3"/>
    <x v="5"/>
    <n v="4"/>
    <n v="6842"/>
    <n v="0.15"/>
    <n v="23262.799999999999"/>
    <x v="639"/>
    <x v="3"/>
    <x v="2"/>
    <x v="2"/>
    <x v="1"/>
    <x v="2"/>
    <n v="2"/>
  </r>
  <r>
    <s v="O00641"/>
    <d v="2025-10-08T00:00:00"/>
    <s v="C00641"/>
    <s v="Customer 641"/>
    <x v="6"/>
    <x v="4"/>
    <x v="6"/>
    <n v="5"/>
    <n v="5935"/>
    <n v="0.1"/>
    <n v="26707.5"/>
    <x v="640"/>
    <x v="3"/>
    <x v="3"/>
    <x v="3"/>
    <x v="3"/>
    <x v="1"/>
    <n v="3"/>
  </r>
  <r>
    <s v="O00642"/>
    <d v="2025-02-22T00:00:00"/>
    <s v="C00642"/>
    <s v="Customer 642"/>
    <x v="1"/>
    <x v="1"/>
    <x v="1"/>
    <n v="1"/>
    <n v="2889"/>
    <n v="0.05"/>
    <n v="2744.55"/>
    <x v="641"/>
    <x v="0"/>
    <x v="4"/>
    <x v="4"/>
    <x v="4"/>
    <x v="0"/>
    <n v="4"/>
  </r>
  <r>
    <s v="O00643"/>
    <d v="2025-08-08T00:00:00"/>
    <s v="C00643"/>
    <s v="Customer 643"/>
    <x v="2"/>
    <x v="2"/>
    <x v="2"/>
    <n v="1"/>
    <n v="8733"/>
    <n v="0"/>
    <n v="8733"/>
    <x v="642"/>
    <x v="3"/>
    <x v="3"/>
    <x v="3"/>
    <x v="1"/>
    <x v="1"/>
    <n v="3"/>
  </r>
  <r>
    <s v="O00644"/>
    <d v="2025-12-27T00:00:00"/>
    <s v="C00644"/>
    <s v="Customer 644"/>
    <x v="6"/>
    <x v="4"/>
    <x v="6"/>
    <n v="4"/>
    <n v="11938"/>
    <n v="0.15"/>
    <n v="40589.199999999997"/>
    <x v="643"/>
    <x v="2"/>
    <x v="0"/>
    <x v="0"/>
    <x v="2"/>
    <x v="0"/>
    <n v="2"/>
  </r>
  <r>
    <s v="O00645"/>
    <d v="2025-06-17T00:00:00"/>
    <s v="C00645"/>
    <s v="Customer 645"/>
    <x v="5"/>
    <x v="3"/>
    <x v="5"/>
    <n v="2"/>
    <n v="556"/>
    <n v="0"/>
    <n v="1112"/>
    <x v="644"/>
    <x v="3"/>
    <x v="4"/>
    <x v="4"/>
    <x v="3"/>
    <x v="0"/>
    <n v="2"/>
  </r>
  <r>
    <s v="O00646"/>
    <d v="2025-10-01T00:00:00"/>
    <s v="C00646"/>
    <s v="Customer 646"/>
    <x v="5"/>
    <x v="3"/>
    <x v="5"/>
    <n v="1"/>
    <n v="12055"/>
    <n v="0.2"/>
    <n v="9644"/>
    <x v="645"/>
    <x v="1"/>
    <x v="5"/>
    <x v="5"/>
    <x v="4"/>
    <x v="1"/>
    <n v="2"/>
  </r>
  <r>
    <s v="O00647"/>
    <d v="2025-01-28T00:00:00"/>
    <s v="C00647"/>
    <s v="Customer 647"/>
    <x v="1"/>
    <x v="1"/>
    <x v="1"/>
    <n v="4"/>
    <n v="12742"/>
    <n v="0.1"/>
    <n v="45871.199999999997"/>
    <x v="646"/>
    <x v="2"/>
    <x v="4"/>
    <x v="4"/>
    <x v="4"/>
    <x v="3"/>
    <n v="4"/>
  </r>
  <r>
    <s v="O00648"/>
    <d v="2025-08-31T00:00:00"/>
    <s v="C00648"/>
    <s v="Customer 648"/>
    <x v="0"/>
    <x v="0"/>
    <x v="0"/>
    <n v="5"/>
    <n v="7616"/>
    <n v="0.2"/>
    <n v="30464"/>
    <x v="647"/>
    <x v="4"/>
    <x v="4"/>
    <x v="4"/>
    <x v="2"/>
    <x v="3"/>
    <n v="1"/>
  </r>
  <r>
    <s v="O00649"/>
    <d v="2025-06-19T00:00:00"/>
    <s v="C00649"/>
    <s v="Customer 649"/>
    <x v="5"/>
    <x v="3"/>
    <x v="5"/>
    <n v="3"/>
    <n v="14392"/>
    <n v="0.15"/>
    <n v="36699.599999999999"/>
    <x v="648"/>
    <x v="3"/>
    <x v="4"/>
    <x v="4"/>
    <x v="1"/>
    <x v="3"/>
    <n v="4"/>
  </r>
  <r>
    <s v="O00650"/>
    <d v="2025-01-23T00:00:00"/>
    <s v="C00650"/>
    <s v="Customer 650"/>
    <x v="2"/>
    <x v="2"/>
    <x v="2"/>
    <n v="2"/>
    <n v="6911"/>
    <n v="0"/>
    <n v="13822"/>
    <x v="649"/>
    <x v="3"/>
    <x v="5"/>
    <x v="5"/>
    <x v="4"/>
    <x v="1"/>
    <n v="5"/>
  </r>
  <r>
    <s v="O00651"/>
    <d v="2025-06-07T00:00:00"/>
    <s v="C00651"/>
    <s v="Customer 651"/>
    <x v="4"/>
    <x v="3"/>
    <x v="4"/>
    <n v="3"/>
    <n v="12161"/>
    <n v="0.05"/>
    <n v="34658.85"/>
    <x v="650"/>
    <x v="0"/>
    <x v="3"/>
    <x v="3"/>
    <x v="3"/>
    <x v="0"/>
    <n v="5"/>
  </r>
  <r>
    <s v="O00652"/>
    <d v="2025-07-14T00:00:00"/>
    <s v="C00652"/>
    <s v="Customer 652"/>
    <x v="0"/>
    <x v="0"/>
    <x v="0"/>
    <n v="1"/>
    <n v="6700"/>
    <n v="0.15"/>
    <n v="5695"/>
    <x v="651"/>
    <x v="2"/>
    <x v="4"/>
    <x v="4"/>
    <x v="4"/>
    <x v="1"/>
    <n v="4"/>
  </r>
  <r>
    <s v="O00653"/>
    <d v="2025-05-15T00:00:00"/>
    <s v="C00653"/>
    <s v="Customer 653"/>
    <x v="2"/>
    <x v="2"/>
    <x v="2"/>
    <n v="2"/>
    <n v="11553"/>
    <n v="0.05"/>
    <n v="21950.7"/>
    <x v="652"/>
    <x v="2"/>
    <x v="1"/>
    <x v="1"/>
    <x v="1"/>
    <x v="2"/>
    <n v="5"/>
  </r>
  <r>
    <s v="O00654"/>
    <d v="2025-03-12T00:00:00"/>
    <s v="C00654"/>
    <s v="Customer 654"/>
    <x v="6"/>
    <x v="4"/>
    <x v="6"/>
    <n v="3"/>
    <n v="4053"/>
    <n v="0.05"/>
    <n v="11551.05"/>
    <x v="653"/>
    <x v="4"/>
    <x v="2"/>
    <x v="2"/>
    <x v="2"/>
    <x v="2"/>
    <n v="2"/>
  </r>
  <r>
    <s v="O00655"/>
    <d v="2025-05-31T00:00:00"/>
    <s v="C00655"/>
    <s v="Customer 655"/>
    <x v="4"/>
    <x v="3"/>
    <x v="4"/>
    <n v="1"/>
    <n v="9410"/>
    <n v="0.1"/>
    <n v="8469"/>
    <x v="654"/>
    <x v="0"/>
    <x v="4"/>
    <x v="4"/>
    <x v="3"/>
    <x v="2"/>
    <n v="1"/>
  </r>
  <r>
    <s v="O00656"/>
    <d v="2025-07-18T00:00:00"/>
    <s v="C00656"/>
    <s v="Customer 656"/>
    <x v="0"/>
    <x v="0"/>
    <x v="0"/>
    <n v="1"/>
    <n v="9570"/>
    <n v="0.2"/>
    <n v="7656"/>
    <x v="655"/>
    <x v="1"/>
    <x v="3"/>
    <x v="3"/>
    <x v="0"/>
    <x v="1"/>
    <n v="2"/>
  </r>
  <r>
    <s v="O00657"/>
    <d v="2025-03-27T00:00:00"/>
    <s v="C00657"/>
    <s v="Customer 657"/>
    <x v="7"/>
    <x v="5"/>
    <x v="7"/>
    <n v="4"/>
    <n v="13451"/>
    <n v="0.15"/>
    <n v="45733.4"/>
    <x v="656"/>
    <x v="2"/>
    <x v="0"/>
    <x v="0"/>
    <x v="1"/>
    <x v="1"/>
    <n v="2"/>
  </r>
  <r>
    <s v="O00658"/>
    <d v="2025-01-28T00:00:00"/>
    <s v="C00658"/>
    <s v="Customer 658"/>
    <x v="1"/>
    <x v="1"/>
    <x v="1"/>
    <n v="5"/>
    <n v="9996"/>
    <n v="0.05"/>
    <n v="47481"/>
    <x v="657"/>
    <x v="3"/>
    <x v="5"/>
    <x v="5"/>
    <x v="1"/>
    <x v="2"/>
    <n v="4"/>
  </r>
  <r>
    <s v="O00659"/>
    <d v="2025-03-22T00:00:00"/>
    <s v="C00659"/>
    <s v="Customer 659"/>
    <x v="5"/>
    <x v="3"/>
    <x v="5"/>
    <n v="1"/>
    <n v="4375"/>
    <n v="0.1"/>
    <n v="3937.5"/>
    <x v="658"/>
    <x v="0"/>
    <x v="2"/>
    <x v="2"/>
    <x v="4"/>
    <x v="0"/>
    <n v="2"/>
  </r>
  <r>
    <s v="O00660"/>
    <d v="2025-03-05T00:00:00"/>
    <s v="C00660"/>
    <s v="Customer 660"/>
    <x v="6"/>
    <x v="4"/>
    <x v="6"/>
    <n v="2"/>
    <n v="11078"/>
    <n v="0.05"/>
    <n v="21048.2"/>
    <x v="659"/>
    <x v="2"/>
    <x v="5"/>
    <x v="5"/>
    <x v="2"/>
    <x v="3"/>
    <n v="4"/>
  </r>
  <r>
    <s v="O00661"/>
    <d v="2025-05-16T00:00:00"/>
    <s v="C00661"/>
    <s v="Customer 661"/>
    <x v="2"/>
    <x v="2"/>
    <x v="2"/>
    <n v="3"/>
    <n v="3094"/>
    <n v="0.1"/>
    <n v="8353.7999999999993"/>
    <x v="660"/>
    <x v="0"/>
    <x v="0"/>
    <x v="0"/>
    <x v="0"/>
    <x v="0"/>
    <n v="4"/>
  </r>
  <r>
    <s v="O00662"/>
    <d v="2025-05-26T00:00:00"/>
    <s v="C00662"/>
    <s v="Customer 662"/>
    <x v="7"/>
    <x v="5"/>
    <x v="7"/>
    <n v="3"/>
    <n v="8449"/>
    <n v="0.05"/>
    <n v="24079.65"/>
    <x v="661"/>
    <x v="1"/>
    <x v="2"/>
    <x v="2"/>
    <x v="3"/>
    <x v="3"/>
    <n v="4"/>
  </r>
  <r>
    <s v="O00663"/>
    <d v="2025-06-15T00:00:00"/>
    <s v="C00663"/>
    <s v="Customer 663"/>
    <x v="5"/>
    <x v="3"/>
    <x v="5"/>
    <n v="1"/>
    <n v="9456"/>
    <n v="0.15"/>
    <n v="8037.6"/>
    <x v="662"/>
    <x v="0"/>
    <x v="0"/>
    <x v="0"/>
    <x v="3"/>
    <x v="0"/>
    <n v="1"/>
  </r>
  <r>
    <s v="O00664"/>
    <d v="2025-05-13T00:00:00"/>
    <s v="C00664"/>
    <s v="Customer 664"/>
    <x v="2"/>
    <x v="2"/>
    <x v="2"/>
    <n v="5"/>
    <n v="12314"/>
    <n v="0"/>
    <n v="61570"/>
    <x v="663"/>
    <x v="3"/>
    <x v="0"/>
    <x v="0"/>
    <x v="0"/>
    <x v="0"/>
    <n v="1"/>
  </r>
  <r>
    <s v="O00665"/>
    <d v="2025-09-30T00:00:00"/>
    <s v="C00665"/>
    <s v="Customer 665"/>
    <x v="3"/>
    <x v="3"/>
    <x v="3"/>
    <n v="4"/>
    <n v="14509"/>
    <n v="0"/>
    <n v="58036"/>
    <x v="664"/>
    <x v="3"/>
    <x v="3"/>
    <x v="3"/>
    <x v="1"/>
    <x v="0"/>
    <n v="3"/>
  </r>
  <r>
    <s v="O00666"/>
    <d v="2025-08-18T00:00:00"/>
    <s v="C00666"/>
    <s v="Customer 666"/>
    <x v="6"/>
    <x v="4"/>
    <x v="6"/>
    <n v="2"/>
    <n v="7214"/>
    <n v="0.05"/>
    <n v="13706.6"/>
    <x v="665"/>
    <x v="3"/>
    <x v="3"/>
    <x v="3"/>
    <x v="4"/>
    <x v="1"/>
    <n v="1"/>
  </r>
  <r>
    <s v="O00667"/>
    <d v="2025-10-18T00:00:00"/>
    <s v="C00667"/>
    <s v="Customer 667"/>
    <x v="3"/>
    <x v="3"/>
    <x v="3"/>
    <n v="2"/>
    <n v="7247"/>
    <n v="0.1"/>
    <n v="13044.6"/>
    <x v="666"/>
    <x v="3"/>
    <x v="2"/>
    <x v="2"/>
    <x v="4"/>
    <x v="1"/>
    <n v="5"/>
  </r>
  <r>
    <s v="O00668"/>
    <d v="2025-12-03T00:00:00"/>
    <s v="C00668"/>
    <s v="Customer 668"/>
    <x v="7"/>
    <x v="5"/>
    <x v="7"/>
    <n v="4"/>
    <n v="14393"/>
    <n v="0"/>
    <n v="57572"/>
    <x v="667"/>
    <x v="1"/>
    <x v="1"/>
    <x v="1"/>
    <x v="1"/>
    <x v="3"/>
    <n v="5"/>
  </r>
  <r>
    <s v="O00669"/>
    <d v="2025-10-23T00:00:00"/>
    <s v="C00669"/>
    <s v="Customer 669"/>
    <x v="6"/>
    <x v="4"/>
    <x v="6"/>
    <n v="4"/>
    <n v="9219"/>
    <n v="0.2"/>
    <n v="29500.799999999999"/>
    <x v="668"/>
    <x v="2"/>
    <x v="1"/>
    <x v="1"/>
    <x v="1"/>
    <x v="0"/>
    <n v="3"/>
  </r>
  <r>
    <s v="O00670"/>
    <d v="2025-08-03T00:00:00"/>
    <s v="C00670"/>
    <s v="Customer 670"/>
    <x v="6"/>
    <x v="4"/>
    <x v="6"/>
    <n v="1"/>
    <n v="11929"/>
    <n v="0.05"/>
    <n v="11332.55"/>
    <x v="669"/>
    <x v="0"/>
    <x v="2"/>
    <x v="2"/>
    <x v="2"/>
    <x v="2"/>
    <n v="1"/>
  </r>
  <r>
    <s v="O00671"/>
    <d v="2025-07-24T00:00:00"/>
    <s v="C00671"/>
    <s v="Customer 671"/>
    <x v="2"/>
    <x v="2"/>
    <x v="2"/>
    <n v="5"/>
    <n v="693"/>
    <n v="0.15"/>
    <n v="2945.25"/>
    <x v="670"/>
    <x v="2"/>
    <x v="0"/>
    <x v="0"/>
    <x v="0"/>
    <x v="2"/>
    <n v="2"/>
  </r>
  <r>
    <s v="O00672"/>
    <d v="2025-03-01T00:00:00"/>
    <s v="C00672"/>
    <s v="Customer 672"/>
    <x v="7"/>
    <x v="5"/>
    <x v="7"/>
    <n v="3"/>
    <n v="11612"/>
    <n v="0.1"/>
    <n v="31352.400000000001"/>
    <x v="671"/>
    <x v="3"/>
    <x v="3"/>
    <x v="3"/>
    <x v="4"/>
    <x v="0"/>
    <n v="3"/>
  </r>
  <r>
    <s v="O00673"/>
    <d v="2025-10-22T00:00:00"/>
    <s v="C00673"/>
    <s v="Customer 673"/>
    <x v="5"/>
    <x v="3"/>
    <x v="5"/>
    <n v="2"/>
    <n v="1931"/>
    <n v="0.1"/>
    <n v="3475.8"/>
    <x v="672"/>
    <x v="0"/>
    <x v="1"/>
    <x v="1"/>
    <x v="2"/>
    <x v="0"/>
    <n v="3"/>
  </r>
  <r>
    <s v="O00674"/>
    <d v="2025-10-12T00:00:00"/>
    <s v="C00674"/>
    <s v="Customer 674"/>
    <x v="7"/>
    <x v="5"/>
    <x v="7"/>
    <n v="4"/>
    <n v="440"/>
    <n v="0.15"/>
    <n v="1496"/>
    <x v="673"/>
    <x v="3"/>
    <x v="1"/>
    <x v="1"/>
    <x v="3"/>
    <x v="2"/>
    <n v="4"/>
  </r>
  <r>
    <s v="O00675"/>
    <d v="2025-11-21T00:00:00"/>
    <s v="C00675"/>
    <s v="Customer 675"/>
    <x v="5"/>
    <x v="3"/>
    <x v="5"/>
    <n v="5"/>
    <n v="448"/>
    <n v="0.05"/>
    <n v="2128"/>
    <x v="674"/>
    <x v="1"/>
    <x v="4"/>
    <x v="4"/>
    <x v="1"/>
    <x v="0"/>
    <n v="5"/>
  </r>
  <r>
    <s v="O00676"/>
    <d v="2025-11-28T00:00:00"/>
    <s v="C00676"/>
    <s v="Customer 676"/>
    <x v="3"/>
    <x v="3"/>
    <x v="3"/>
    <n v="1"/>
    <n v="11582"/>
    <n v="0.2"/>
    <n v="9265.6"/>
    <x v="675"/>
    <x v="2"/>
    <x v="4"/>
    <x v="4"/>
    <x v="4"/>
    <x v="2"/>
    <n v="3"/>
  </r>
  <r>
    <s v="O00677"/>
    <d v="2025-02-18T00:00:00"/>
    <s v="C00677"/>
    <s v="Customer 677"/>
    <x v="4"/>
    <x v="3"/>
    <x v="4"/>
    <n v="4"/>
    <n v="5246"/>
    <n v="0"/>
    <n v="20984"/>
    <x v="676"/>
    <x v="3"/>
    <x v="2"/>
    <x v="2"/>
    <x v="3"/>
    <x v="1"/>
    <n v="2"/>
  </r>
  <r>
    <s v="O00678"/>
    <d v="2025-07-02T00:00:00"/>
    <s v="C00678"/>
    <s v="Customer 678"/>
    <x v="0"/>
    <x v="0"/>
    <x v="0"/>
    <n v="1"/>
    <n v="3263"/>
    <n v="0"/>
    <n v="3263"/>
    <x v="677"/>
    <x v="2"/>
    <x v="4"/>
    <x v="4"/>
    <x v="2"/>
    <x v="2"/>
    <n v="3"/>
  </r>
  <r>
    <s v="O00679"/>
    <d v="2025-08-29T00:00:00"/>
    <s v="C00679"/>
    <s v="Customer 679"/>
    <x v="0"/>
    <x v="0"/>
    <x v="0"/>
    <n v="3"/>
    <n v="10516"/>
    <n v="0.2"/>
    <n v="25238.400000000001"/>
    <x v="678"/>
    <x v="3"/>
    <x v="1"/>
    <x v="1"/>
    <x v="2"/>
    <x v="1"/>
    <n v="3"/>
  </r>
  <r>
    <s v="O00680"/>
    <d v="2025-03-10T00:00:00"/>
    <s v="C00680"/>
    <s v="Customer 680"/>
    <x v="3"/>
    <x v="3"/>
    <x v="3"/>
    <n v="2"/>
    <n v="11313"/>
    <n v="0.05"/>
    <n v="21494.7"/>
    <x v="679"/>
    <x v="4"/>
    <x v="3"/>
    <x v="3"/>
    <x v="4"/>
    <x v="2"/>
    <n v="2"/>
  </r>
  <r>
    <s v="O00681"/>
    <d v="2025-01-19T00:00:00"/>
    <s v="C00681"/>
    <s v="Customer 681"/>
    <x v="0"/>
    <x v="0"/>
    <x v="0"/>
    <n v="3"/>
    <n v="247"/>
    <n v="0.2"/>
    <n v="592.79999999999995"/>
    <x v="680"/>
    <x v="4"/>
    <x v="0"/>
    <x v="0"/>
    <x v="3"/>
    <x v="2"/>
    <n v="5"/>
  </r>
  <r>
    <s v="O00682"/>
    <d v="2025-01-02T00:00:00"/>
    <s v="C00682"/>
    <s v="Customer 682"/>
    <x v="2"/>
    <x v="2"/>
    <x v="2"/>
    <n v="5"/>
    <n v="5070"/>
    <n v="0.15"/>
    <n v="21547.5"/>
    <x v="681"/>
    <x v="1"/>
    <x v="3"/>
    <x v="3"/>
    <x v="2"/>
    <x v="2"/>
    <n v="4"/>
  </r>
  <r>
    <s v="O00683"/>
    <d v="2025-02-21T00:00:00"/>
    <s v="C00683"/>
    <s v="Customer 683"/>
    <x v="2"/>
    <x v="2"/>
    <x v="2"/>
    <n v="5"/>
    <n v="7996"/>
    <n v="0.1"/>
    <n v="35982"/>
    <x v="682"/>
    <x v="1"/>
    <x v="3"/>
    <x v="3"/>
    <x v="2"/>
    <x v="0"/>
    <n v="3"/>
  </r>
  <r>
    <s v="O00684"/>
    <d v="2025-06-13T00:00:00"/>
    <s v="C00684"/>
    <s v="Customer 684"/>
    <x v="3"/>
    <x v="3"/>
    <x v="3"/>
    <n v="4"/>
    <n v="5364"/>
    <n v="0"/>
    <n v="21456"/>
    <x v="683"/>
    <x v="2"/>
    <x v="1"/>
    <x v="1"/>
    <x v="3"/>
    <x v="3"/>
    <n v="3"/>
  </r>
  <r>
    <s v="O00685"/>
    <d v="2025-11-30T00:00:00"/>
    <s v="C00685"/>
    <s v="Customer 685"/>
    <x v="5"/>
    <x v="3"/>
    <x v="5"/>
    <n v="4"/>
    <n v="11846"/>
    <n v="0.05"/>
    <n v="45014.8"/>
    <x v="684"/>
    <x v="4"/>
    <x v="3"/>
    <x v="3"/>
    <x v="2"/>
    <x v="2"/>
    <n v="2"/>
  </r>
  <r>
    <s v="O00686"/>
    <d v="2025-04-13T00:00:00"/>
    <s v="C00686"/>
    <s v="Customer 686"/>
    <x v="6"/>
    <x v="4"/>
    <x v="6"/>
    <n v="5"/>
    <n v="7528"/>
    <n v="0.2"/>
    <n v="30112"/>
    <x v="685"/>
    <x v="3"/>
    <x v="2"/>
    <x v="2"/>
    <x v="0"/>
    <x v="1"/>
    <n v="1"/>
  </r>
  <r>
    <s v="O00687"/>
    <d v="2025-09-24T00:00:00"/>
    <s v="C00687"/>
    <s v="Customer 687"/>
    <x v="7"/>
    <x v="5"/>
    <x v="7"/>
    <n v="2"/>
    <n v="2079"/>
    <n v="0.05"/>
    <n v="3950.1"/>
    <x v="686"/>
    <x v="2"/>
    <x v="3"/>
    <x v="3"/>
    <x v="3"/>
    <x v="0"/>
    <n v="2"/>
  </r>
  <r>
    <s v="O00688"/>
    <d v="2025-03-24T00:00:00"/>
    <s v="C00688"/>
    <s v="Customer 688"/>
    <x v="7"/>
    <x v="5"/>
    <x v="7"/>
    <n v="3"/>
    <n v="6525"/>
    <n v="0"/>
    <n v="19575"/>
    <x v="687"/>
    <x v="4"/>
    <x v="3"/>
    <x v="3"/>
    <x v="3"/>
    <x v="2"/>
    <n v="3"/>
  </r>
  <r>
    <s v="O00689"/>
    <d v="2025-05-26T00:00:00"/>
    <s v="C00689"/>
    <s v="Customer 689"/>
    <x v="3"/>
    <x v="3"/>
    <x v="3"/>
    <n v="5"/>
    <n v="10449"/>
    <n v="0.15"/>
    <n v="44408.25"/>
    <x v="688"/>
    <x v="0"/>
    <x v="1"/>
    <x v="1"/>
    <x v="4"/>
    <x v="2"/>
    <n v="2"/>
  </r>
  <r>
    <s v="O00690"/>
    <d v="2025-07-21T00:00:00"/>
    <s v="C00690"/>
    <s v="Customer 690"/>
    <x v="7"/>
    <x v="5"/>
    <x v="7"/>
    <n v="5"/>
    <n v="13825"/>
    <n v="0.05"/>
    <n v="65668.75"/>
    <x v="689"/>
    <x v="4"/>
    <x v="3"/>
    <x v="3"/>
    <x v="3"/>
    <x v="1"/>
    <n v="5"/>
  </r>
  <r>
    <s v="O00691"/>
    <d v="2025-07-10T00:00:00"/>
    <s v="C00691"/>
    <s v="Customer 691"/>
    <x v="3"/>
    <x v="3"/>
    <x v="3"/>
    <n v="4"/>
    <n v="10862"/>
    <n v="0.05"/>
    <n v="41275.599999999999"/>
    <x v="690"/>
    <x v="3"/>
    <x v="1"/>
    <x v="1"/>
    <x v="1"/>
    <x v="1"/>
    <n v="2"/>
  </r>
  <r>
    <s v="O00692"/>
    <d v="2025-08-20T00:00:00"/>
    <s v="C00692"/>
    <s v="Customer 692"/>
    <x v="2"/>
    <x v="2"/>
    <x v="2"/>
    <n v="4"/>
    <n v="1665"/>
    <n v="0.2"/>
    <n v="5328"/>
    <x v="691"/>
    <x v="4"/>
    <x v="3"/>
    <x v="3"/>
    <x v="2"/>
    <x v="2"/>
    <n v="1"/>
  </r>
  <r>
    <s v="O00693"/>
    <d v="2025-07-20T00:00:00"/>
    <s v="C00693"/>
    <s v="Customer 693"/>
    <x v="5"/>
    <x v="3"/>
    <x v="5"/>
    <n v="3"/>
    <n v="12041"/>
    <n v="0.15"/>
    <n v="30704.55"/>
    <x v="692"/>
    <x v="4"/>
    <x v="1"/>
    <x v="1"/>
    <x v="0"/>
    <x v="1"/>
    <n v="1"/>
  </r>
  <r>
    <s v="O00694"/>
    <d v="2025-04-08T00:00:00"/>
    <s v="C00694"/>
    <s v="Customer 694"/>
    <x v="4"/>
    <x v="3"/>
    <x v="4"/>
    <n v="1"/>
    <n v="10255"/>
    <n v="0.2"/>
    <n v="8204"/>
    <x v="693"/>
    <x v="3"/>
    <x v="0"/>
    <x v="0"/>
    <x v="3"/>
    <x v="1"/>
    <n v="4"/>
  </r>
  <r>
    <s v="O00695"/>
    <d v="2025-08-17T00:00:00"/>
    <s v="C00695"/>
    <s v="Customer 695"/>
    <x v="7"/>
    <x v="5"/>
    <x v="7"/>
    <n v="5"/>
    <n v="4207"/>
    <n v="0.1"/>
    <n v="18931.5"/>
    <x v="694"/>
    <x v="0"/>
    <x v="3"/>
    <x v="3"/>
    <x v="3"/>
    <x v="1"/>
    <n v="2"/>
  </r>
  <r>
    <s v="O00696"/>
    <d v="2025-11-24T00:00:00"/>
    <s v="C00696"/>
    <s v="Customer 696"/>
    <x v="2"/>
    <x v="2"/>
    <x v="2"/>
    <n v="5"/>
    <n v="14374"/>
    <n v="0.2"/>
    <n v="57496"/>
    <x v="695"/>
    <x v="4"/>
    <x v="2"/>
    <x v="2"/>
    <x v="3"/>
    <x v="0"/>
    <n v="4"/>
  </r>
  <r>
    <s v="O00697"/>
    <d v="2025-08-31T00:00:00"/>
    <s v="C00697"/>
    <s v="Customer 697"/>
    <x v="7"/>
    <x v="5"/>
    <x v="7"/>
    <n v="4"/>
    <n v="14847"/>
    <n v="0.05"/>
    <n v="56418.6"/>
    <x v="696"/>
    <x v="0"/>
    <x v="1"/>
    <x v="1"/>
    <x v="2"/>
    <x v="1"/>
    <n v="2"/>
  </r>
  <r>
    <s v="O00698"/>
    <d v="2025-02-28T00:00:00"/>
    <s v="C00698"/>
    <s v="Customer 698"/>
    <x v="5"/>
    <x v="3"/>
    <x v="5"/>
    <n v="3"/>
    <n v="7962"/>
    <n v="0.05"/>
    <n v="22691.7"/>
    <x v="697"/>
    <x v="1"/>
    <x v="5"/>
    <x v="5"/>
    <x v="2"/>
    <x v="2"/>
    <n v="5"/>
  </r>
  <r>
    <s v="O00699"/>
    <d v="2025-05-17T00:00:00"/>
    <s v="C00699"/>
    <s v="Customer 699"/>
    <x v="1"/>
    <x v="1"/>
    <x v="1"/>
    <n v="1"/>
    <n v="8745"/>
    <n v="0.15"/>
    <n v="7433.25"/>
    <x v="698"/>
    <x v="2"/>
    <x v="4"/>
    <x v="4"/>
    <x v="2"/>
    <x v="2"/>
    <n v="3"/>
  </r>
  <r>
    <s v="O00700"/>
    <d v="2025-09-14T00:00:00"/>
    <s v="C00700"/>
    <s v="Customer 700"/>
    <x v="5"/>
    <x v="3"/>
    <x v="5"/>
    <n v="2"/>
    <n v="5024"/>
    <n v="0.1"/>
    <n v="9043.2000000000007"/>
    <x v="699"/>
    <x v="0"/>
    <x v="0"/>
    <x v="0"/>
    <x v="3"/>
    <x v="1"/>
    <n v="4"/>
  </r>
  <r>
    <s v="O00701"/>
    <d v="2025-01-20T00:00:00"/>
    <s v="C00701"/>
    <s v="Customer 701"/>
    <x v="7"/>
    <x v="5"/>
    <x v="7"/>
    <n v="2"/>
    <n v="6138"/>
    <n v="0.05"/>
    <n v="11662.2"/>
    <x v="700"/>
    <x v="3"/>
    <x v="0"/>
    <x v="0"/>
    <x v="3"/>
    <x v="0"/>
    <n v="4"/>
  </r>
  <r>
    <s v="O00702"/>
    <d v="2025-08-15T00:00:00"/>
    <s v="C00702"/>
    <s v="Customer 702"/>
    <x v="3"/>
    <x v="3"/>
    <x v="3"/>
    <n v="4"/>
    <n v="5537"/>
    <n v="0.1"/>
    <n v="19933.2"/>
    <x v="701"/>
    <x v="0"/>
    <x v="2"/>
    <x v="2"/>
    <x v="3"/>
    <x v="3"/>
    <n v="3"/>
  </r>
  <r>
    <s v="O00703"/>
    <d v="2025-05-28T00:00:00"/>
    <s v="C00703"/>
    <s v="Customer 703"/>
    <x v="4"/>
    <x v="3"/>
    <x v="4"/>
    <n v="1"/>
    <n v="7611"/>
    <n v="0.1"/>
    <n v="6849.9"/>
    <x v="702"/>
    <x v="3"/>
    <x v="2"/>
    <x v="2"/>
    <x v="4"/>
    <x v="3"/>
    <n v="4"/>
  </r>
  <r>
    <s v="O00704"/>
    <d v="2025-06-28T00:00:00"/>
    <s v="C00704"/>
    <s v="Customer 704"/>
    <x v="4"/>
    <x v="3"/>
    <x v="4"/>
    <n v="1"/>
    <n v="11261"/>
    <n v="0"/>
    <n v="11261"/>
    <x v="703"/>
    <x v="1"/>
    <x v="4"/>
    <x v="4"/>
    <x v="4"/>
    <x v="2"/>
    <n v="4"/>
  </r>
  <r>
    <s v="O00705"/>
    <d v="2025-07-21T00:00:00"/>
    <s v="C00705"/>
    <s v="Customer 705"/>
    <x v="4"/>
    <x v="3"/>
    <x v="4"/>
    <n v="4"/>
    <n v="7424"/>
    <n v="0.15"/>
    <n v="25241.599999999999"/>
    <x v="704"/>
    <x v="2"/>
    <x v="5"/>
    <x v="5"/>
    <x v="0"/>
    <x v="0"/>
    <n v="4"/>
  </r>
  <r>
    <s v="O00706"/>
    <d v="2025-02-21T00:00:00"/>
    <s v="C00706"/>
    <s v="Customer 706"/>
    <x v="5"/>
    <x v="3"/>
    <x v="5"/>
    <n v="5"/>
    <n v="13100"/>
    <n v="0.1"/>
    <n v="58950"/>
    <x v="705"/>
    <x v="3"/>
    <x v="5"/>
    <x v="5"/>
    <x v="0"/>
    <x v="3"/>
    <n v="3"/>
  </r>
  <r>
    <s v="O00707"/>
    <d v="2025-01-17T00:00:00"/>
    <s v="C00707"/>
    <s v="Customer 707"/>
    <x v="1"/>
    <x v="1"/>
    <x v="1"/>
    <n v="3"/>
    <n v="12627"/>
    <n v="0.2"/>
    <n v="30304.799999999999"/>
    <x v="706"/>
    <x v="1"/>
    <x v="2"/>
    <x v="2"/>
    <x v="3"/>
    <x v="0"/>
    <n v="5"/>
  </r>
  <r>
    <s v="O00708"/>
    <d v="2025-08-16T00:00:00"/>
    <s v="C00708"/>
    <s v="Customer 708"/>
    <x v="7"/>
    <x v="5"/>
    <x v="7"/>
    <n v="2"/>
    <n v="14119"/>
    <n v="0.15"/>
    <n v="24002.3"/>
    <x v="707"/>
    <x v="2"/>
    <x v="1"/>
    <x v="1"/>
    <x v="1"/>
    <x v="2"/>
    <n v="5"/>
  </r>
  <r>
    <s v="O00709"/>
    <d v="2025-07-08T00:00:00"/>
    <s v="C00709"/>
    <s v="Customer 709"/>
    <x v="3"/>
    <x v="3"/>
    <x v="3"/>
    <n v="5"/>
    <n v="4857"/>
    <n v="0.05"/>
    <n v="23070.75"/>
    <x v="708"/>
    <x v="0"/>
    <x v="2"/>
    <x v="2"/>
    <x v="2"/>
    <x v="2"/>
    <n v="2"/>
  </r>
  <r>
    <s v="O00710"/>
    <d v="2025-07-21T00:00:00"/>
    <s v="C00710"/>
    <s v="Customer 710"/>
    <x v="5"/>
    <x v="3"/>
    <x v="5"/>
    <n v="1"/>
    <n v="10177"/>
    <n v="0.1"/>
    <n v="9159.2999999999993"/>
    <x v="709"/>
    <x v="2"/>
    <x v="3"/>
    <x v="3"/>
    <x v="2"/>
    <x v="0"/>
    <n v="1"/>
  </r>
  <r>
    <s v="O00711"/>
    <d v="2025-02-03T00:00:00"/>
    <s v="C00711"/>
    <s v="Customer 711"/>
    <x v="1"/>
    <x v="1"/>
    <x v="1"/>
    <n v="1"/>
    <n v="9697"/>
    <n v="0.15"/>
    <n v="8242.4500000000007"/>
    <x v="710"/>
    <x v="2"/>
    <x v="0"/>
    <x v="0"/>
    <x v="2"/>
    <x v="3"/>
    <n v="1"/>
  </r>
  <r>
    <s v="O00712"/>
    <d v="2025-01-11T00:00:00"/>
    <s v="C00712"/>
    <s v="Customer 712"/>
    <x v="2"/>
    <x v="2"/>
    <x v="2"/>
    <n v="5"/>
    <n v="8369"/>
    <n v="0.2"/>
    <n v="33476"/>
    <x v="711"/>
    <x v="0"/>
    <x v="0"/>
    <x v="0"/>
    <x v="4"/>
    <x v="0"/>
    <n v="2"/>
  </r>
  <r>
    <s v="O00713"/>
    <d v="2025-02-21T00:00:00"/>
    <s v="C00713"/>
    <s v="Customer 713"/>
    <x v="6"/>
    <x v="4"/>
    <x v="6"/>
    <n v="2"/>
    <n v="5469"/>
    <n v="0.15"/>
    <n v="9297.2999999999993"/>
    <x v="712"/>
    <x v="0"/>
    <x v="2"/>
    <x v="2"/>
    <x v="3"/>
    <x v="2"/>
    <n v="4"/>
  </r>
  <r>
    <s v="O00714"/>
    <d v="2025-06-25T00:00:00"/>
    <s v="C00714"/>
    <s v="Customer 714"/>
    <x v="2"/>
    <x v="2"/>
    <x v="2"/>
    <n v="5"/>
    <n v="9917"/>
    <n v="0.1"/>
    <n v="44626.5"/>
    <x v="713"/>
    <x v="0"/>
    <x v="3"/>
    <x v="3"/>
    <x v="0"/>
    <x v="2"/>
    <n v="1"/>
  </r>
  <r>
    <s v="O00715"/>
    <d v="2025-08-20T00:00:00"/>
    <s v="C00715"/>
    <s v="Customer 715"/>
    <x v="3"/>
    <x v="3"/>
    <x v="3"/>
    <n v="4"/>
    <n v="3450"/>
    <n v="0.15"/>
    <n v="11730"/>
    <x v="714"/>
    <x v="3"/>
    <x v="4"/>
    <x v="4"/>
    <x v="3"/>
    <x v="0"/>
    <n v="4"/>
  </r>
  <r>
    <s v="O00716"/>
    <d v="2025-05-23T00:00:00"/>
    <s v="C00716"/>
    <s v="Customer 716"/>
    <x v="6"/>
    <x v="4"/>
    <x v="6"/>
    <n v="5"/>
    <n v="9945"/>
    <n v="0.1"/>
    <n v="44752.5"/>
    <x v="715"/>
    <x v="1"/>
    <x v="4"/>
    <x v="4"/>
    <x v="4"/>
    <x v="2"/>
    <n v="1"/>
  </r>
  <r>
    <s v="O00717"/>
    <d v="2025-10-31T00:00:00"/>
    <s v="C00717"/>
    <s v="Customer 717"/>
    <x v="6"/>
    <x v="4"/>
    <x v="6"/>
    <n v="1"/>
    <n v="2733"/>
    <n v="0"/>
    <n v="2733"/>
    <x v="716"/>
    <x v="0"/>
    <x v="4"/>
    <x v="4"/>
    <x v="4"/>
    <x v="2"/>
    <n v="3"/>
  </r>
  <r>
    <s v="O00718"/>
    <d v="2025-06-01T00:00:00"/>
    <s v="C00718"/>
    <s v="Customer 718"/>
    <x v="1"/>
    <x v="1"/>
    <x v="1"/>
    <n v="5"/>
    <n v="13933"/>
    <n v="0.15"/>
    <n v="59215.25"/>
    <x v="717"/>
    <x v="0"/>
    <x v="4"/>
    <x v="4"/>
    <x v="2"/>
    <x v="1"/>
    <n v="3"/>
  </r>
  <r>
    <s v="O00719"/>
    <d v="2025-03-18T00:00:00"/>
    <s v="C00719"/>
    <s v="Customer 719"/>
    <x v="4"/>
    <x v="3"/>
    <x v="4"/>
    <n v="3"/>
    <n v="4054"/>
    <n v="0"/>
    <n v="12162"/>
    <x v="718"/>
    <x v="2"/>
    <x v="5"/>
    <x v="5"/>
    <x v="3"/>
    <x v="3"/>
    <n v="3"/>
  </r>
  <r>
    <s v="O00720"/>
    <d v="2025-02-16T00:00:00"/>
    <s v="C00720"/>
    <s v="Customer 720"/>
    <x v="4"/>
    <x v="3"/>
    <x v="4"/>
    <n v="5"/>
    <n v="219"/>
    <n v="0.15"/>
    <n v="930.75"/>
    <x v="719"/>
    <x v="2"/>
    <x v="2"/>
    <x v="2"/>
    <x v="1"/>
    <x v="0"/>
    <n v="1"/>
  </r>
  <r>
    <s v="O00721"/>
    <d v="2025-06-30T00:00:00"/>
    <s v="C00721"/>
    <s v="Customer 721"/>
    <x v="3"/>
    <x v="3"/>
    <x v="3"/>
    <n v="3"/>
    <n v="7514"/>
    <n v="0.2"/>
    <n v="18033.599999999999"/>
    <x v="720"/>
    <x v="0"/>
    <x v="5"/>
    <x v="5"/>
    <x v="4"/>
    <x v="2"/>
    <n v="5"/>
  </r>
  <r>
    <s v="O00722"/>
    <d v="2025-10-03T00:00:00"/>
    <s v="C00722"/>
    <s v="Customer 722"/>
    <x v="5"/>
    <x v="3"/>
    <x v="5"/>
    <n v="5"/>
    <n v="2589"/>
    <n v="0"/>
    <n v="12945"/>
    <x v="721"/>
    <x v="1"/>
    <x v="1"/>
    <x v="1"/>
    <x v="1"/>
    <x v="2"/>
    <n v="4"/>
  </r>
  <r>
    <s v="O00723"/>
    <d v="2025-01-09T00:00:00"/>
    <s v="C00723"/>
    <s v="Customer 723"/>
    <x v="7"/>
    <x v="5"/>
    <x v="7"/>
    <n v="5"/>
    <n v="263"/>
    <n v="0.05"/>
    <n v="1249.25"/>
    <x v="722"/>
    <x v="3"/>
    <x v="1"/>
    <x v="1"/>
    <x v="2"/>
    <x v="0"/>
    <n v="2"/>
  </r>
  <r>
    <s v="O00724"/>
    <d v="2025-04-08T00:00:00"/>
    <s v="C00724"/>
    <s v="Customer 724"/>
    <x v="2"/>
    <x v="2"/>
    <x v="2"/>
    <n v="1"/>
    <n v="548"/>
    <n v="0.15"/>
    <n v="465.8"/>
    <x v="723"/>
    <x v="1"/>
    <x v="4"/>
    <x v="4"/>
    <x v="0"/>
    <x v="0"/>
    <n v="4"/>
  </r>
  <r>
    <s v="O00725"/>
    <d v="2025-05-22T00:00:00"/>
    <s v="C00725"/>
    <s v="Customer 725"/>
    <x v="6"/>
    <x v="4"/>
    <x v="6"/>
    <n v="5"/>
    <n v="12695"/>
    <n v="0.05"/>
    <n v="60301.25"/>
    <x v="724"/>
    <x v="4"/>
    <x v="0"/>
    <x v="0"/>
    <x v="0"/>
    <x v="3"/>
    <n v="3"/>
  </r>
  <r>
    <s v="O00726"/>
    <d v="2025-10-10T00:00:00"/>
    <s v="C00726"/>
    <s v="Customer 726"/>
    <x v="2"/>
    <x v="2"/>
    <x v="2"/>
    <n v="1"/>
    <n v="629"/>
    <n v="0.15"/>
    <n v="534.65"/>
    <x v="725"/>
    <x v="0"/>
    <x v="2"/>
    <x v="2"/>
    <x v="0"/>
    <x v="0"/>
    <n v="5"/>
  </r>
  <r>
    <s v="O00727"/>
    <d v="2025-07-23T00:00:00"/>
    <s v="C00727"/>
    <s v="Customer 727"/>
    <x v="0"/>
    <x v="0"/>
    <x v="0"/>
    <n v="4"/>
    <n v="7773"/>
    <n v="0.2"/>
    <n v="24873.599999999999"/>
    <x v="726"/>
    <x v="4"/>
    <x v="5"/>
    <x v="5"/>
    <x v="1"/>
    <x v="3"/>
    <n v="1"/>
  </r>
  <r>
    <s v="O00728"/>
    <d v="2025-07-01T00:00:00"/>
    <s v="C00728"/>
    <s v="Customer 728"/>
    <x v="1"/>
    <x v="1"/>
    <x v="1"/>
    <n v="5"/>
    <n v="3342"/>
    <n v="0.15"/>
    <n v="14203.5"/>
    <x v="727"/>
    <x v="3"/>
    <x v="3"/>
    <x v="3"/>
    <x v="2"/>
    <x v="1"/>
    <n v="3"/>
  </r>
  <r>
    <s v="O00729"/>
    <d v="2025-05-30T00:00:00"/>
    <s v="C00729"/>
    <s v="Customer 729"/>
    <x v="7"/>
    <x v="5"/>
    <x v="7"/>
    <n v="1"/>
    <n v="7752"/>
    <n v="0.1"/>
    <n v="6976.8"/>
    <x v="728"/>
    <x v="4"/>
    <x v="2"/>
    <x v="2"/>
    <x v="3"/>
    <x v="2"/>
    <n v="2"/>
  </r>
  <r>
    <s v="O00730"/>
    <d v="2025-06-08T00:00:00"/>
    <s v="C00730"/>
    <s v="Customer 730"/>
    <x v="7"/>
    <x v="5"/>
    <x v="7"/>
    <n v="5"/>
    <n v="4621"/>
    <n v="0.2"/>
    <n v="18484"/>
    <x v="729"/>
    <x v="4"/>
    <x v="2"/>
    <x v="2"/>
    <x v="0"/>
    <x v="3"/>
    <n v="5"/>
  </r>
  <r>
    <s v="O00731"/>
    <d v="2025-03-10T00:00:00"/>
    <s v="C00731"/>
    <s v="Customer 731"/>
    <x v="5"/>
    <x v="3"/>
    <x v="5"/>
    <n v="1"/>
    <n v="1597"/>
    <n v="0.2"/>
    <n v="1277.5999999999999"/>
    <x v="730"/>
    <x v="4"/>
    <x v="5"/>
    <x v="5"/>
    <x v="0"/>
    <x v="3"/>
    <n v="4"/>
  </r>
  <r>
    <s v="O00732"/>
    <d v="2025-07-14T00:00:00"/>
    <s v="C00732"/>
    <s v="Customer 732"/>
    <x v="6"/>
    <x v="4"/>
    <x v="6"/>
    <n v="2"/>
    <n v="4338"/>
    <n v="0.15"/>
    <n v="7374.6"/>
    <x v="731"/>
    <x v="4"/>
    <x v="0"/>
    <x v="0"/>
    <x v="1"/>
    <x v="0"/>
    <n v="5"/>
  </r>
  <r>
    <s v="O00733"/>
    <d v="2025-07-06T00:00:00"/>
    <s v="C00733"/>
    <s v="Customer 733"/>
    <x v="1"/>
    <x v="1"/>
    <x v="1"/>
    <n v="2"/>
    <n v="11192"/>
    <n v="0.15"/>
    <n v="19026.400000000001"/>
    <x v="732"/>
    <x v="2"/>
    <x v="4"/>
    <x v="4"/>
    <x v="4"/>
    <x v="2"/>
    <n v="1"/>
  </r>
  <r>
    <s v="O00734"/>
    <d v="2025-07-08T00:00:00"/>
    <s v="C00734"/>
    <s v="Customer 734"/>
    <x v="1"/>
    <x v="1"/>
    <x v="1"/>
    <n v="4"/>
    <n v="6906"/>
    <n v="0"/>
    <n v="27624"/>
    <x v="733"/>
    <x v="4"/>
    <x v="5"/>
    <x v="5"/>
    <x v="4"/>
    <x v="3"/>
    <n v="3"/>
  </r>
  <r>
    <s v="O00735"/>
    <d v="2025-11-07T00:00:00"/>
    <s v="C00735"/>
    <s v="Customer 735"/>
    <x v="4"/>
    <x v="3"/>
    <x v="4"/>
    <n v="1"/>
    <n v="11863"/>
    <n v="0.1"/>
    <n v="10676.7"/>
    <x v="734"/>
    <x v="4"/>
    <x v="1"/>
    <x v="1"/>
    <x v="4"/>
    <x v="3"/>
    <n v="5"/>
  </r>
  <r>
    <s v="O00736"/>
    <d v="2025-08-06T00:00:00"/>
    <s v="C00736"/>
    <s v="Customer 736"/>
    <x v="5"/>
    <x v="3"/>
    <x v="5"/>
    <n v="4"/>
    <n v="5999"/>
    <n v="0.05"/>
    <n v="22796.2"/>
    <x v="735"/>
    <x v="0"/>
    <x v="4"/>
    <x v="4"/>
    <x v="3"/>
    <x v="3"/>
    <n v="2"/>
  </r>
  <r>
    <s v="O00737"/>
    <d v="2025-12-20T00:00:00"/>
    <s v="C00737"/>
    <s v="Customer 737"/>
    <x v="7"/>
    <x v="5"/>
    <x v="7"/>
    <n v="3"/>
    <n v="3360"/>
    <n v="0.2"/>
    <n v="8064"/>
    <x v="258"/>
    <x v="0"/>
    <x v="3"/>
    <x v="3"/>
    <x v="1"/>
    <x v="3"/>
    <n v="3"/>
  </r>
  <r>
    <s v="O00738"/>
    <d v="2025-03-10T00:00:00"/>
    <s v="C00738"/>
    <s v="Customer 738"/>
    <x v="7"/>
    <x v="5"/>
    <x v="7"/>
    <n v="5"/>
    <n v="7911"/>
    <n v="0"/>
    <n v="39555"/>
    <x v="736"/>
    <x v="2"/>
    <x v="5"/>
    <x v="5"/>
    <x v="2"/>
    <x v="1"/>
    <n v="1"/>
  </r>
  <r>
    <s v="O00739"/>
    <d v="2025-11-29T00:00:00"/>
    <s v="C00739"/>
    <s v="Customer 739"/>
    <x v="3"/>
    <x v="3"/>
    <x v="3"/>
    <n v="5"/>
    <n v="8048"/>
    <n v="0.2"/>
    <n v="32192"/>
    <x v="737"/>
    <x v="2"/>
    <x v="1"/>
    <x v="1"/>
    <x v="4"/>
    <x v="0"/>
    <n v="2"/>
  </r>
  <r>
    <s v="O00740"/>
    <d v="2025-04-24T00:00:00"/>
    <s v="C00740"/>
    <s v="Customer 740"/>
    <x v="3"/>
    <x v="3"/>
    <x v="3"/>
    <n v="2"/>
    <n v="3734"/>
    <n v="0.15"/>
    <n v="6347.8"/>
    <x v="738"/>
    <x v="3"/>
    <x v="2"/>
    <x v="2"/>
    <x v="3"/>
    <x v="0"/>
    <n v="5"/>
  </r>
  <r>
    <s v="O00741"/>
    <d v="2025-06-05T00:00:00"/>
    <s v="C00741"/>
    <s v="Customer 741"/>
    <x v="5"/>
    <x v="3"/>
    <x v="5"/>
    <n v="1"/>
    <n v="11736"/>
    <n v="0"/>
    <n v="11736"/>
    <x v="739"/>
    <x v="1"/>
    <x v="1"/>
    <x v="1"/>
    <x v="0"/>
    <x v="2"/>
    <n v="4"/>
  </r>
  <r>
    <s v="O00742"/>
    <d v="2025-07-27T00:00:00"/>
    <s v="C00742"/>
    <s v="Customer 742"/>
    <x v="0"/>
    <x v="0"/>
    <x v="0"/>
    <n v="4"/>
    <n v="8090"/>
    <n v="0.05"/>
    <n v="30742"/>
    <x v="740"/>
    <x v="0"/>
    <x v="3"/>
    <x v="3"/>
    <x v="1"/>
    <x v="0"/>
    <n v="3"/>
  </r>
  <r>
    <s v="O00743"/>
    <d v="2025-08-23T00:00:00"/>
    <s v="C00743"/>
    <s v="Customer 743"/>
    <x v="0"/>
    <x v="0"/>
    <x v="0"/>
    <n v="4"/>
    <n v="5425"/>
    <n v="0"/>
    <n v="21700"/>
    <x v="741"/>
    <x v="4"/>
    <x v="4"/>
    <x v="4"/>
    <x v="2"/>
    <x v="3"/>
    <n v="3"/>
  </r>
  <r>
    <s v="O00744"/>
    <d v="2025-08-14T00:00:00"/>
    <s v="C00744"/>
    <s v="Customer 744"/>
    <x v="1"/>
    <x v="1"/>
    <x v="1"/>
    <n v="5"/>
    <n v="9187"/>
    <n v="0"/>
    <n v="45935"/>
    <x v="742"/>
    <x v="4"/>
    <x v="4"/>
    <x v="4"/>
    <x v="0"/>
    <x v="0"/>
    <n v="4"/>
  </r>
  <r>
    <s v="O00745"/>
    <d v="2025-07-19T00:00:00"/>
    <s v="C00745"/>
    <s v="Customer 745"/>
    <x v="0"/>
    <x v="0"/>
    <x v="0"/>
    <n v="3"/>
    <n v="591"/>
    <n v="0.15"/>
    <n v="1507.05"/>
    <x v="743"/>
    <x v="4"/>
    <x v="4"/>
    <x v="4"/>
    <x v="4"/>
    <x v="3"/>
    <n v="5"/>
  </r>
  <r>
    <s v="O00746"/>
    <d v="2025-11-19T00:00:00"/>
    <s v="C00746"/>
    <s v="Customer 746"/>
    <x v="0"/>
    <x v="0"/>
    <x v="0"/>
    <n v="1"/>
    <n v="9036"/>
    <n v="0.1"/>
    <n v="8132.4"/>
    <x v="744"/>
    <x v="2"/>
    <x v="3"/>
    <x v="3"/>
    <x v="4"/>
    <x v="2"/>
    <n v="1"/>
  </r>
  <r>
    <s v="O00747"/>
    <d v="2025-11-08T00:00:00"/>
    <s v="C00747"/>
    <s v="Customer 747"/>
    <x v="4"/>
    <x v="3"/>
    <x v="4"/>
    <n v="4"/>
    <n v="6573"/>
    <n v="0"/>
    <n v="26292"/>
    <x v="745"/>
    <x v="2"/>
    <x v="5"/>
    <x v="5"/>
    <x v="0"/>
    <x v="1"/>
    <n v="1"/>
  </r>
  <r>
    <s v="O00748"/>
    <d v="2025-09-24T00:00:00"/>
    <s v="C00748"/>
    <s v="Customer 748"/>
    <x v="0"/>
    <x v="0"/>
    <x v="0"/>
    <n v="1"/>
    <n v="14951"/>
    <n v="0.05"/>
    <n v="14203.45"/>
    <x v="746"/>
    <x v="1"/>
    <x v="2"/>
    <x v="2"/>
    <x v="3"/>
    <x v="0"/>
    <n v="4"/>
  </r>
  <r>
    <s v="O00749"/>
    <d v="2025-07-06T00:00:00"/>
    <s v="C00749"/>
    <s v="Customer 749"/>
    <x v="4"/>
    <x v="3"/>
    <x v="4"/>
    <n v="4"/>
    <n v="10565"/>
    <n v="0.15"/>
    <n v="35921"/>
    <x v="747"/>
    <x v="4"/>
    <x v="3"/>
    <x v="3"/>
    <x v="0"/>
    <x v="3"/>
    <n v="4"/>
  </r>
  <r>
    <s v="O00750"/>
    <d v="2025-10-31T00:00:00"/>
    <s v="C00750"/>
    <s v="Customer 750"/>
    <x v="4"/>
    <x v="3"/>
    <x v="4"/>
    <n v="5"/>
    <n v="4066"/>
    <n v="0"/>
    <n v="20330"/>
    <x v="748"/>
    <x v="1"/>
    <x v="3"/>
    <x v="3"/>
    <x v="2"/>
    <x v="3"/>
    <n v="3"/>
  </r>
  <r>
    <s v="O00751"/>
    <d v="2025-02-15T00:00:00"/>
    <s v="C00751"/>
    <s v="Customer 751"/>
    <x v="6"/>
    <x v="4"/>
    <x v="6"/>
    <n v="2"/>
    <n v="3589"/>
    <n v="0.1"/>
    <n v="6460.2"/>
    <x v="749"/>
    <x v="0"/>
    <x v="1"/>
    <x v="1"/>
    <x v="4"/>
    <x v="2"/>
    <n v="3"/>
  </r>
  <r>
    <s v="O00752"/>
    <d v="2025-12-31T00:00:00"/>
    <s v="C00752"/>
    <s v="Customer 752"/>
    <x v="0"/>
    <x v="0"/>
    <x v="0"/>
    <n v="3"/>
    <n v="13360"/>
    <n v="0.15"/>
    <n v="34068"/>
    <x v="750"/>
    <x v="1"/>
    <x v="4"/>
    <x v="4"/>
    <x v="4"/>
    <x v="0"/>
    <n v="5"/>
  </r>
  <r>
    <s v="O00753"/>
    <d v="2025-11-28T00:00:00"/>
    <s v="C00753"/>
    <s v="Customer 753"/>
    <x v="6"/>
    <x v="4"/>
    <x v="6"/>
    <n v="5"/>
    <n v="3938"/>
    <n v="0"/>
    <n v="19690"/>
    <x v="751"/>
    <x v="2"/>
    <x v="1"/>
    <x v="1"/>
    <x v="2"/>
    <x v="1"/>
    <n v="4"/>
  </r>
  <r>
    <s v="O00754"/>
    <d v="2025-11-14T00:00:00"/>
    <s v="C00754"/>
    <s v="Customer 754"/>
    <x v="5"/>
    <x v="3"/>
    <x v="5"/>
    <n v="2"/>
    <n v="13529"/>
    <n v="0.15"/>
    <n v="22999.3"/>
    <x v="752"/>
    <x v="1"/>
    <x v="2"/>
    <x v="2"/>
    <x v="0"/>
    <x v="2"/>
    <n v="3"/>
  </r>
  <r>
    <s v="O00755"/>
    <d v="2025-03-07T00:00:00"/>
    <s v="C00755"/>
    <s v="Customer 755"/>
    <x v="5"/>
    <x v="3"/>
    <x v="5"/>
    <n v="1"/>
    <n v="11577"/>
    <n v="0.15"/>
    <n v="9840.4500000000007"/>
    <x v="753"/>
    <x v="0"/>
    <x v="3"/>
    <x v="3"/>
    <x v="1"/>
    <x v="3"/>
    <n v="5"/>
  </r>
  <r>
    <s v="O00756"/>
    <d v="2025-10-20T00:00:00"/>
    <s v="C00756"/>
    <s v="Customer 756"/>
    <x v="1"/>
    <x v="1"/>
    <x v="1"/>
    <n v="3"/>
    <n v="7990"/>
    <n v="0.1"/>
    <n v="21573"/>
    <x v="754"/>
    <x v="3"/>
    <x v="2"/>
    <x v="2"/>
    <x v="2"/>
    <x v="2"/>
    <n v="1"/>
  </r>
  <r>
    <s v="O00757"/>
    <d v="2025-07-30T00:00:00"/>
    <s v="C00757"/>
    <s v="Customer 757"/>
    <x v="7"/>
    <x v="5"/>
    <x v="7"/>
    <n v="3"/>
    <n v="727"/>
    <n v="0.15"/>
    <n v="1853.85"/>
    <x v="755"/>
    <x v="4"/>
    <x v="3"/>
    <x v="3"/>
    <x v="0"/>
    <x v="2"/>
    <n v="3"/>
  </r>
  <r>
    <s v="O00758"/>
    <d v="2025-05-09T00:00:00"/>
    <s v="C00758"/>
    <s v="Customer 758"/>
    <x v="2"/>
    <x v="2"/>
    <x v="2"/>
    <n v="3"/>
    <n v="11897"/>
    <n v="0.05"/>
    <n v="33906.449999999997"/>
    <x v="756"/>
    <x v="3"/>
    <x v="2"/>
    <x v="2"/>
    <x v="1"/>
    <x v="0"/>
    <n v="3"/>
  </r>
  <r>
    <s v="O00759"/>
    <d v="2025-11-17T00:00:00"/>
    <s v="C00759"/>
    <s v="Customer 759"/>
    <x v="7"/>
    <x v="5"/>
    <x v="7"/>
    <n v="3"/>
    <n v="9235"/>
    <n v="0.05"/>
    <n v="26319.75"/>
    <x v="757"/>
    <x v="0"/>
    <x v="5"/>
    <x v="5"/>
    <x v="3"/>
    <x v="2"/>
    <n v="4"/>
  </r>
  <r>
    <s v="O00760"/>
    <d v="2025-01-12T00:00:00"/>
    <s v="C00760"/>
    <s v="Customer 760"/>
    <x v="5"/>
    <x v="3"/>
    <x v="5"/>
    <n v="5"/>
    <n v="8777"/>
    <n v="0.2"/>
    <n v="35108"/>
    <x v="758"/>
    <x v="2"/>
    <x v="0"/>
    <x v="0"/>
    <x v="4"/>
    <x v="2"/>
    <n v="4"/>
  </r>
  <r>
    <s v="O00761"/>
    <d v="2025-07-23T00:00:00"/>
    <s v="C00761"/>
    <s v="Customer 761"/>
    <x v="0"/>
    <x v="0"/>
    <x v="0"/>
    <n v="3"/>
    <n v="14489"/>
    <n v="0.1"/>
    <n v="39120.300000000003"/>
    <x v="759"/>
    <x v="4"/>
    <x v="2"/>
    <x v="2"/>
    <x v="2"/>
    <x v="1"/>
    <n v="1"/>
  </r>
  <r>
    <s v="O00762"/>
    <d v="2025-11-03T00:00:00"/>
    <s v="C00762"/>
    <s v="Customer 762"/>
    <x v="1"/>
    <x v="1"/>
    <x v="1"/>
    <n v="1"/>
    <n v="315"/>
    <n v="0.1"/>
    <n v="283.5"/>
    <x v="760"/>
    <x v="1"/>
    <x v="3"/>
    <x v="3"/>
    <x v="2"/>
    <x v="0"/>
    <n v="5"/>
  </r>
  <r>
    <s v="O00763"/>
    <d v="2025-02-28T00:00:00"/>
    <s v="C00763"/>
    <s v="Customer 763"/>
    <x v="6"/>
    <x v="4"/>
    <x v="6"/>
    <n v="1"/>
    <n v="5614"/>
    <n v="0.15"/>
    <n v="4771.8999999999996"/>
    <x v="761"/>
    <x v="0"/>
    <x v="4"/>
    <x v="4"/>
    <x v="0"/>
    <x v="0"/>
    <n v="4"/>
  </r>
  <r>
    <s v="O00764"/>
    <d v="2025-08-22T00:00:00"/>
    <s v="C00764"/>
    <s v="Customer 764"/>
    <x v="4"/>
    <x v="3"/>
    <x v="4"/>
    <n v="2"/>
    <n v="13328"/>
    <n v="0.1"/>
    <n v="23990.400000000001"/>
    <x v="762"/>
    <x v="3"/>
    <x v="0"/>
    <x v="0"/>
    <x v="0"/>
    <x v="2"/>
    <n v="3"/>
  </r>
  <r>
    <s v="O00765"/>
    <d v="2025-12-20T00:00:00"/>
    <s v="C00765"/>
    <s v="Customer 765"/>
    <x v="0"/>
    <x v="0"/>
    <x v="0"/>
    <n v="2"/>
    <n v="3971"/>
    <n v="0.15"/>
    <n v="6750.7"/>
    <x v="763"/>
    <x v="1"/>
    <x v="5"/>
    <x v="5"/>
    <x v="4"/>
    <x v="1"/>
    <n v="5"/>
  </r>
  <r>
    <s v="O00766"/>
    <d v="2025-05-11T00:00:00"/>
    <s v="C00766"/>
    <s v="Customer 766"/>
    <x v="6"/>
    <x v="4"/>
    <x v="6"/>
    <n v="5"/>
    <n v="13311"/>
    <n v="0.2"/>
    <n v="53244"/>
    <x v="764"/>
    <x v="1"/>
    <x v="5"/>
    <x v="5"/>
    <x v="4"/>
    <x v="3"/>
    <n v="4"/>
  </r>
  <r>
    <s v="O00767"/>
    <d v="2025-03-31T00:00:00"/>
    <s v="C00767"/>
    <s v="Customer 767"/>
    <x v="2"/>
    <x v="2"/>
    <x v="2"/>
    <n v="3"/>
    <n v="7923"/>
    <n v="0.1"/>
    <n v="21392.1"/>
    <x v="765"/>
    <x v="2"/>
    <x v="2"/>
    <x v="2"/>
    <x v="0"/>
    <x v="0"/>
    <n v="3"/>
  </r>
  <r>
    <s v="O00768"/>
    <d v="2025-07-26T00:00:00"/>
    <s v="C00768"/>
    <s v="Customer 768"/>
    <x v="3"/>
    <x v="3"/>
    <x v="3"/>
    <n v="2"/>
    <n v="11665"/>
    <n v="0.1"/>
    <n v="20997"/>
    <x v="766"/>
    <x v="0"/>
    <x v="4"/>
    <x v="4"/>
    <x v="0"/>
    <x v="0"/>
    <n v="5"/>
  </r>
  <r>
    <s v="O00769"/>
    <d v="2025-09-20T00:00:00"/>
    <s v="C00769"/>
    <s v="Customer 769"/>
    <x v="7"/>
    <x v="5"/>
    <x v="7"/>
    <n v="4"/>
    <n v="5811"/>
    <n v="0.05"/>
    <n v="22081.8"/>
    <x v="767"/>
    <x v="2"/>
    <x v="3"/>
    <x v="3"/>
    <x v="4"/>
    <x v="0"/>
    <n v="4"/>
  </r>
  <r>
    <s v="O00770"/>
    <d v="2025-09-27T00:00:00"/>
    <s v="C00770"/>
    <s v="Customer 770"/>
    <x v="7"/>
    <x v="5"/>
    <x v="7"/>
    <n v="4"/>
    <n v="7474"/>
    <n v="0.1"/>
    <n v="26906.400000000001"/>
    <x v="768"/>
    <x v="1"/>
    <x v="4"/>
    <x v="4"/>
    <x v="1"/>
    <x v="0"/>
    <n v="2"/>
  </r>
  <r>
    <s v="O00771"/>
    <d v="2025-04-14T00:00:00"/>
    <s v="C00771"/>
    <s v="Customer 771"/>
    <x v="2"/>
    <x v="2"/>
    <x v="2"/>
    <n v="3"/>
    <n v="4166"/>
    <n v="0"/>
    <n v="12498"/>
    <x v="769"/>
    <x v="2"/>
    <x v="4"/>
    <x v="4"/>
    <x v="3"/>
    <x v="1"/>
    <n v="1"/>
  </r>
  <r>
    <s v="O00772"/>
    <d v="2025-01-13T00:00:00"/>
    <s v="C00772"/>
    <s v="Customer 772"/>
    <x v="0"/>
    <x v="0"/>
    <x v="0"/>
    <n v="5"/>
    <n v="3041"/>
    <n v="0.1"/>
    <n v="13684.5"/>
    <x v="770"/>
    <x v="0"/>
    <x v="1"/>
    <x v="1"/>
    <x v="4"/>
    <x v="3"/>
    <n v="5"/>
  </r>
  <r>
    <s v="O00773"/>
    <d v="2025-08-12T00:00:00"/>
    <s v="C00773"/>
    <s v="Customer 773"/>
    <x v="3"/>
    <x v="3"/>
    <x v="3"/>
    <n v="5"/>
    <n v="9956"/>
    <n v="0.05"/>
    <n v="47291"/>
    <x v="771"/>
    <x v="2"/>
    <x v="3"/>
    <x v="3"/>
    <x v="0"/>
    <x v="0"/>
    <n v="3"/>
  </r>
  <r>
    <s v="O00774"/>
    <d v="2025-07-09T00:00:00"/>
    <s v="C00774"/>
    <s v="Customer 774"/>
    <x v="1"/>
    <x v="1"/>
    <x v="1"/>
    <n v="3"/>
    <n v="619"/>
    <n v="0.15"/>
    <n v="1578.45"/>
    <x v="772"/>
    <x v="0"/>
    <x v="4"/>
    <x v="4"/>
    <x v="2"/>
    <x v="2"/>
    <n v="4"/>
  </r>
  <r>
    <s v="O00775"/>
    <d v="2025-12-05T00:00:00"/>
    <s v="C00775"/>
    <s v="Customer 775"/>
    <x v="5"/>
    <x v="3"/>
    <x v="5"/>
    <n v="3"/>
    <n v="4852"/>
    <n v="0.05"/>
    <n v="13828.2"/>
    <x v="773"/>
    <x v="1"/>
    <x v="0"/>
    <x v="0"/>
    <x v="1"/>
    <x v="1"/>
    <n v="3"/>
  </r>
  <r>
    <s v="O00776"/>
    <d v="2025-04-29T00:00:00"/>
    <s v="C00776"/>
    <s v="Customer 776"/>
    <x v="1"/>
    <x v="1"/>
    <x v="1"/>
    <n v="3"/>
    <n v="10913"/>
    <n v="0.05"/>
    <n v="31102.05"/>
    <x v="774"/>
    <x v="0"/>
    <x v="2"/>
    <x v="2"/>
    <x v="1"/>
    <x v="1"/>
    <n v="3"/>
  </r>
  <r>
    <s v="O00777"/>
    <d v="2025-04-14T00:00:00"/>
    <s v="C00777"/>
    <s v="Customer 777"/>
    <x v="4"/>
    <x v="3"/>
    <x v="4"/>
    <n v="5"/>
    <n v="1628"/>
    <n v="0.05"/>
    <n v="7733"/>
    <x v="775"/>
    <x v="2"/>
    <x v="0"/>
    <x v="0"/>
    <x v="0"/>
    <x v="1"/>
    <n v="3"/>
  </r>
  <r>
    <s v="O00778"/>
    <d v="2025-12-05T00:00:00"/>
    <s v="C00778"/>
    <s v="Customer 778"/>
    <x v="1"/>
    <x v="1"/>
    <x v="1"/>
    <n v="3"/>
    <n v="12555"/>
    <n v="0.1"/>
    <n v="33898.5"/>
    <x v="776"/>
    <x v="0"/>
    <x v="4"/>
    <x v="4"/>
    <x v="1"/>
    <x v="1"/>
    <n v="1"/>
  </r>
  <r>
    <s v="O00779"/>
    <d v="2025-10-19T00:00:00"/>
    <s v="C00779"/>
    <s v="Customer 779"/>
    <x v="0"/>
    <x v="0"/>
    <x v="0"/>
    <n v="4"/>
    <n v="5120"/>
    <n v="0.15"/>
    <n v="17408"/>
    <x v="777"/>
    <x v="3"/>
    <x v="3"/>
    <x v="3"/>
    <x v="1"/>
    <x v="0"/>
    <n v="1"/>
  </r>
  <r>
    <s v="O00780"/>
    <d v="2025-09-01T00:00:00"/>
    <s v="C00780"/>
    <s v="Customer 780"/>
    <x v="2"/>
    <x v="2"/>
    <x v="2"/>
    <n v="1"/>
    <n v="10105"/>
    <n v="0.1"/>
    <n v="9094.5"/>
    <x v="778"/>
    <x v="1"/>
    <x v="3"/>
    <x v="3"/>
    <x v="2"/>
    <x v="0"/>
    <n v="3"/>
  </r>
  <r>
    <s v="O00781"/>
    <d v="2025-07-23T00:00:00"/>
    <s v="C00781"/>
    <s v="Customer 781"/>
    <x v="1"/>
    <x v="1"/>
    <x v="1"/>
    <n v="4"/>
    <n v="3114"/>
    <n v="0.15"/>
    <n v="10587.6"/>
    <x v="779"/>
    <x v="2"/>
    <x v="4"/>
    <x v="4"/>
    <x v="3"/>
    <x v="2"/>
    <n v="1"/>
  </r>
  <r>
    <s v="O00782"/>
    <d v="2025-09-09T00:00:00"/>
    <s v="C00782"/>
    <s v="Customer 782"/>
    <x v="4"/>
    <x v="3"/>
    <x v="4"/>
    <n v="1"/>
    <n v="4995"/>
    <n v="0.15"/>
    <n v="4245.75"/>
    <x v="780"/>
    <x v="4"/>
    <x v="2"/>
    <x v="2"/>
    <x v="3"/>
    <x v="3"/>
    <n v="5"/>
  </r>
  <r>
    <s v="O00783"/>
    <d v="2025-05-05T00:00:00"/>
    <s v="C00783"/>
    <s v="Customer 783"/>
    <x v="0"/>
    <x v="0"/>
    <x v="0"/>
    <n v="1"/>
    <n v="10557"/>
    <n v="0.1"/>
    <n v="9501.2999999999993"/>
    <x v="781"/>
    <x v="2"/>
    <x v="3"/>
    <x v="3"/>
    <x v="1"/>
    <x v="2"/>
    <n v="5"/>
  </r>
  <r>
    <s v="O00784"/>
    <d v="2025-03-01T00:00:00"/>
    <s v="C00784"/>
    <s v="Customer 784"/>
    <x v="1"/>
    <x v="1"/>
    <x v="1"/>
    <n v="5"/>
    <n v="1898"/>
    <n v="0"/>
    <n v="9490"/>
    <x v="782"/>
    <x v="3"/>
    <x v="3"/>
    <x v="3"/>
    <x v="2"/>
    <x v="0"/>
    <n v="1"/>
  </r>
  <r>
    <s v="O00785"/>
    <d v="2025-11-17T00:00:00"/>
    <s v="C00785"/>
    <s v="Customer 785"/>
    <x v="7"/>
    <x v="5"/>
    <x v="7"/>
    <n v="4"/>
    <n v="5433"/>
    <n v="0"/>
    <n v="21732"/>
    <x v="783"/>
    <x v="2"/>
    <x v="2"/>
    <x v="2"/>
    <x v="4"/>
    <x v="3"/>
    <n v="2"/>
  </r>
  <r>
    <s v="O00786"/>
    <d v="2025-10-12T00:00:00"/>
    <s v="C00786"/>
    <s v="Customer 786"/>
    <x v="6"/>
    <x v="4"/>
    <x v="6"/>
    <n v="4"/>
    <n v="5886"/>
    <n v="0.2"/>
    <n v="18835.2"/>
    <x v="784"/>
    <x v="1"/>
    <x v="2"/>
    <x v="2"/>
    <x v="0"/>
    <x v="1"/>
    <n v="2"/>
  </r>
  <r>
    <s v="O00787"/>
    <d v="2025-01-19T00:00:00"/>
    <s v="C00787"/>
    <s v="Customer 787"/>
    <x v="2"/>
    <x v="2"/>
    <x v="2"/>
    <n v="3"/>
    <n v="3025"/>
    <n v="0.1"/>
    <n v="8167.5"/>
    <x v="785"/>
    <x v="0"/>
    <x v="1"/>
    <x v="1"/>
    <x v="4"/>
    <x v="3"/>
    <n v="5"/>
  </r>
  <r>
    <s v="O00788"/>
    <d v="2025-11-28T00:00:00"/>
    <s v="C00788"/>
    <s v="Customer 788"/>
    <x v="2"/>
    <x v="2"/>
    <x v="2"/>
    <n v="2"/>
    <n v="6276"/>
    <n v="0.1"/>
    <n v="11296.8"/>
    <x v="786"/>
    <x v="4"/>
    <x v="5"/>
    <x v="5"/>
    <x v="0"/>
    <x v="1"/>
    <n v="4"/>
  </r>
  <r>
    <s v="O00789"/>
    <d v="2025-01-27T00:00:00"/>
    <s v="C00789"/>
    <s v="Customer 789"/>
    <x v="1"/>
    <x v="1"/>
    <x v="1"/>
    <n v="1"/>
    <n v="11699"/>
    <n v="0"/>
    <n v="11699"/>
    <x v="787"/>
    <x v="1"/>
    <x v="1"/>
    <x v="1"/>
    <x v="0"/>
    <x v="1"/>
    <n v="2"/>
  </r>
  <r>
    <s v="O00790"/>
    <d v="2025-08-16T00:00:00"/>
    <s v="C00790"/>
    <s v="Customer 790"/>
    <x v="0"/>
    <x v="0"/>
    <x v="0"/>
    <n v="5"/>
    <n v="12780"/>
    <n v="0.05"/>
    <n v="60705"/>
    <x v="788"/>
    <x v="3"/>
    <x v="3"/>
    <x v="3"/>
    <x v="4"/>
    <x v="0"/>
    <n v="3"/>
  </r>
  <r>
    <s v="O00791"/>
    <d v="2025-06-16T00:00:00"/>
    <s v="C00791"/>
    <s v="Customer 791"/>
    <x v="6"/>
    <x v="4"/>
    <x v="6"/>
    <n v="3"/>
    <n v="5290"/>
    <n v="0.05"/>
    <n v="15076.5"/>
    <x v="789"/>
    <x v="1"/>
    <x v="3"/>
    <x v="3"/>
    <x v="0"/>
    <x v="3"/>
    <n v="4"/>
  </r>
  <r>
    <s v="O00792"/>
    <d v="2025-01-17T00:00:00"/>
    <s v="C00792"/>
    <s v="Customer 792"/>
    <x v="5"/>
    <x v="3"/>
    <x v="5"/>
    <n v="3"/>
    <n v="13310"/>
    <n v="0.05"/>
    <n v="37933.5"/>
    <x v="790"/>
    <x v="3"/>
    <x v="0"/>
    <x v="0"/>
    <x v="3"/>
    <x v="2"/>
    <n v="4"/>
  </r>
  <r>
    <s v="O00793"/>
    <d v="2025-12-13T00:00:00"/>
    <s v="C00793"/>
    <s v="Customer 793"/>
    <x v="2"/>
    <x v="2"/>
    <x v="2"/>
    <n v="5"/>
    <n v="6095"/>
    <n v="0.15"/>
    <n v="25903.75"/>
    <x v="791"/>
    <x v="2"/>
    <x v="3"/>
    <x v="3"/>
    <x v="2"/>
    <x v="3"/>
    <n v="5"/>
  </r>
  <r>
    <s v="O00794"/>
    <d v="2025-01-02T00:00:00"/>
    <s v="C00794"/>
    <s v="Customer 794"/>
    <x v="5"/>
    <x v="3"/>
    <x v="5"/>
    <n v="2"/>
    <n v="9859"/>
    <n v="0"/>
    <n v="19718"/>
    <x v="792"/>
    <x v="3"/>
    <x v="2"/>
    <x v="2"/>
    <x v="0"/>
    <x v="1"/>
    <n v="1"/>
  </r>
  <r>
    <s v="O00795"/>
    <d v="2025-01-23T00:00:00"/>
    <s v="C00795"/>
    <s v="Customer 795"/>
    <x v="0"/>
    <x v="0"/>
    <x v="0"/>
    <n v="4"/>
    <n v="12467"/>
    <n v="0.05"/>
    <n v="47374.6"/>
    <x v="793"/>
    <x v="4"/>
    <x v="5"/>
    <x v="5"/>
    <x v="3"/>
    <x v="1"/>
    <n v="5"/>
  </r>
  <r>
    <s v="O00796"/>
    <d v="2025-10-31T00:00:00"/>
    <s v="C00796"/>
    <s v="Customer 796"/>
    <x v="3"/>
    <x v="3"/>
    <x v="3"/>
    <n v="5"/>
    <n v="5080"/>
    <n v="0.05"/>
    <n v="24130"/>
    <x v="794"/>
    <x v="2"/>
    <x v="0"/>
    <x v="0"/>
    <x v="4"/>
    <x v="2"/>
    <n v="2"/>
  </r>
  <r>
    <s v="O00797"/>
    <d v="2025-04-16T00:00:00"/>
    <s v="C00797"/>
    <s v="Customer 797"/>
    <x v="0"/>
    <x v="0"/>
    <x v="0"/>
    <n v="5"/>
    <n v="10388"/>
    <n v="0"/>
    <n v="51940"/>
    <x v="795"/>
    <x v="2"/>
    <x v="2"/>
    <x v="2"/>
    <x v="4"/>
    <x v="3"/>
    <n v="5"/>
  </r>
  <r>
    <s v="O00798"/>
    <d v="2025-12-04T00:00:00"/>
    <s v="C00798"/>
    <s v="Customer 798"/>
    <x v="7"/>
    <x v="5"/>
    <x v="7"/>
    <n v="1"/>
    <n v="6198"/>
    <n v="0.1"/>
    <n v="5578.2"/>
    <x v="796"/>
    <x v="3"/>
    <x v="1"/>
    <x v="1"/>
    <x v="3"/>
    <x v="0"/>
    <n v="2"/>
  </r>
  <r>
    <s v="O00799"/>
    <d v="2025-12-03T00:00:00"/>
    <s v="C00799"/>
    <s v="Customer 799"/>
    <x v="1"/>
    <x v="1"/>
    <x v="1"/>
    <n v="5"/>
    <n v="12408"/>
    <n v="0.1"/>
    <n v="55836"/>
    <x v="797"/>
    <x v="4"/>
    <x v="5"/>
    <x v="5"/>
    <x v="3"/>
    <x v="2"/>
    <n v="1"/>
  </r>
  <r>
    <s v="O00800"/>
    <d v="2025-05-05T00:00:00"/>
    <s v="C00800"/>
    <s v="Customer 800"/>
    <x v="2"/>
    <x v="2"/>
    <x v="2"/>
    <n v="3"/>
    <n v="11988"/>
    <n v="0.15"/>
    <n v="30569.4"/>
    <x v="798"/>
    <x v="0"/>
    <x v="2"/>
    <x v="2"/>
    <x v="2"/>
    <x v="2"/>
    <n v="5"/>
  </r>
  <r>
    <s v="O00801"/>
    <d v="2025-09-26T00:00:00"/>
    <s v="C00801"/>
    <s v="Customer 801"/>
    <x v="1"/>
    <x v="1"/>
    <x v="1"/>
    <n v="5"/>
    <n v="12841"/>
    <n v="0.15"/>
    <n v="54574.25"/>
    <x v="799"/>
    <x v="3"/>
    <x v="1"/>
    <x v="1"/>
    <x v="1"/>
    <x v="2"/>
    <n v="3"/>
  </r>
  <r>
    <s v="O00802"/>
    <d v="2025-06-14T00:00:00"/>
    <s v="C00802"/>
    <s v="Customer 802"/>
    <x v="7"/>
    <x v="5"/>
    <x v="7"/>
    <n v="1"/>
    <n v="7229"/>
    <n v="0.05"/>
    <n v="6867.55"/>
    <x v="800"/>
    <x v="3"/>
    <x v="1"/>
    <x v="1"/>
    <x v="3"/>
    <x v="1"/>
    <n v="3"/>
  </r>
  <r>
    <s v="O00803"/>
    <d v="2025-10-25T00:00:00"/>
    <s v="C00803"/>
    <s v="Customer 803"/>
    <x v="5"/>
    <x v="3"/>
    <x v="5"/>
    <n v="3"/>
    <n v="9031"/>
    <n v="0"/>
    <n v="27093"/>
    <x v="801"/>
    <x v="2"/>
    <x v="1"/>
    <x v="1"/>
    <x v="1"/>
    <x v="0"/>
    <n v="2"/>
  </r>
  <r>
    <s v="O00804"/>
    <d v="2025-01-14T00:00:00"/>
    <s v="C00804"/>
    <s v="Customer 804"/>
    <x v="0"/>
    <x v="0"/>
    <x v="0"/>
    <n v="4"/>
    <n v="3675"/>
    <n v="0.2"/>
    <n v="11760"/>
    <x v="802"/>
    <x v="1"/>
    <x v="3"/>
    <x v="3"/>
    <x v="0"/>
    <x v="0"/>
    <n v="4"/>
  </r>
  <r>
    <s v="O00805"/>
    <d v="2025-07-21T00:00:00"/>
    <s v="C00805"/>
    <s v="Customer 805"/>
    <x v="0"/>
    <x v="0"/>
    <x v="0"/>
    <n v="4"/>
    <n v="7041"/>
    <n v="0.05"/>
    <n v="26755.8"/>
    <x v="803"/>
    <x v="0"/>
    <x v="1"/>
    <x v="1"/>
    <x v="0"/>
    <x v="3"/>
    <n v="1"/>
  </r>
  <r>
    <s v="O00806"/>
    <d v="2025-10-20T00:00:00"/>
    <s v="C00806"/>
    <s v="Customer 806"/>
    <x v="6"/>
    <x v="4"/>
    <x v="6"/>
    <n v="5"/>
    <n v="12094"/>
    <n v="0.1"/>
    <n v="54423"/>
    <x v="804"/>
    <x v="1"/>
    <x v="1"/>
    <x v="1"/>
    <x v="2"/>
    <x v="2"/>
    <n v="5"/>
  </r>
  <r>
    <s v="O00807"/>
    <d v="2025-07-05T00:00:00"/>
    <s v="C00807"/>
    <s v="Customer 807"/>
    <x v="6"/>
    <x v="4"/>
    <x v="6"/>
    <n v="3"/>
    <n v="9101"/>
    <n v="0.2"/>
    <n v="21842.400000000001"/>
    <x v="805"/>
    <x v="2"/>
    <x v="3"/>
    <x v="3"/>
    <x v="0"/>
    <x v="3"/>
    <n v="4"/>
  </r>
  <r>
    <s v="O00808"/>
    <d v="2025-09-12T00:00:00"/>
    <s v="C00808"/>
    <s v="Customer 808"/>
    <x v="1"/>
    <x v="1"/>
    <x v="1"/>
    <n v="3"/>
    <n v="11776"/>
    <n v="0.05"/>
    <n v="33561.599999999999"/>
    <x v="806"/>
    <x v="1"/>
    <x v="1"/>
    <x v="1"/>
    <x v="3"/>
    <x v="3"/>
    <n v="3"/>
  </r>
  <r>
    <s v="O00809"/>
    <d v="2025-01-06T00:00:00"/>
    <s v="C00809"/>
    <s v="Customer 809"/>
    <x v="6"/>
    <x v="4"/>
    <x v="6"/>
    <n v="3"/>
    <n v="2716"/>
    <n v="0.15"/>
    <n v="6925.8"/>
    <x v="807"/>
    <x v="1"/>
    <x v="0"/>
    <x v="0"/>
    <x v="1"/>
    <x v="2"/>
    <n v="4"/>
  </r>
  <r>
    <s v="O00810"/>
    <d v="2025-04-25T00:00:00"/>
    <s v="C00810"/>
    <s v="Customer 810"/>
    <x v="7"/>
    <x v="5"/>
    <x v="7"/>
    <n v="2"/>
    <n v="13428"/>
    <n v="0"/>
    <n v="26856"/>
    <x v="808"/>
    <x v="3"/>
    <x v="4"/>
    <x v="4"/>
    <x v="0"/>
    <x v="0"/>
    <n v="5"/>
  </r>
  <r>
    <s v="O00811"/>
    <d v="2025-03-18T00:00:00"/>
    <s v="C00811"/>
    <s v="Customer 811"/>
    <x v="6"/>
    <x v="4"/>
    <x v="6"/>
    <n v="5"/>
    <n v="2675"/>
    <n v="0"/>
    <n v="13375"/>
    <x v="809"/>
    <x v="2"/>
    <x v="4"/>
    <x v="4"/>
    <x v="3"/>
    <x v="1"/>
    <n v="2"/>
  </r>
  <r>
    <s v="O00812"/>
    <d v="2025-08-17T00:00:00"/>
    <s v="C00812"/>
    <s v="Customer 812"/>
    <x v="4"/>
    <x v="3"/>
    <x v="4"/>
    <n v="2"/>
    <n v="8803"/>
    <n v="0.1"/>
    <n v="15845.4"/>
    <x v="810"/>
    <x v="2"/>
    <x v="4"/>
    <x v="4"/>
    <x v="3"/>
    <x v="0"/>
    <n v="5"/>
  </r>
  <r>
    <s v="O00813"/>
    <d v="2025-07-28T00:00:00"/>
    <s v="C00813"/>
    <s v="Customer 813"/>
    <x v="7"/>
    <x v="5"/>
    <x v="7"/>
    <n v="3"/>
    <n v="10504"/>
    <n v="0.05"/>
    <n v="29936.400000000001"/>
    <x v="811"/>
    <x v="3"/>
    <x v="4"/>
    <x v="4"/>
    <x v="2"/>
    <x v="1"/>
    <n v="1"/>
  </r>
  <r>
    <s v="O00814"/>
    <d v="2025-03-04T00:00:00"/>
    <s v="C00814"/>
    <s v="Customer 814"/>
    <x v="0"/>
    <x v="0"/>
    <x v="0"/>
    <n v="4"/>
    <n v="4512"/>
    <n v="0.15"/>
    <n v="15340.8"/>
    <x v="812"/>
    <x v="4"/>
    <x v="1"/>
    <x v="1"/>
    <x v="4"/>
    <x v="2"/>
    <n v="1"/>
  </r>
  <r>
    <s v="O00815"/>
    <d v="2025-01-25T00:00:00"/>
    <s v="C00815"/>
    <s v="Customer 815"/>
    <x v="4"/>
    <x v="3"/>
    <x v="4"/>
    <n v="1"/>
    <n v="2920"/>
    <n v="0.05"/>
    <n v="2774"/>
    <x v="813"/>
    <x v="2"/>
    <x v="5"/>
    <x v="5"/>
    <x v="2"/>
    <x v="2"/>
    <n v="3"/>
  </r>
  <r>
    <s v="O00816"/>
    <d v="2025-05-27T00:00:00"/>
    <s v="C00816"/>
    <s v="Customer 816"/>
    <x v="5"/>
    <x v="3"/>
    <x v="5"/>
    <n v="5"/>
    <n v="12319"/>
    <n v="0.15"/>
    <n v="52355.75"/>
    <x v="814"/>
    <x v="2"/>
    <x v="5"/>
    <x v="5"/>
    <x v="4"/>
    <x v="1"/>
    <n v="3"/>
  </r>
  <r>
    <s v="O00817"/>
    <d v="2025-08-01T00:00:00"/>
    <s v="C00817"/>
    <s v="Customer 817"/>
    <x v="3"/>
    <x v="3"/>
    <x v="3"/>
    <n v="3"/>
    <n v="4211"/>
    <n v="0"/>
    <n v="12633"/>
    <x v="815"/>
    <x v="2"/>
    <x v="5"/>
    <x v="5"/>
    <x v="3"/>
    <x v="3"/>
    <n v="1"/>
  </r>
  <r>
    <s v="O00818"/>
    <d v="2025-12-21T00:00:00"/>
    <s v="C00818"/>
    <s v="Customer 818"/>
    <x v="6"/>
    <x v="4"/>
    <x v="6"/>
    <n v="2"/>
    <n v="9903"/>
    <n v="0.05"/>
    <n v="18815.7"/>
    <x v="816"/>
    <x v="0"/>
    <x v="3"/>
    <x v="3"/>
    <x v="1"/>
    <x v="3"/>
    <n v="4"/>
  </r>
  <r>
    <s v="O00819"/>
    <d v="2025-01-13T00:00:00"/>
    <s v="C00819"/>
    <s v="Customer 819"/>
    <x v="3"/>
    <x v="3"/>
    <x v="3"/>
    <n v="1"/>
    <n v="3730"/>
    <n v="0.05"/>
    <n v="3543.5"/>
    <x v="817"/>
    <x v="0"/>
    <x v="1"/>
    <x v="1"/>
    <x v="4"/>
    <x v="2"/>
    <n v="3"/>
  </r>
  <r>
    <s v="O00820"/>
    <d v="2025-11-05T00:00:00"/>
    <s v="C00820"/>
    <s v="Customer 820"/>
    <x v="1"/>
    <x v="1"/>
    <x v="1"/>
    <n v="2"/>
    <n v="8494"/>
    <n v="0"/>
    <n v="16988"/>
    <x v="818"/>
    <x v="1"/>
    <x v="5"/>
    <x v="5"/>
    <x v="0"/>
    <x v="0"/>
    <n v="5"/>
  </r>
  <r>
    <s v="O00821"/>
    <d v="2025-08-31T00:00:00"/>
    <s v="C00821"/>
    <s v="Customer 821"/>
    <x v="0"/>
    <x v="0"/>
    <x v="0"/>
    <n v="1"/>
    <n v="1855"/>
    <n v="0.15"/>
    <n v="1576.75"/>
    <x v="819"/>
    <x v="4"/>
    <x v="5"/>
    <x v="5"/>
    <x v="1"/>
    <x v="0"/>
    <n v="3"/>
  </r>
  <r>
    <s v="O00822"/>
    <d v="2025-05-02T00:00:00"/>
    <s v="C00822"/>
    <s v="Customer 822"/>
    <x v="7"/>
    <x v="5"/>
    <x v="7"/>
    <n v="3"/>
    <n v="8864"/>
    <n v="0.2"/>
    <n v="21273.599999999999"/>
    <x v="820"/>
    <x v="3"/>
    <x v="2"/>
    <x v="2"/>
    <x v="0"/>
    <x v="2"/>
    <n v="2"/>
  </r>
  <r>
    <s v="O00823"/>
    <d v="2025-06-30T00:00:00"/>
    <s v="C00823"/>
    <s v="Customer 823"/>
    <x v="3"/>
    <x v="3"/>
    <x v="3"/>
    <n v="4"/>
    <n v="1001"/>
    <n v="0.05"/>
    <n v="3803.8"/>
    <x v="821"/>
    <x v="1"/>
    <x v="3"/>
    <x v="3"/>
    <x v="3"/>
    <x v="1"/>
    <n v="1"/>
  </r>
  <r>
    <s v="O00824"/>
    <d v="2025-02-26T00:00:00"/>
    <s v="C00824"/>
    <s v="Customer 824"/>
    <x v="7"/>
    <x v="5"/>
    <x v="7"/>
    <n v="2"/>
    <n v="10481"/>
    <n v="0.15"/>
    <n v="17817.7"/>
    <x v="822"/>
    <x v="3"/>
    <x v="2"/>
    <x v="2"/>
    <x v="4"/>
    <x v="3"/>
    <n v="1"/>
  </r>
  <r>
    <s v="O00825"/>
    <d v="2025-07-18T00:00:00"/>
    <s v="C00825"/>
    <s v="Customer 825"/>
    <x v="0"/>
    <x v="0"/>
    <x v="0"/>
    <n v="5"/>
    <n v="11828"/>
    <n v="0"/>
    <n v="59140"/>
    <x v="823"/>
    <x v="1"/>
    <x v="0"/>
    <x v="0"/>
    <x v="0"/>
    <x v="2"/>
    <n v="4"/>
  </r>
  <r>
    <s v="O00826"/>
    <d v="2025-03-31T00:00:00"/>
    <s v="C00826"/>
    <s v="Customer 826"/>
    <x v="2"/>
    <x v="2"/>
    <x v="2"/>
    <n v="3"/>
    <n v="12383"/>
    <n v="0"/>
    <n v="37149"/>
    <x v="824"/>
    <x v="3"/>
    <x v="3"/>
    <x v="3"/>
    <x v="3"/>
    <x v="0"/>
    <n v="3"/>
  </r>
  <r>
    <s v="O00827"/>
    <d v="2025-11-24T00:00:00"/>
    <s v="C00827"/>
    <s v="Customer 827"/>
    <x v="2"/>
    <x v="2"/>
    <x v="2"/>
    <n v="1"/>
    <n v="11177"/>
    <n v="0.1"/>
    <n v="10059.299999999999"/>
    <x v="825"/>
    <x v="4"/>
    <x v="0"/>
    <x v="0"/>
    <x v="3"/>
    <x v="2"/>
    <n v="2"/>
  </r>
  <r>
    <s v="O00828"/>
    <d v="2025-06-18T00:00:00"/>
    <s v="C00828"/>
    <s v="Customer 828"/>
    <x v="4"/>
    <x v="3"/>
    <x v="4"/>
    <n v="2"/>
    <n v="9172"/>
    <n v="0"/>
    <n v="18344"/>
    <x v="826"/>
    <x v="2"/>
    <x v="1"/>
    <x v="1"/>
    <x v="3"/>
    <x v="0"/>
    <n v="3"/>
  </r>
  <r>
    <s v="O00829"/>
    <d v="2025-12-26T00:00:00"/>
    <s v="C00829"/>
    <s v="Customer 829"/>
    <x v="7"/>
    <x v="5"/>
    <x v="7"/>
    <n v="3"/>
    <n v="13664"/>
    <n v="0.2"/>
    <n v="32793.599999999999"/>
    <x v="827"/>
    <x v="3"/>
    <x v="2"/>
    <x v="2"/>
    <x v="0"/>
    <x v="1"/>
    <n v="4"/>
  </r>
  <r>
    <s v="O00830"/>
    <d v="2025-08-11T00:00:00"/>
    <s v="C00830"/>
    <s v="Customer 830"/>
    <x v="6"/>
    <x v="4"/>
    <x v="6"/>
    <n v="4"/>
    <n v="4465"/>
    <n v="0.2"/>
    <n v="14288"/>
    <x v="828"/>
    <x v="3"/>
    <x v="1"/>
    <x v="1"/>
    <x v="3"/>
    <x v="3"/>
    <n v="1"/>
  </r>
  <r>
    <s v="O00831"/>
    <d v="2025-01-20T00:00:00"/>
    <s v="C00831"/>
    <s v="Customer 831"/>
    <x v="3"/>
    <x v="3"/>
    <x v="3"/>
    <n v="1"/>
    <n v="2264"/>
    <n v="0.15"/>
    <n v="1924.4"/>
    <x v="829"/>
    <x v="1"/>
    <x v="0"/>
    <x v="0"/>
    <x v="3"/>
    <x v="2"/>
    <n v="5"/>
  </r>
  <r>
    <s v="O00832"/>
    <d v="2025-04-24T00:00:00"/>
    <s v="C00832"/>
    <s v="Customer 832"/>
    <x v="5"/>
    <x v="3"/>
    <x v="5"/>
    <n v="3"/>
    <n v="12765"/>
    <n v="0.1"/>
    <n v="34465.5"/>
    <x v="830"/>
    <x v="4"/>
    <x v="3"/>
    <x v="3"/>
    <x v="3"/>
    <x v="0"/>
    <n v="2"/>
  </r>
  <r>
    <s v="O00833"/>
    <d v="2025-11-20T00:00:00"/>
    <s v="C00833"/>
    <s v="Customer 833"/>
    <x v="7"/>
    <x v="5"/>
    <x v="7"/>
    <n v="5"/>
    <n v="4581"/>
    <n v="0.2"/>
    <n v="18324"/>
    <x v="831"/>
    <x v="2"/>
    <x v="4"/>
    <x v="4"/>
    <x v="4"/>
    <x v="1"/>
    <n v="4"/>
  </r>
  <r>
    <s v="O00834"/>
    <d v="2025-04-12T00:00:00"/>
    <s v="C00834"/>
    <s v="Customer 834"/>
    <x v="3"/>
    <x v="3"/>
    <x v="3"/>
    <n v="5"/>
    <n v="321"/>
    <n v="0"/>
    <n v="1605"/>
    <x v="832"/>
    <x v="0"/>
    <x v="0"/>
    <x v="0"/>
    <x v="1"/>
    <x v="0"/>
    <n v="3"/>
  </r>
  <r>
    <s v="O00835"/>
    <d v="2025-08-10T00:00:00"/>
    <s v="C00835"/>
    <s v="Customer 835"/>
    <x v="7"/>
    <x v="5"/>
    <x v="7"/>
    <n v="2"/>
    <n v="4519"/>
    <n v="0.15"/>
    <n v="7682.3"/>
    <x v="833"/>
    <x v="0"/>
    <x v="4"/>
    <x v="4"/>
    <x v="1"/>
    <x v="1"/>
    <n v="2"/>
  </r>
  <r>
    <s v="O00836"/>
    <d v="2025-06-08T00:00:00"/>
    <s v="C00836"/>
    <s v="Customer 836"/>
    <x v="3"/>
    <x v="3"/>
    <x v="3"/>
    <n v="5"/>
    <n v="11881"/>
    <n v="0"/>
    <n v="59405"/>
    <x v="834"/>
    <x v="4"/>
    <x v="1"/>
    <x v="1"/>
    <x v="3"/>
    <x v="2"/>
    <n v="4"/>
  </r>
  <r>
    <s v="O00837"/>
    <d v="2025-12-22T00:00:00"/>
    <s v="C00837"/>
    <s v="Customer 837"/>
    <x v="0"/>
    <x v="0"/>
    <x v="0"/>
    <n v="4"/>
    <n v="1978"/>
    <n v="0.1"/>
    <n v="7120.8"/>
    <x v="835"/>
    <x v="0"/>
    <x v="4"/>
    <x v="4"/>
    <x v="4"/>
    <x v="0"/>
    <n v="5"/>
  </r>
  <r>
    <s v="O00838"/>
    <d v="2025-11-15T00:00:00"/>
    <s v="C00838"/>
    <s v="Customer 838"/>
    <x v="0"/>
    <x v="0"/>
    <x v="0"/>
    <n v="2"/>
    <n v="6000"/>
    <n v="0.15"/>
    <n v="10200"/>
    <x v="836"/>
    <x v="2"/>
    <x v="1"/>
    <x v="1"/>
    <x v="2"/>
    <x v="0"/>
    <n v="5"/>
  </r>
  <r>
    <s v="O00839"/>
    <d v="2025-02-11T00:00:00"/>
    <s v="C00839"/>
    <s v="Customer 839"/>
    <x v="7"/>
    <x v="5"/>
    <x v="7"/>
    <n v="5"/>
    <n v="7091"/>
    <n v="0.15"/>
    <n v="30136.75"/>
    <x v="837"/>
    <x v="4"/>
    <x v="4"/>
    <x v="4"/>
    <x v="0"/>
    <x v="2"/>
    <n v="1"/>
  </r>
  <r>
    <s v="O00840"/>
    <d v="2025-08-05T00:00:00"/>
    <s v="C00840"/>
    <s v="Customer 840"/>
    <x v="3"/>
    <x v="3"/>
    <x v="3"/>
    <n v="5"/>
    <n v="5573"/>
    <n v="0.1"/>
    <n v="25078.5"/>
    <x v="838"/>
    <x v="1"/>
    <x v="4"/>
    <x v="4"/>
    <x v="2"/>
    <x v="3"/>
    <n v="1"/>
  </r>
  <r>
    <s v="O00841"/>
    <d v="2025-09-07T00:00:00"/>
    <s v="C00841"/>
    <s v="Customer 841"/>
    <x v="4"/>
    <x v="3"/>
    <x v="4"/>
    <n v="3"/>
    <n v="3301"/>
    <n v="0.2"/>
    <n v="7922.4"/>
    <x v="839"/>
    <x v="3"/>
    <x v="4"/>
    <x v="4"/>
    <x v="0"/>
    <x v="1"/>
    <n v="5"/>
  </r>
  <r>
    <s v="O00842"/>
    <d v="2025-11-17T00:00:00"/>
    <s v="C00842"/>
    <s v="Customer 842"/>
    <x v="3"/>
    <x v="3"/>
    <x v="3"/>
    <n v="4"/>
    <n v="8698"/>
    <n v="0"/>
    <n v="34792"/>
    <x v="840"/>
    <x v="3"/>
    <x v="3"/>
    <x v="3"/>
    <x v="4"/>
    <x v="2"/>
    <n v="3"/>
  </r>
  <r>
    <s v="O00843"/>
    <d v="2025-10-23T00:00:00"/>
    <s v="C00843"/>
    <s v="Customer 843"/>
    <x v="6"/>
    <x v="4"/>
    <x v="6"/>
    <n v="4"/>
    <n v="2654"/>
    <n v="0.2"/>
    <n v="8492.7999999999993"/>
    <x v="841"/>
    <x v="2"/>
    <x v="1"/>
    <x v="1"/>
    <x v="0"/>
    <x v="1"/>
    <n v="4"/>
  </r>
  <r>
    <s v="O00844"/>
    <d v="2025-03-23T00:00:00"/>
    <s v="C00844"/>
    <s v="Customer 844"/>
    <x v="6"/>
    <x v="4"/>
    <x v="6"/>
    <n v="5"/>
    <n v="8286"/>
    <n v="0"/>
    <n v="41430"/>
    <x v="842"/>
    <x v="3"/>
    <x v="3"/>
    <x v="3"/>
    <x v="3"/>
    <x v="2"/>
    <n v="2"/>
  </r>
  <r>
    <s v="O00845"/>
    <d v="2025-12-26T00:00:00"/>
    <s v="C00845"/>
    <s v="Customer 845"/>
    <x v="1"/>
    <x v="1"/>
    <x v="1"/>
    <n v="1"/>
    <n v="9490"/>
    <n v="0.2"/>
    <n v="7592"/>
    <x v="843"/>
    <x v="0"/>
    <x v="0"/>
    <x v="0"/>
    <x v="1"/>
    <x v="1"/>
    <n v="1"/>
  </r>
  <r>
    <s v="O00846"/>
    <d v="2025-04-04T00:00:00"/>
    <s v="C00846"/>
    <s v="Customer 846"/>
    <x v="1"/>
    <x v="1"/>
    <x v="1"/>
    <n v="3"/>
    <n v="2148"/>
    <n v="0.2"/>
    <n v="5155.2"/>
    <x v="844"/>
    <x v="3"/>
    <x v="5"/>
    <x v="5"/>
    <x v="0"/>
    <x v="3"/>
    <n v="1"/>
  </r>
  <r>
    <s v="O00847"/>
    <d v="2025-01-17T00:00:00"/>
    <s v="C00847"/>
    <s v="Customer 847"/>
    <x v="4"/>
    <x v="3"/>
    <x v="4"/>
    <n v="1"/>
    <n v="6786"/>
    <n v="0"/>
    <n v="6786"/>
    <x v="845"/>
    <x v="1"/>
    <x v="1"/>
    <x v="1"/>
    <x v="1"/>
    <x v="1"/>
    <n v="5"/>
  </r>
  <r>
    <s v="O00848"/>
    <d v="2025-01-06T00:00:00"/>
    <s v="C00848"/>
    <s v="Customer 848"/>
    <x v="5"/>
    <x v="3"/>
    <x v="5"/>
    <n v="2"/>
    <n v="7001"/>
    <n v="0.05"/>
    <n v="13301.9"/>
    <x v="846"/>
    <x v="4"/>
    <x v="0"/>
    <x v="0"/>
    <x v="3"/>
    <x v="2"/>
    <n v="3"/>
  </r>
  <r>
    <s v="O00849"/>
    <d v="2025-02-12T00:00:00"/>
    <s v="C00849"/>
    <s v="Customer 849"/>
    <x v="0"/>
    <x v="0"/>
    <x v="0"/>
    <n v="1"/>
    <n v="14695"/>
    <n v="0.15"/>
    <n v="12490.75"/>
    <x v="847"/>
    <x v="0"/>
    <x v="0"/>
    <x v="0"/>
    <x v="4"/>
    <x v="1"/>
    <n v="1"/>
  </r>
  <r>
    <s v="O00850"/>
    <d v="2025-09-02T00:00:00"/>
    <s v="C00850"/>
    <s v="Customer 850"/>
    <x v="7"/>
    <x v="5"/>
    <x v="7"/>
    <n v="1"/>
    <n v="12457"/>
    <n v="0"/>
    <n v="12457"/>
    <x v="848"/>
    <x v="4"/>
    <x v="5"/>
    <x v="5"/>
    <x v="1"/>
    <x v="1"/>
    <n v="2"/>
  </r>
  <r>
    <s v="O00851"/>
    <d v="2025-02-14T00:00:00"/>
    <s v="C00851"/>
    <s v="Customer 851"/>
    <x v="2"/>
    <x v="2"/>
    <x v="2"/>
    <n v="5"/>
    <n v="309"/>
    <n v="0.2"/>
    <n v="1236"/>
    <x v="849"/>
    <x v="1"/>
    <x v="3"/>
    <x v="3"/>
    <x v="0"/>
    <x v="1"/>
    <n v="2"/>
  </r>
  <r>
    <s v="O00852"/>
    <d v="2025-05-20T00:00:00"/>
    <s v="C00852"/>
    <s v="Customer 852"/>
    <x v="6"/>
    <x v="4"/>
    <x v="6"/>
    <n v="1"/>
    <n v="2914"/>
    <n v="0.2"/>
    <n v="2331.1999999999998"/>
    <x v="850"/>
    <x v="0"/>
    <x v="2"/>
    <x v="2"/>
    <x v="0"/>
    <x v="1"/>
    <n v="5"/>
  </r>
  <r>
    <s v="O00853"/>
    <d v="2025-03-07T00:00:00"/>
    <s v="C00853"/>
    <s v="Customer 853"/>
    <x v="6"/>
    <x v="4"/>
    <x v="6"/>
    <n v="2"/>
    <n v="8605"/>
    <n v="0.05"/>
    <n v="16349.5"/>
    <x v="851"/>
    <x v="3"/>
    <x v="4"/>
    <x v="4"/>
    <x v="3"/>
    <x v="2"/>
    <n v="3"/>
  </r>
  <r>
    <s v="O00854"/>
    <d v="2025-06-07T00:00:00"/>
    <s v="C00854"/>
    <s v="Customer 854"/>
    <x v="6"/>
    <x v="4"/>
    <x v="6"/>
    <n v="1"/>
    <n v="9805"/>
    <n v="0.15"/>
    <n v="8334.25"/>
    <x v="852"/>
    <x v="4"/>
    <x v="0"/>
    <x v="0"/>
    <x v="2"/>
    <x v="1"/>
    <n v="4"/>
  </r>
  <r>
    <s v="O00855"/>
    <d v="2025-03-15T00:00:00"/>
    <s v="C00855"/>
    <s v="Customer 855"/>
    <x v="2"/>
    <x v="2"/>
    <x v="2"/>
    <n v="2"/>
    <n v="5394"/>
    <n v="0.1"/>
    <n v="9709.2000000000007"/>
    <x v="853"/>
    <x v="0"/>
    <x v="0"/>
    <x v="0"/>
    <x v="2"/>
    <x v="0"/>
    <n v="4"/>
  </r>
  <r>
    <s v="O00856"/>
    <d v="2025-02-27T00:00:00"/>
    <s v="C00856"/>
    <s v="Customer 856"/>
    <x v="7"/>
    <x v="5"/>
    <x v="7"/>
    <n v="4"/>
    <n v="2677"/>
    <n v="0.15"/>
    <n v="9101.7999999999993"/>
    <x v="854"/>
    <x v="4"/>
    <x v="1"/>
    <x v="1"/>
    <x v="4"/>
    <x v="2"/>
    <n v="3"/>
  </r>
  <r>
    <s v="O00857"/>
    <d v="2025-10-11T00:00:00"/>
    <s v="C00857"/>
    <s v="Customer 857"/>
    <x v="4"/>
    <x v="3"/>
    <x v="4"/>
    <n v="5"/>
    <n v="6012"/>
    <n v="0.2"/>
    <n v="24048"/>
    <x v="855"/>
    <x v="1"/>
    <x v="0"/>
    <x v="0"/>
    <x v="2"/>
    <x v="1"/>
    <n v="2"/>
  </r>
  <r>
    <s v="O00858"/>
    <d v="2025-08-30T00:00:00"/>
    <s v="C00858"/>
    <s v="Customer 858"/>
    <x v="6"/>
    <x v="4"/>
    <x v="6"/>
    <n v="5"/>
    <n v="5099"/>
    <n v="0.15"/>
    <n v="21670.75"/>
    <x v="856"/>
    <x v="1"/>
    <x v="1"/>
    <x v="1"/>
    <x v="3"/>
    <x v="3"/>
    <n v="3"/>
  </r>
  <r>
    <s v="O00859"/>
    <d v="2025-12-11T00:00:00"/>
    <s v="C00859"/>
    <s v="Customer 859"/>
    <x v="5"/>
    <x v="3"/>
    <x v="5"/>
    <n v="3"/>
    <n v="5202"/>
    <n v="0.15"/>
    <n v="13265.1"/>
    <x v="857"/>
    <x v="1"/>
    <x v="2"/>
    <x v="2"/>
    <x v="4"/>
    <x v="0"/>
    <n v="4"/>
  </r>
  <r>
    <s v="O00860"/>
    <d v="2025-02-23T00:00:00"/>
    <s v="C00860"/>
    <s v="Customer 860"/>
    <x v="6"/>
    <x v="4"/>
    <x v="6"/>
    <n v="2"/>
    <n v="10837"/>
    <n v="0.05"/>
    <n v="20590.3"/>
    <x v="858"/>
    <x v="3"/>
    <x v="5"/>
    <x v="5"/>
    <x v="1"/>
    <x v="1"/>
    <n v="2"/>
  </r>
  <r>
    <s v="O00861"/>
    <d v="2025-04-15T00:00:00"/>
    <s v="C00861"/>
    <s v="Customer 861"/>
    <x v="3"/>
    <x v="3"/>
    <x v="3"/>
    <n v="1"/>
    <n v="4660"/>
    <n v="0"/>
    <n v="4660"/>
    <x v="859"/>
    <x v="2"/>
    <x v="5"/>
    <x v="5"/>
    <x v="2"/>
    <x v="3"/>
    <n v="1"/>
  </r>
  <r>
    <s v="O00862"/>
    <d v="2025-04-07T00:00:00"/>
    <s v="C00862"/>
    <s v="Customer 862"/>
    <x v="3"/>
    <x v="3"/>
    <x v="3"/>
    <n v="1"/>
    <n v="3020"/>
    <n v="0.2"/>
    <n v="2416"/>
    <x v="860"/>
    <x v="1"/>
    <x v="0"/>
    <x v="0"/>
    <x v="4"/>
    <x v="2"/>
    <n v="4"/>
  </r>
  <r>
    <s v="O00863"/>
    <d v="2025-12-14T00:00:00"/>
    <s v="C00863"/>
    <s v="Customer 863"/>
    <x v="4"/>
    <x v="3"/>
    <x v="4"/>
    <n v="4"/>
    <n v="11532"/>
    <n v="0"/>
    <n v="46128"/>
    <x v="861"/>
    <x v="3"/>
    <x v="0"/>
    <x v="0"/>
    <x v="2"/>
    <x v="3"/>
    <n v="4"/>
  </r>
  <r>
    <s v="O00864"/>
    <d v="2025-12-07T00:00:00"/>
    <s v="C00864"/>
    <s v="Customer 864"/>
    <x v="3"/>
    <x v="3"/>
    <x v="3"/>
    <n v="1"/>
    <n v="9858"/>
    <n v="0.15"/>
    <n v="8379.2999999999993"/>
    <x v="862"/>
    <x v="4"/>
    <x v="0"/>
    <x v="0"/>
    <x v="1"/>
    <x v="1"/>
    <n v="2"/>
  </r>
  <r>
    <s v="O00865"/>
    <d v="2025-03-31T00:00:00"/>
    <s v="C00865"/>
    <s v="Customer 865"/>
    <x v="6"/>
    <x v="4"/>
    <x v="6"/>
    <n v="3"/>
    <n v="9324"/>
    <n v="0.15"/>
    <n v="23776.2"/>
    <x v="863"/>
    <x v="4"/>
    <x v="1"/>
    <x v="1"/>
    <x v="2"/>
    <x v="2"/>
    <n v="3"/>
  </r>
  <r>
    <s v="O00866"/>
    <d v="2025-09-15T00:00:00"/>
    <s v="C00866"/>
    <s v="Customer 866"/>
    <x v="2"/>
    <x v="2"/>
    <x v="2"/>
    <n v="2"/>
    <n v="424"/>
    <n v="0"/>
    <n v="848"/>
    <x v="864"/>
    <x v="3"/>
    <x v="3"/>
    <x v="3"/>
    <x v="3"/>
    <x v="0"/>
    <n v="1"/>
  </r>
  <r>
    <s v="O00867"/>
    <d v="2025-03-10T00:00:00"/>
    <s v="C00867"/>
    <s v="Customer 867"/>
    <x v="0"/>
    <x v="0"/>
    <x v="0"/>
    <n v="5"/>
    <n v="3141"/>
    <n v="0.2"/>
    <n v="12564"/>
    <x v="865"/>
    <x v="1"/>
    <x v="2"/>
    <x v="2"/>
    <x v="2"/>
    <x v="3"/>
    <n v="4"/>
  </r>
  <r>
    <s v="O00868"/>
    <d v="2025-04-12T00:00:00"/>
    <s v="C00868"/>
    <s v="Customer 868"/>
    <x v="7"/>
    <x v="5"/>
    <x v="7"/>
    <n v="2"/>
    <n v="7695"/>
    <n v="0.2"/>
    <n v="12312"/>
    <x v="866"/>
    <x v="2"/>
    <x v="1"/>
    <x v="1"/>
    <x v="2"/>
    <x v="1"/>
    <n v="2"/>
  </r>
  <r>
    <s v="O00869"/>
    <d v="2025-07-09T00:00:00"/>
    <s v="C00869"/>
    <s v="Customer 869"/>
    <x v="1"/>
    <x v="1"/>
    <x v="1"/>
    <n v="5"/>
    <n v="1096"/>
    <n v="0.05"/>
    <n v="5206"/>
    <x v="867"/>
    <x v="2"/>
    <x v="2"/>
    <x v="2"/>
    <x v="4"/>
    <x v="3"/>
    <n v="2"/>
  </r>
  <r>
    <s v="O00870"/>
    <d v="2025-12-04T00:00:00"/>
    <s v="C00870"/>
    <s v="Customer 870"/>
    <x v="5"/>
    <x v="3"/>
    <x v="5"/>
    <n v="3"/>
    <n v="9320"/>
    <n v="0.05"/>
    <n v="26562"/>
    <x v="868"/>
    <x v="2"/>
    <x v="2"/>
    <x v="2"/>
    <x v="1"/>
    <x v="2"/>
    <n v="1"/>
  </r>
  <r>
    <s v="O00871"/>
    <d v="2025-04-24T00:00:00"/>
    <s v="C00871"/>
    <s v="Customer 871"/>
    <x v="6"/>
    <x v="4"/>
    <x v="6"/>
    <n v="1"/>
    <n v="5729"/>
    <n v="0.2"/>
    <n v="4583.2"/>
    <x v="869"/>
    <x v="0"/>
    <x v="3"/>
    <x v="3"/>
    <x v="0"/>
    <x v="2"/>
    <n v="4"/>
  </r>
  <r>
    <s v="O00872"/>
    <d v="2025-07-31T00:00:00"/>
    <s v="C00872"/>
    <s v="Customer 872"/>
    <x v="5"/>
    <x v="3"/>
    <x v="5"/>
    <n v="1"/>
    <n v="6830"/>
    <n v="0.2"/>
    <n v="5464"/>
    <x v="870"/>
    <x v="0"/>
    <x v="5"/>
    <x v="5"/>
    <x v="2"/>
    <x v="1"/>
    <n v="3"/>
  </r>
  <r>
    <s v="O00873"/>
    <d v="2025-01-29T00:00:00"/>
    <s v="C00873"/>
    <s v="Customer 873"/>
    <x v="7"/>
    <x v="5"/>
    <x v="7"/>
    <n v="5"/>
    <n v="6926"/>
    <n v="0.2"/>
    <n v="27704"/>
    <x v="871"/>
    <x v="4"/>
    <x v="1"/>
    <x v="1"/>
    <x v="3"/>
    <x v="1"/>
    <n v="4"/>
  </r>
  <r>
    <s v="O00874"/>
    <d v="2025-06-30T00:00:00"/>
    <s v="C00874"/>
    <s v="Customer 874"/>
    <x v="3"/>
    <x v="3"/>
    <x v="3"/>
    <n v="1"/>
    <n v="10480"/>
    <n v="0"/>
    <n v="10480"/>
    <x v="872"/>
    <x v="1"/>
    <x v="2"/>
    <x v="2"/>
    <x v="0"/>
    <x v="0"/>
    <n v="4"/>
  </r>
  <r>
    <s v="O00875"/>
    <d v="2025-05-22T00:00:00"/>
    <s v="C00875"/>
    <s v="Customer 875"/>
    <x v="1"/>
    <x v="1"/>
    <x v="1"/>
    <n v="1"/>
    <n v="9421"/>
    <n v="0"/>
    <n v="9421"/>
    <x v="873"/>
    <x v="1"/>
    <x v="1"/>
    <x v="1"/>
    <x v="0"/>
    <x v="1"/>
    <n v="4"/>
  </r>
  <r>
    <s v="O00876"/>
    <d v="2025-12-24T00:00:00"/>
    <s v="C00876"/>
    <s v="Customer 876"/>
    <x v="6"/>
    <x v="4"/>
    <x v="6"/>
    <n v="4"/>
    <n v="7735"/>
    <n v="0"/>
    <n v="30940"/>
    <x v="874"/>
    <x v="4"/>
    <x v="4"/>
    <x v="4"/>
    <x v="0"/>
    <x v="0"/>
    <n v="5"/>
  </r>
  <r>
    <s v="O00877"/>
    <d v="2025-01-21T00:00:00"/>
    <s v="C00877"/>
    <s v="Customer 877"/>
    <x v="5"/>
    <x v="3"/>
    <x v="5"/>
    <n v="4"/>
    <n v="14130"/>
    <n v="0.2"/>
    <n v="45216"/>
    <x v="875"/>
    <x v="3"/>
    <x v="4"/>
    <x v="4"/>
    <x v="0"/>
    <x v="3"/>
    <n v="1"/>
  </r>
  <r>
    <s v="O00878"/>
    <d v="2025-12-18T00:00:00"/>
    <s v="C00878"/>
    <s v="Customer 878"/>
    <x v="5"/>
    <x v="3"/>
    <x v="5"/>
    <n v="3"/>
    <n v="7272"/>
    <n v="0.15"/>
    <n v="18543.599999999999"/>
    <x v="876"/>
    <x v="4"/>
    <x v="2"/>
    <x v="2"/>
    <x v="1"/>
    <x v="1"/>
    <n v="2"/>
  </r>
  <r>
    <s v="O00879"/>
    <d v="2025-09-05T00:00:00"/>
    <s v="C00879"/>
    <s v="Customer 879"/>
    <x v="1"/>
    <x v="1"/>
    <x v="1"/>
    <n v="1"/>
    <n v="5817"/>
    <n v="0.2"/>
    <n v="4653.6000000000004"/>
    <x v="877"/>
    <x v="3"/>
    <x v="4"/>
    <x v="4"/>
    <x v="3"/>
    <x v="2"/>
    <n v="2"/>
  </r>
  <r>
    <s v="O00880"/>
    <d v="2025-02-04T00:00:00"/>
    <s v="C00880"/>
    <s v="Customer 880"/>
    <x v="2"/>
    <x v="2"/>
    <x v="2"/>
    <n v="2"/>
    <n v="13515"/>
    <n v="0.2"/>
    <n v="21624"/>
    <x v="878"/>
    <x v="2"/>
    <x v="2"/>
    <x v="2"/>
    <x v="0"/>
    <x v="0"/>
    <n v="1"/>
  </r>
  <r>
    <s v="O00881"/>
    <d v="2025-02-18T00:00:00"/>
    <s v="C00881"/>
    <s v="Customer 881"/>
    <x v="2"/>
    <x v="2"/>
    <x v="2"/>
    <n v="2"/>
    <n v="6608"/>
    <n v="0.1"/>
    <n v="11894.4"/>
    <x v="879"/>
    <x v="1"/>
    <x v="4"/>
    <x v="4"/>
    <x v="1"/>
    <x v="2"/>
    <n v="1"/>
  </r>
  <r>
    <s v="O00882"/>
    <d v="2025-04-02T00:00:00"/>
    <s v="C00882"/>
    <s v="Customer 882"/>
    <x v="4"/>
    <x v="3"/>
    <x v="4"/>
    <n v="5"/>
    <n v="7506"/>
    <n v="0.05"/>
    <n v="35653.5"/>
    <x v="880"/>
    <x v="2"/>
    <x v="0"/>
    <x v="0"/>
    <x v="4"/>
    <x v="3"/>
    <n v="1"/>
  </r>
  <r>
    <s v="O00883"/>
    <d v="2025-03-18T00:00:00"/>
    <s v="C00883"/>
    <s v="Customer 883"/>
    <x v="5"/>
    <x v="3"/>
    <x v="5"/>
    <n v="4"/>
    <n v="3294"/>
    <n v="0.2"/>
    <n v="10540.8"/>
    <x v="881"/>
    <x v="2"/>
    <x v="5"/>
    <x v="5"/>
    <x v="3"/>
    <x v="2"/>
    <n v="3"/>
  </r>
  <r>
    <s v="O00884"/>
    <d v="2025-03-07T00:00:00"/>
    <s v="C00884"/>
    <s v="Customer 884"/>
    <x v="7"/>
    <x v="5"/>
    <x v="7"/>
    <n v="5"/>
    <n v="3250"/>
    <n v="0.1"/>
    <n v="14625"/>
    <x v="882"/>
    <x v="1"/>
    <x v="4"/>
    <x v="4"/>
    <x v="0"/>
    <x v="3"/>
    <n v="1"/>
  </r>
  <r>
    <s v="O00885"/>
    <d v="2025-06-11T00:00:00"/>
    <s v="C00885"/>
    <s v="Customer 885"/>
    <x v="6"/>
    <x v="4"/>
    <x v="6"/>
    <n v="4"/>
    <n v="12203"/>
    <n v="0"/>
    <n v="48812"/>
    <x v="883"/>
    <x v="3"/>
    <x v="1"/>
    <x v="1"/>
    <x v="1"/>
    <x v="3"/>
    <n v="1"/>
  </r>
  <r>
    <s v="O00886"/>
    <d v="2025-06-24T00:00:00"/>
    <s v="C00886"/>
    <s v="Customer 886"/>
    <x v="7"/>
    <x v="5"/>
    <x v="7"/>
    <n v="5"/>
    <n v="4647"/>
    <n v="0.05"/>
    <n v="22073.25"/>
    <x v="884"/>
    <x v="3"/>
    <x v="0"/>
    <x v="0"/>
    <x v="3"/>
    <x v="2"/>
    <n v="1"/>
  </r>
  <r>
    <s v="O00887"/>
    <d v="2025-10-07T00:00:00"/>
    <s v="C00887"/>
    <s v="Customer 887"/>
    <x v="5"/>
    <x v="3"/>
    <x v="5"/>
    <n v="5"/>
    <n v="10321"/>
    <n v="0.05"/>
    <n v="49024.75"/>
    <x v="885"/>
    <x v="4"/>
    <x v="5"/>
    <x v="5"/>
    <x v="3"/>
    <x v="3"/>
    <n v="2"/>
  </r>
  <r>
    <s v="O00888"/>
    <d v="2025-12-25T00:00:00"/>
    <s v="C00888"/>
    <s v="Customer 888"/>
    <x v="2"/>
    <x v="2"/>
    <x v="2"/>
    <n v="5"/>
    <n v="7430"/>
    <n v="0.2"/>
    <n v="29720"/>
    <x v="886"/>
    <x v="4"/>
    <x v="4"/>
    <x v="4"/>
    <x v="4"/>
    <x v="0"/>
    <n v="5"/>
  </r>
  <r>
    <s v="O00889"/>
    <d v="2025-05-17T00:00:00"/>
    <s v="C00889"/>
    <s v="Customer 889"/>
    <x v="7"/>
    <x v="5"/>
    <x v="7"/>
    <n v="2"/>
    <n v="4106"/>
    <n v="0.05"/>
    <n v="7801.4"/>
    <x v="887"/>
    <x v="4"/>
    <x v="5"/>
    <x v="5"/>
    <x v="1"/>
    <x v="2"/>
    <n v="4"/>
  </r>
  <r>
    <s v="O00890"/>
    <d v="2025-08-11T00:00:00"/>
    <s v="C00890"/>
    <s v="Customer 890"/>
    <x v="0"/>
    <x v="0"/>
    <x v="0"/>
    <n v="2"/>
    <n v="12854"/>
    <n v="0.1"/>
    <n v="23137.200000000001"/>
    <x v="888"/>
    <x v="2"/>
    <x v="1"/>
    <x v="1"/>
    <x v="3"/>
    <x v="3"/>
    <n v="5"/>
  </r>
  <r>
    <s v="O00891"/>
    <d v="2025-02-07T00:00:00"/>
    <s v="C00891"/>
    <s v="Customer 891"/>
    <x v="2"/>
    <x v="2"/>
    <x v="2"/>
    <n v="1"/>
    <n v="12584"/>
    <n v="0.2"/>
    <n v="10067.200000000001"/>
    <x v="889"/>
    <x v="3"/>
    <x v="4"/>
    <x v="4"/>
    <x v="2"/>
    <x v="3"/>
    <n v="5"/>
  </r>
  <r>
    <s v="O00892"/>
    <d v="2025-07-07T00:00:00"/>
    <s v="C00892"/>
    <s v="Customer 892"/>
    <x v="0"/>
    <x v="0"/>
    <x v="0"/>
    <n v="5"/>
    <n v="4899"/>
    <n v="0.2"/>
    <n v="19596"/>
    <x v="890"/>
    <x v="4"/>
    <x v="2"/>
    <x v="2"/>
    <x v="2"/>
    <x v="2"/>
    <n v="1"/>
  </r>
  <r>
    <s v="O00893"/>
    <d v="2025-12-04T00:00:00"/>
    <s v="C00893"/>
    <s v="Customer 893"/>
    <x v="6"/>
    <x v="4"/>
    <x v="6"/>
    <n v="5"/>
    <n v="10556"/>
    <n v="0.1"/>
    <n v="47502"/>
    <x v="891"/>
    <x v="1"/>
    <x v="0"/>
    <x v="0"/>
    <x v="3"/>
    <x v="0"/>
    <n v="1"/>
  </r>
  <r>
    <s v="O00894"/>
    <d v="2025-07-16T00:00:00"/>
    <s v="C00894"/>
    <s v="Customer 894"/>
    <x v="7"/>
    <x v="5"/>
    <x v="7"/>
    <n v="5"/>
    <n v="6710"/>
    <n v="0.2"/>
    <n v="26840"/>
    <x v="892"/>
    <x v="3"/>
    <x v="3"/>
    <x v="3"/>
    <x v="1"/>
    <x v="2"/>
    <n v="3"/>
  </r>
  <r>
    <s v="O00895"/>
    <d v="2025-10-04T00:00:00"/>
    <s v="C00895"/>
    <s v="Customer 895"/>
    <x v="1"/>
    <x v="1"/>
    <x v="1"/>
    <n v="4"/>
    <n v="691"/>
    <n v="0.05"/>
    <n v="2625.8"/>
    <x v="893"/>
    <x v="0"/>
    <x v="0"/>
    <x v="0"/>
    <x v="1"/>
    <x v="2"/>
    <n v="1"/>
  </r>
  <r>
    <s v="O00896"/>
    <d v="2025-01-13T00:00:00"/>
    <s v="C00896"/>
    <s v="Customer 896"/>
    <x v="5"/>
    <x v="3"/>
    <x v="5"/>
    <n v="2"/>
    <n v="604"/>
    <n v="0.15"/>
    <n v="1026.8"/>
    <x v="894"/>
    <x v="2"/>
    <x v="5"/>
    <x v="5"/>
    <x v="2"/>
    <x v="1"/>
    <n v="3"/>
  </r>
  <r>
    <s v="O00897"/>
    <d v="2025-01-12T00:00:00"/>
    <s v="C00897"/>
    <s v="Customer 897"/>
    <x v="5"/>
    <x v="3"/>
    <x v="5"/>
    <n v="5"/>
    <n v="5065"/>
    <n v="0"/>
    <n v="25325"/>
    <x v="895"/>
    <x v="3"/>
    <x v="1"/>
    <x v="1"/>
    <x v="0"/>
    <x v="1"/>
    <n v="4"/>
  </r>
  <r>
    <s v="O00898"/>
    <d v="2025-01-09T00:00:00"/>
    <s v="C00898"/>
    <s v="Customer 898"/>
    <x v="1"/>
    <x v="1"/>
    <x v="1"/>
    <n v="4"/>
    <n v="10533"/>
    <n v="0.15"/>
    <n v="35812.199999999997"/>
    <x v="896"/>
    <x v="2"/>
    <x v="0"/>
    <x v="0"/>
    <x v="2"/>
    <x v="0"/>
    <n v="3"/>
  </r>
  <r>
    <s v="O00899"/>
    <d v="2025-03-15T00:00:00"/>
    <s v="C00899"/>
    <s v="Customer 899"/>
    <x v="5"/>
    <x v="3"/>
    <x v="5"/>
    <n v="4"/>
    <n v="8684"/>
    <n v="0"/>
    <n v="34736"/>
    <x v="897"/>
    <x v="2"/>
    <x v="0"/>
    <x v="0"/>
    <x v="3"/>
    <x v="0"/>
    <n v="1"/>
  </r>
  <r>
    <s v="O00900"/>
    <d v="2025-02-26T00:00:00"/>
    <s v="C00900"/>
    <s v="Customer 900"/>
    <x v="2"/>
    <x v="2"/>
    <x v="2"/>
    <n v="1"/>
    <n v="14718"/>
    <n v="0"/>
    <n v="14718"/>
    <x v="898"/>
    <x v="1"/>
    <x v="2"/>
    <x v="2"/>
    <x v="1"/>
    <x v="3"/>
    <n v="5"/>
  </r>
  <r>
    <s v="O00901"/>
    <d v="2025-12-19T00:00:00"/>
    <s v="C00901"/>
    <s v="Customer 901"/>
    <x v="0"/>
    <x v="0"/>
    <x v="0"/>
    <n v="5"/>
    <n v="7890"/>
    <n v="0.15"/>
    <n v="33532.5"/>
    <x v="899"/>
    <x v="0"/>
    <x v="3"/>
    <x v="3"/>
    <x v="0"/>
    <x v="0"/>
    <n v="1"/>
  </r>
  <r>
    <s v="O00902"/>
    <d v="2025-12-05T00:00:00"/>
    <s v="C00902"/>
    <s v="Customer 902"/>
    <x v="5"/>
    <x v="3"/>
    <x v="5"/>
    <n v="3"/>
    <n v="11824"/>
    <n v="0.2"/>
    <n v="28377.599999999999"/>
    <x v="900"/>
    <x v="1"/>
    <x v="3"/>
    <x v="3"/>
    <x v="2"/>
    <x v="2"/>
    <n v="5"/>
  </r>
  <r>
    <s v="O00903"/>
    <d v="2025-06-09T00:00:00"/>
    <s v="C00903"/>
    <s v="Customer 903"/>
    <x v="4"/>
    <x v="3"/>
    <x v="4"/>
    <n v="3"/>
    <n v="6576"/>
    <n v="0.05"/>
    <n v="18741.599999999999"/>
    <x v="901"/>
    <x v="4"/>
    <x v="2"/>
    <x v="2"/>
    <x v="3"/>
    <x v="2"/>
    <n v="2"/>
  </r>
  <r>
    <s v="O00904"/>
    <d v="2025-08-27T00:00:00"/>
    <s v="C00904"/>
    <s v="Customer 904"/>
    <x v="7"/>
    <x v="5"/>
    <x v="7"/>
    <n v="4"/>
    <n v="10327"/>
    <n v="0.05"/>
    <n v="39242.6"/>
    <x v="902"/>
    <x v="3"/>
    <x v="5"/>
    <x v="5"/>
    <x v="1"/>
    <x v="3"/>
    <n v="1"/>
  </r>
  <r>
    <s v="O00905"/>
    <d v="2025-05-10T00:00:00"/>
    <s v="C00905"/>
    <s v="Customer 905"/>
    <x v="7"/>
    <x v="5"/>
    <x v="7"/>
    <n v="5"/>
    <n v="12386"/>
    <n v="0.1"/>
    <n v="55737"/>
    <x v="903"/>
    <x v="3"/>
    <x v="1"/>
    <x v="1"/>
    <x v="0"/>
    <x v="2"/>
    <n v="2"/>
  </r>
  <r>
    <s v="O00906"/>
    <d v="2025-10-04T00:00:00"/>
    <s v="C00906"/>
    <s v="Customer 906"/>
    <x v="7"/>
    <x v="5"/>
    <x v="7"/>
    <n v="1"/>
    <n v="12457"/>
    <n v="0.05"/>
    <n v="11834.15"/>
    <x v="904"/>
    <x v="0"/>
    <x v="1"/>
    <x v="1"/>
    <x v="3"/>
    <x v="2"/>
    <n v="5"/>
  </r>
  <r>
    <s v="O00907"/>
    <d v="2025-05-01T00:00:00"/>
    <s v="C00907"/>
    <s v="Customer 907"/>
    <x v="7"/>
    <x v="5"/>
    <x v="7"/>
    <n v="1"/>
    <n v="2667"/>
    <n v="0.2"/>
    <n v="2133.6"/>
    <x v="905"/>
    <x v="2"/>
    <x v="0"/>
    <x v="0"/>
    <x v="3"/>
    <x v="2"/>
    <n v="5"/>
  </r>
  <r>
    <s v="O00908"/>
    <d v="2025-12-07T00:00:00"/>
    <s v="C00908"/>
    <s v="Customer 908"/>
    <x v="0"/>
    <x v="0"/>
    <x v="0"/>
    <n v="2"/>
    <n v="12143"/>
    <n v="0.1"/>
    <n v="21857.4"/>
    <x v="906"/>
    <x v="4"/>
    <x v="3"/>
    <x v="3"/>
    <x v="3"/>
    <x v="2"/>
    <n v="3"/>
  </r>
  <r>
    <s v="O00909"/>
    <d v="2025-09-24T00:00:00"/>
    <s v="C00909"/>
    <s v="Customer 909"/>
    <x v="4"/>
    <x v="3"/>
    <x v="4"/>
    <n v="3"/>
    <n v="11151"/>
    <n v="0.15"/>
    <n v="28435.05"/>
    <x v="907"/>
    <x v="1"/>
    <x v="0"/>
    <x v="0"/>
    <x v="0"/>
    <x v="0"/>
    <n v="3"/>
  </r>
  <r>
    <s v="O00910"/>
    <d v="2025-06-11T00:00:00"/>
    <s v="C00910"/>
    <s v="Customer 910"/>
    <x v="2"/>
    <x v="2"/>
    <x v="2"/>
    <n v="5"/>
    <n v="4327"/>
    <n v="0.05"/>
    <n v="20553.25"/>
    <x v="908"/>
    <x v="0"/>
    <x v="0"/>
    <x v="0"/>
    <x v="4"/>
    <x v="3"/>
    <n v="1"/>
  </r>
  <r>
    <s v="O00911"/>
    <d v="2025-03-23T00:00:00"/>
    <s v="C00911"/>
    <s v="Customer 911"/>
    <x v="2"/>
    <x v="2"/>
    <x v="2"/>
    <n v="4"/>
    <n v="12305"/>
    <n v="0"/>
    <n v="49220"/>
    <x v="909"/>
    <x v="1"/>
    <x v="4"/>
    <x v="4"/>
    <x v="4"/>
    <x v="0"/>
    <n v="2"/>
  </r>
  <r>
    <s v="O00912"/>
    <d v="2025-03-08T00:00:00"/>
    <s v="C00912"/>
    <s v="Customer 912"/>
    <x v="7"/>
    <x v="5"/>
    <x v="7"/>
    <n v="5"/>
    <n v="9315"/>
    <n v="0.05"/>
    <n v="44246.25"/>
    <x v="910"/>
    <x v="1"/>
    <x v="4"/>
    <x v="4"/>
    <x v="4"/>
    <x v="3"/>
    <n v="5"/>
  </r>
  <r>
    <s v="O00913"/>
    <d v="2025-11-17T00:00:00"/>
    <s v="C00913"/>
    <s v="Customer 913"/>
    <x v="6"/>
    <x v="4"/>
    <x v="6"/>
    <n v="1"/>
    <n v="12682"/>
    <n v="0.05"/>
    <n v="12047.9"/>
    <x v="911"/>
    <x v="3"/>
    <x v="2"/>
    <x v="2"/>
    <x v="1"/>
    <x v="0"/>
    <n v="2"/>
  </r>
  <r>
    <s v="O00914"/>
    <d v="2025-09-18T00:00:00"/>
    <s v="C00914"/>
    <s v="Customer 914"/>
    <x v="7"/>
    <x v="5"/>
    <x v="7"/>
    <n v="2"/>
    <n v="8148"/>
    <n v="0.05"/>
    <n v="15481.2"/>
    <x v="912"/>
    <x v="0"/>
    <x v="5"/>
    <x v="5"/>
    <x v="2"/>
    <x v="3"/>
    <n v="4"/>
  </r>
  <r>
    <s v="O00915"/>
    <d v="2025-08-10T00:00:00"/>
    <s v="C00915"/>
    <s v="Customer 915"/>
    <x v="1"/>
    <x v="1"/>
    <x v="1"/>
    <n v="3"/>
    <n v="806"/>
    <n v="0.15"/>
    <n v="2055.3000000000002"/>
    <x v="913"/>
    <x v="0"/>
    <x v="1"/>
    <x v="1"/>
    <x v="0"/>
    <x v="1"/>
    <n v="1"/>
  </r>
  <r>
    <s v="O00916"/>
    <d v="2025-04-05T00:00:00"/>
    <s v="C00916"/>
    <s v="Customer 916"/>
    <x v="2"/>
    <x v="2"/>
    <x v="2"/>
    <n v="4"/>
    <n v="3484"/>
    <n v="0.05"/>
    <n v="13239.2"/>
    <x v="914"/>
    <x v="2"/>
    <x v="1"/>
    <x v="1"/>
    <x v="3"/>
    <x v="3"/>
    <n v="5"/>
  </r>
  <r>
    <s v="O00917"/>
    <d v="2025-04-26T00:00:00"/>
    <s v="C00917"/>
    <s v="Customer 917"/>
    <x v="1"/>
    <x v="1"/>
    <x v="1"/>
    <n v="5"/>
    <n v="12205"/>
    <n v="0.2"/>
    <n v="48820"/>
    <x v="915"/>
    <x v="0"/>
    <x v="4"/>
    <x v="4"/>
    <x v="2"/>
    <x v="3"/>
    <n v="3"/>
  </r>
  <r>
    <s v="O00918"/>
    <d v="2025-01-28T00:00:00"/>
    <s v="C00918"/>
    <s v="Customer 918"/>
    <x v="3"/>
    <x v="3"/>
    <x v="3"/>
    <n v="1"/>
    <n v="14179"/>
    <n v="0.05"/>
    <n v="13470.05"/>
    <x v="916"/>
    <x v="2"/>
    <x v="0"/>
    <x v="0"/>
    <x v="4"/>
    <x v="0"/>
    <n v="5"/>
  </r>
  <r>
    <s v="O00919"/>
    <d v="2025-01-14T00:00:00"/>
    <s v="C00919"/>
    <s v="Customer 919"/>
    <x v="2"/>
    <x v="2"/>
    <x v="2"/>
    <n v="1"/>
    <n v="3586"/>
    <n v="0.05"/>
    <n v="3406.7"/>
    <x v="917"/>
    <x v="4"/>
    <x v="5"/>
    <x v="5"/>
    <x v="0"/>
    <x v="0"/>
    <n v="5"/>
  </r>
  <r>
    <s v="O00920"/>
    <d v="2025-12-29T00:00:00"/>
    <s v="C00920"/>
    <s v="Customer 920"/>
    <x v="5"/>
    <x v="3"/>
    <x v="5"/>
    <n v="3"/>
    <n v="6944"/>
    <n v="0.05"/>
    <n v="19790.400000000001"/>
    <x v="918"/>
    <x v="2"/>
    <x v="4"/>
    <x v="4"/>
    <x v="0"/>
    <x v="2"/>
    <n v="5"/>
  </r>
  <r>
    <s v="O00921"/>
    <d v="2025-10-13T00:00:00"/>
    <s v="C00921"/>
    <s v="Customer 921"/>
    <x v="5"/>
    <x v="3"/>
    <x v="5"/>
    <n v="5"/>
    <n v="5691"/>
    <n v="0.1"/>
    <n v="25609.5"/>
    <x v="919"/>
    <x v="0"/>
    <x v="4"/>
    <x v="4"/>
    <x v="1"/>
    <x v="0"/>
    <n v="3"/>
  </r>
  <r>
    <s v="O00922"/>
    <d v="2025-06-18T00:00:00"/>
    <s v="C00922"/>
    <s v="Customer 922"/>
    <x v="3"/>
    <x v="3"/>
    <x v="3"/>
    <n v="2"/>
    <n v="13188"/>
    <n v="0.05"/>
    <n v="25057.200000000001"/>
    <x v="920"/>
    <x v="4"/>
    <x v="5"/>
    <x v="5"/>
    <x v="2"/>
    <x v="1"/>
    <n v="1"/>
  </r>
  <r>
    <s v="O00923"/>
    <d v="2025-02-08T00:00:00"/>
    <s v="C00923"/>
    <s v="Customer 923"/>
    <x v="7"/>
    <x v="5"/>
    <x v="7"/>
    <n v="3"/>
    <n v="6866"/>
    <n v="0.05"/>
    <n v="19568.099999999999"/>
    <x v="921"/>
    <x v="0"/>
    <x v="3"/>
    <x v="3"/>
    <x v="3"/>
    <x v="3"/>
    <n v="1"/>
  </r>
  <r>
    <s v="O00924"/>
    <d v="2025-02-22T00:00:00"/>
    <s v="C00924"/>
    <s v="Customer 924"/>
    <x v="2"/>
    <x v="2"/>
    <x v="2"/>
    <n v="3"/>
    <n v="13976"/>
    <n v="0.15"/>
    <n v="35638.800000000003"/>
    <x v="922"/>
    <x v="1"/>
    <x v="0"/>
    <x v="0"/>
    <x v="2"/>
    <x v="0"/>
    <n v="5"/>
  </r>
  <r>
    <s v="O00925"/>
    <d v="2025-05-22T00:00:00"/>
    <s v="C00925"/>
    <s v="Customer 925"/>
    <x v="1"/>
    <x v="1"/>
    <x v="1"/>
    <n v="2"/>
    <n v="1032"/>
    <n v="0.05"/>
    <n v="1960.8"/>
    <x v="923"/>
    <x v="3"/>
    <x v="4"/>
    <x v="4"/>
    <x v="1"/>
    <x v="2"/>
    <n v="3"/>
  </r>
  <r>
    <s v="O00926"/>
    <d v="2025-09-09T00:00:00"/>
    <s v="C00926"/>
    <s v="Customer 926"/>
    <x v="1"/>
    <x v="1"/>
    <x v="1"/>
    <n v="2"/>
    <n v="4435"/>
    <n v="0.2"/>
    <n v="7096"/>
    <x v="924"/>
    <x v="4"/>
    <x v="5"/>
    <x v="5"/>
    <x v="1"/>
    <x v="3"/>
    <n v="3"/>
  </r>
  <r>
    <s v="O00927"/>
    <d v="2025-01-23T00:00:00"/>
    <s v="C00927"/>
    <s v="Customer 927"/>
    <x v="4"/>
    <x v="3"/>
    <x v="4"/>
    <n v="5"/>
    <n v="3110"/>
    <n v="0.1"/>
    <n v="13995"/>
    <x v="925"/>
    <x v="0"/>
    <x v="1"/>
    <x v="1"/>
    <x v="0"/>
    <x v="2"/>
    <n v="4"/>
  </r>
  <r>
    <s v="O00928"/>
    <d v="2025-03-20T00:00:00"/>
    <s v="C00928"/>
    <s v="Customer 928"/>
    <x v="0"/>
    <x v="0"/>
    <x v="0"/>
    <n v="2"/>
    <n v="7705"/>
    <n v="0.15"/>
    <n v="13098.5"/>
    <x v="926"/>
    <x v="0"/>
    <x v="4"/>
    <x v="4"/>
    <x v="3"/>
    <x v="3"/>
    <n v="1"/>
  </r>
  <r>
    <s v="O00929"/>
    <d v="2025-04-08T00:00:00"/>
    <s v="C00929"/>
    <s v="Customer 929"/>
    <x v="3"/>
    <x v="3"/>
    <x v="3"/>
    <n v="2"/>
    <n v="7591"/>
    <n v="0.1"/>
    <n v="13663.8"/>
    <x v="927"/>
    <x v="4"/>
    <x v="2"/>
    <x v="2"/>
    <x v="3"/>
    <x v="2"/>
    <n v="5"/>
  </r>
  <r>
    <s v="O00930"/>
    <d v="2025-12-18T00:00:00"/>
    <s v="C00930"/>
    <s v="Customer 930"/>
    <x v="5"/>
    <x v="3"/>
    <x v="5"/>
    <n v="3"/>
    <n v="2693"/>
    <n v="0.05"/>
    <n v="7675.05"/>
    <x v="928"/>
    <x v="3"/>
    <x v="2"/>
    <x v="2"/>
    <x v="1"/>
    <x v="2"/>
    <n v="1"/>
  </r>
  <r>
    <s v="O00931"/>
    <d v="2025-08-20T00:00:00"/>
    <s v="C00931"/>
    <s v="Customer 931"/>
    <x v="6"/>
    <x v="4"/>
    <x v="6"/>
    <n v="4"/>
    <n v="1345"/>
    <n v="0"/>
    <n v="5380"/>
    <x v="929"/>
    <x v="3"/>
    <x v="4"/>
    <x v="4"/>
    <x v="4"/>
    <x v="0"/>
    <n v="1"/>
  </r>
  <r>
    <s v="O00932"/>
    <d v="2025-01-08T00:00:00"/>
    <s v="C00932"/>
    <s v="Customer 932"/>
    <x v="2"/>
    <x v="2"/>
    <x v="2"/>
    <n v="5"/>
    <n v="8860"/>
    <n v="0"/>
    <n v="44300"/>
    <x v="930"/>
    <x v="1"/>
    <x v="4"/>
    <x v="4"/>
    <x v="3"/>
    <x v="3"/>
    <n v="2"/>
  </r>
  <r>
    <s v="O00933"/>
    <d v="2025-04-02T00:00:00"/>
    <s v="C00933"/>
    <s v="Customer 933"/>
    <x v="0"/>
    <x v="0"/>
    <x v="0"/>
    <n v="4"/>
    <n v="2947"/>
    <n v="0.05"/>
    <n v="11198.6"/>
    <x v="931"/>
    <x v="2"/>
    <x v="5"/>
    <x v="5"/>
    <x v="3"/>
    <x v="2"/>
    <n v="2"/>
  </r>
  <r>
    <s v="O00934"/>
    <d v="2025-11-23T00:00:00"/>
    <s v="C00934"/>
    <s v="Customer 934"/>
    <x v="5"/>
    <x v="3"/>
    <x v="5"/>
    <n v="3"/>
    <n v="10019"/>
    <n v="0.1"/>
    <n v="27051.3"/>
    <x v="932"/>
    <x v="4"/>
    <x v="1"/>
    <x v="1"/>
    <x v="0"/>
    <x v="2"/>
    <n v="4"/>
  </r>
  <r>
    <s v="O00935"/>
    <d v="2025-06-13T00:00:00"/>
    <s v="C00935"/>
    <s v="Customer 935"/>
    <x v="2"/>
    <x v="2"/>
    <x v="2"/>
    <n v="1"/>
    <n v="12009"/>
    <n v="0.2"/>
    <n v="9607.2000000000007"/>
    <x v="933"/>
    <x v="1"/>
    <x v="0"/>
    <x v="0"/>
    <x v="4"/>
    <x v="2"/>
    <n v="5"/>
  </r>
  <r>
    <s v="O00936"/>
    <d v="2025-04-06T00:00:00"/>
    <s v="C00936"/>
    <s v="Customer 936"/>
    <x v="4"/>
    <x v="3"/>
    <x v="4"/>
    <n v="4"/>
    <n v="511"/>
    <n v="0.2"/>
    <n v="1635.2"/>
    <x v="934"/>
    <x v="0"/>
    <x v="5"/>
    <x v="5"/>
    <x v="2"/>
    <x v="3"/>
    <n v="3"/>
  </r>
  <r>
    <s v="O00937"/>
    <d v="2025-10-24T00:00:00"/>
    <s v="C00937"/>
    <s v="Customer 937"/>
    <x v="7"/>
    <x v="5"/>
    <x v="7"/>
    <n v="3"/>
    <n v="12690"/>
    <n v="0.15"/>
    <n v="32359.5"/>
    <x v="935"/>
    <x v="2"/>
    <x v="4"/>
    <x v="4"/>
    <x v="3"/>
    <x v="0"/>
    <n v="4"/>
  </r>
  <r>
    <s v="O00938"/>
    <d v="2025-12-24T00:00:00"/>
    <s v="C00938"/>
    <s v="Customer 938"/>
    <x v="0"/>
    <x v="0"/>
    <x v="0"/>
    <n v="3"/>
    <n v="11492"/>
    <n v="0.1"/>
    <n v="31028.400000000001"/>
    <x v="936"/>
    <x v="0"/>
    <x v="2"/>
    <x v="2"/>
    <x v="2"/>
    <x v="3"/>
    <n v="3"/>
  </r>
  <r>
    <s v="O00939"/>
    <d v="2025-12-10T00:00:00"/>
    <s v="C00939"/>
    <s v="Customer 939"/>
    <x v="3"/>
    <x v="3"/>
    <x v="3"/>
    <n v="4"/>
    <n v="8158"/>
    <n v="0.15"/>
    <n v="27737.200000000001"/>
    <x v="937"/>
    <x v="2"/>
    <x v="3"/>
    <x v="3"/>
    <x v="4"/>
    <x v="2"/>
    <n v="5"/>
  </r>
  <r>
    <s v="O00940"/>
    <d v="2025-01-06T00:00:00"/>
    <s v="C00940"/>
    <s v="Customer 940"/>
    <x v="5"/>
    <x v="3"/>
    <x v="5"/>
    <n v="2"/>
    <n v="9321"/>
    <n v="0.05"/>
    <n v="17709.900000000001"/>
    <x v="938"/>
    <x v="1"/>
    <x v="5"/>
    <x v="5"/>
    <x v="0"/>
    <x v="2"/>
    <n v="5"/>
  </r>
  <r>
    <s v="O00941"/>
    <d v="2025-02-18T00:00:00"/>
    <s v="C00941"/>
    <s v="Customer 941"/>
    <x v="7"/>
    <x v="5"/>
    <x v="7"/>
    <n v="5"/>
    <n v="10124"/>
    <n v="0.15"/>
    <n v="43027"/>
    <x v="939"/>
    <x v="4"/>
    <x v="2"/>
    <x v="2"/>
    <x v="1"/>
    <x v="0"/>
    <n v="5"/>
  </r>
  <r>
    <s v="O00942"/>
    <d v="2025-01-25T00:00:00"/>
    <s v="C00942"/>
    <s v="Customer 942"/>
    <x v="2"/>
    <x v="2"/>
    <x v="2"/>
    <n v="2"/>
    <n v="7815"/>
    <n v="0"/>
    <n v="15630"/>
    <x v="940"/>
    <x v="4"/>
    <x v="5"/>
    <x v="5"/>
    <x v="3"/>
    <x v="0"/>
    <n v="5"/>
  </r>
  <r>
    <s v="O00943"/>
    <d v="2025-01-26T00:00:00"/>
    <s v="C00943"/>
    <s v="Customer 943"/>
    <x v="5"/>
    <x v="3"/>
    <x v="5"/>
    <n v="3"/>
    <n v="14344"/>
    <n v="0.05"/>
    <n v="40880.400000000001"/>
    <x v="941"/>
    <x v="4"/>
    <x v="5"/>
    <x v="5"/>
    <x v="4"/>
    <x v="0"/>
    <n v="2"/>
  </r>
  <r>
    <s v="O00944"/>
    <d v="2025-11-02T00:00:00"/>
    <s v="C00944"/>
    <s v="Customer 944"/>
    <x v="3"/>
    <x v="3"/>
    <x v="3"/>
    <n v="4"/>
    <n v="4933"/>
    <n v="0.15"/>
    <n v="16772.2"/>
    <x v="942"/>
    <x v="0"/>
    <x v="2"/>
    <x v="2"/>
    <x v="1"/>
    <x v="0"/>
    <n v="5"/>
  </r>
  <r>
    <s v="O00945"/>
    <d v="2025-09-14T00:00:00"/>
    <s v="C00945"/>
    <s v="Customer 945"/>
    <x v="7"/>
    <x v="5"/>
    <x v="7"/>
    <n v="4"/>
    <n v="2079"/>
    <n v="0.15"/>
    <n v="7068.6"/>
    <x v="943"/>
    <x v="4"/>
    <x v="3"/>
    <x v="3"/>
    <x v="3"/>
    <x v="0"/>
    <n v="4"/>
  </r>
  <r>
    <s v="O00946"/>
    <d v="2025-05-04T00:00:00"/>
    <s v="C00946"/>
    <s v="Customer 946"/>
    <x v="1"/>
    <x v="1"/>
    <x v="1"/>
    <n v="4"/>
    <n v="2521"/>
    <n v="0.2"/>
    <n v="8067.2"/>
    <x v="944"/>
    <x v="1"/>
    <x v="3"/>
    <x v="3"/>
    <x v="0"/>
    <x v="3"/>
    <n v="5"/>
  </r>
  <r>
    <s v="O00947"/>
    <d v="2025-01-13T00:00:00"/>
    <s v="C00947"/>
    <s v="Customer 947"/>
    <x v="4"/>
    <x v="3"/>
    <x v="4"/>
    <n v="1"/>
    <n v="10285"/>
    <n v="0.1"/>
    <n v="9256.5"/>
    <x v="945"/>
    <x v="3"/>
    <x v="1"/>
    <x v="1"/>
    <x v="4"/>
    <x v="3"/>
    <n v="3"/>
  </r>
  <r>
    <s v="O00948"/>
    <d v="2025-12-11T00:00:00"/>
    <s v="C00948"/>
    <s v="Customer 948"/>
    <x v="0"/>
    <x v="0"/>
    <x v="0"/>
    <n v="3"/>
    <n v="5652"/>
    <n v="0.1"/>
    <n v="15260.4"/>
    <x v="946"/>
    <x v="4"/>
    <x v="1"/>
    <x v="1"/>
    <x v="3"/>
    <x v="3"/>
    <n v="2"/>
  </r>
  <r>
    <s v="O00949"/>
    <d v="2025-06-02T00:00:00"/>
    <s v="C00949"/>
    <s v="Customer 949"/>
    <x v="5"/>
    <x v="3"/>
    <x v="5"/>
    <n v="5"/>
    <n v="8423"/>
    <n v="0"/>
    <n v="42115"/>
    <x v="947"/>
    <x v="0"/>
    <x v="1"/>
    <x v="1"/>
    <x v="1"/>
    <x v="3"/>
    <n v="5"/>
  </r>
  <r>
    <s v="O00950"/>
    <d v="2025-08-08T00:00:00"/>
    <s v="C00950"/>
    <s v="Customer 950"/>
    <x v="4"/>
    <x v="3"/>
    <x v="4"/>
    <n v="4"/>
    <n v="626"/>
    <n v="0.2"/>
    <n v="2003.2"/>
    <x v="948"/>
    <x v="1"/>
    <x v="5"/>
    <x v="5"/>
    <x v="1"/>
    <x v="2"/>
    <n v="2"/>
  </r>
  <r>
    <s v="O00951"/>
    <d v="2025-08-16T00:00:00"/>
    <s v="C00951"/>
    <s v="Customer 951"/>
    <x v="1"/>
    <x v="1"/>
    <x v="1"/>
    <n v="1"/>
    <n v="8313"/>
    <n v="0.05"/>
    <n v="7897.35"/>
    <x v="949"/>
    <x v="1"/>
    <x v="2"/>
    <x v="2"/>
    <x v="3"/>
    <x v="2"/>
    <n v="3"/>
  </r>
  <r>
    <s v="O00952"/>
    <d v="2025-08-17T00:00:00"/>
    <s v="C00952"/>
    <s v="Customer 952"/>
    <x v="5"/>
    <x v="3"/>
    <x v="5"/>
    <n v="1"/>
    <n v="5688"/>
    <n v="0.2"/>
    <n v="4550.3999999999996"/>
    <x v="950"/>
    <x v="1"/>
    <x v="1"/>
    <x v="1"/>
    <x v="4"/>
    <x v="3"/>
    <n v="5"/>
  </r>
  <r>
    <s v="O00953"/>
    <d v="2025-09-14T00:00:00"/>
    <s v="C00953"/>
    <s v="Customer 953"/>
    <x v="3"/>
    <x v="3"/>
    <x v="3"/>
    <n v="4"/>
    <n v="6142"/>
    <n v="0.05"/>
    <n v="23339.599999999999"/>
    <x v="951"/>
    <x v="4"/>
    <x v="4"/>
    <x v="4"/>
    <x v="4"/>
    <x v="3"/>
    <n v="1"/>
  </r>
  <r>
    <s v="O00954"/>
    <d v="2025-06-24T00:00:00"/>
    <s v="C00954"/>
    <s v="Customer 954"/>
    <x v="2"/>
    <x v="2"/>
    <x v="2"/>
    <n v="2"/>
    <n v="1114"/>
    <n v="0.1"/>
    <n v="2005.2"/>
    <x v="952"/>
    <x v="3"/>
    <x v="0"/>
    <x v="0"/>
    <x v="2"/>
    <x v="0"/>
    <n v="4"/>
  </r>
  <r>
    <s v="O00955"/>
    <d v="2025-12-08T00:00:00"/>
    <s v="C00955"/>
    <s v="Customer 955"/>
    <x v="7"/>
    <x v="5"/>
    <x v="7"/>
    <n v="3"/>
    <n v="14494"/>
    <n v="0.2"/>
    <n v="34785.599999999999"/>
    <x v="953"/>
    <x v="1"/>
    <x v="4"/>
    <x v="4"/>
    <x v="4"/>
    <x v="3"/>
    <n v="3"/>
  </r>
  <r>
    <s v="O00956"/>
    <d v="2025-10-07T00:00:00"/>
    <s v="C00956"/>
    <s v="Customer 956"/>
    <x v="5"/>
    <x v="3"/>
    <x v="5"/>
    <n v="2"/>
    <n v="555"/>
    <n v="0"/>
    <n v="1110"/>
    <x v="954"/>
    <x v="3"/>
    <x v="2"/>
    <x v="2"/>
    <x v="1"/>
    <x v="0"/>
    <n v="1"/>
  </r>
  <r>
    <s v="O00957"/>
    <d v="2025-12-01T00:00:00"/>
    <s v="C00957"/>
    <s v="Customer 957"/>
    <x v="6"/>
    <x v="4"/>
    <x v="6"/>
    <n v="5"/>
    <n v="12581"/>
    <n v="0.15"/>
    <n v="53469.25"/>
    <x v="955"/>
    <x v="2"/>
    <x v="1"/>
    <x v="1"/>
    <x v="3"/>
    <x v="0"/>
    <n v="4"/>
  </r>
  <r>
    <s v="O00958"/>
    <d v="2025-01-30T00:00:00"/>
    <s v="C00958"/>
    <s v="Customer 958"/>
    <x v="6"/>
    <x v="4"/>
    <x v="6"/>
    <n v="5"/>
    <n v="11530"/>
    <n v="0.15"/>
    <n v="49002.5"/>
    <x v="956"/>
    <x v="4"/>
    <x v="0"/>
    <x v="0"/>
    <x v="0"/>
    <x v="2"/>
    <n v="5"/>
  </r>
  <r>
    <s v="O00959"/>
    <d v="2025-05-17T00:00:00"/>
    <s v="C00959"/>
    <s v="Customer 959"/>
    <x v="0"/>
    <x v="0"/>
    <x v="0"/>
    <n v="1"/>
    <n v="14300"/>
    <n v="0.05"/>
    <n v="13585"/>
    <x v="957"/>
    <x v="1"/>
    <x v="4"/>
    <x v="4"/>
    <x v="1"/>
    <x v="2"/>
    <n v="1"/>
  </r>
  <r>
    <s v="O00960"/>
    <d v="2025-02-20T00:00:00"/>
    <s v="C00960"/>
    <s v="Customer 960"/>
    <x v="0"/>
    <x v="0"/>
    <x v="0"/>
    <n v="1"/>
    <n v="12691"/>
    <n v="0.05"/>
    <n v="12056.45"/>
    <x v="958"/>
    <x v="0"/>
    <x v="3"/>
    <x v="3"/>
    <x v="1"/>
    <x v="0"/>
    <n v="2"/>
  </r>
  <r>
    <s v="O00961"/>
    <d v="2025-02-13T00:00:00"/>
    <s v="C00961"/>
    <s v="Customer 961"/>
    <x v="7"/>
    <x v="5"/>
    <x v="7"/>
    <n v="2"/>
    <n v="11475"/>
    <n v="0"/>
    <n v="22950"/>
    <x v="959"/>
    <x v="4"/>
    <x v="0"/>
    <x v="0"/>
    <x v="1"/>
    <x v="1"/>
    <n v="2"/>
  </r>
  <r>
    <s v="O00962"/>
    <d v="2025-03-01T00:00:00"/>
    <s v="C00962"/>
    <s v="Customer 962"/>
    <x v="4"/>
    <x v="3"/>
    <x v="4"/>
    <n v="4"/>
    <n v="14019"/>
    <n v="0.15"/>
    <n v="47664.6"/>
    <x v="960"/>
    <x v="3"/>
    <x v="5"/>
    <x v="5"/>
    <x v="3"/>
    <x v="1"/>
    <n v="4"/>
  </r>
  <r>
    <s v="O00963"/>
    <d v="2025-01-03T00:00:00"/>
    <s v="C00963"/>
    <s v="Customer 963"/>
    <x v="7"/>
    <x v="5"/>
    <x v="7"/>
    <n v="2"/>
    <n v="13131"/>
    <n v="0.1"/>
    <n v="23635.8"/>
    <x v="961"/>
    <x v="2"/>
    <x v="4"/>
    <x v="4"/>
    <x v="1"/>
    <x v="0"/>
    <n v="2"/>
  </r>
  <r>
    <s v="O00964"/>
    <d v="2025-09-25T00:00:00"/>
    <s v="C00964"/>
    <s v="Customer 964"/>
    <x v="0"/>
    <x v="0"/>
    <x v="0"/>
    <n v="5"/>
    <n v="10542"/>
    <n v="0.15"/>
    <n v="44803.5"/>
    <x v="962"/>
    <x v="4"/>
    <x v="3"/>
    <x v="3"/>
    <x v="1"/>
    <x v="1"/>
    <n v="3"/>
  </r>
  <r>
    <s v="O00965"/>
    <d v="2025-04-10T00:00:00"/>
    <s v="C00965"/>
    <s v="Customer 965"/>
    <x v="4"/>
    <x v="3"/>
    <x v="4"/>
    <n v="5"/>
    <n v="4730"/>
    <n v="0"/>
    <n v="23650"/>
    <x v="963"/>
    <x v="3"/>
    <x v="4"/>
    <x v="4"/>
    <x v="2"/>
    <x v="1"/>
    <n v="4"/>
  </r>
  <r>
    <s v="O00966"/>
    <d v="2025-06-17T00:00:00"/>
    <s v="C00966"/>
    <s v="Customer 966"/>
    <x v="0"/>
    <x v="0"/>
    <x v="0"/>
    <n v="4"/>
    <n v="10434"/>
    <n v="0"/>
    <n v="41736"/>
    <x v="964"/>
    <x v="0"/>
    <x v="2"/>
    <x v="2"/>
    <x v="4"/>
    <x v="2"/>
    <n v="2"/>
  </r>
  <r>
    <s v="O00967"/>
    <d v="2025-09-18T00:00:00"/>
    <s v="C00967"/>
    <s v="Customer 967"/>
    <x v="2"/>
    <x v="2"/>
    <x v="2"/>
    <n v="2"/>
    <n v="14285"/>
    <n v="0"/>
    <n v="28570"/>
    <x v="965"/>
    <x v="0"/>
    <x v="5"/>
    <x v="5"/>
    <x v="1"/>
    <x v="0"/>
    <n v="1"/>
  </r>
  <r>
    <s v="O00968"/>
    <d v="2025-05-17T00:00:00"/>
    <s v="C00968"/>
    <s v="Customer 968"/>
    <x v="4"/>
    <x v="3"/>
    <x v="4"/>
    <n v="1"/>
    <n v="492"/>
    <n v="0.05"/>
    <n v="467.4"/>
    <x v="966"/>
    <x v="4"/>
    <x v="5"/>
    <x v="5"/>
    <x v="1"/>
    <x v="2"/>
    <n v="5"/>
  </r>
  <r>
    <s v="O00969"/>
    <d v="2025-04-01T00:00:00"/>
    <s v="C00969"/>
    <s v="Customer 969"/>
    <x v="1"/>
    <x v="1"/>
    <x v="1"/>
    <n v="2"/>
    <n v="13535"/>
    <n v="0.2"/>
    <n v="21656"/>
    <x v="967"/>
    <x v="1"/>
    <x v="0"/>
    <x v="0"/>
    <x v="3"/>
    <x v="2"/>
    <n v="4"/>
  </r>
  <r>
    <s v="O00970"/>
    <d v="2025-09-26T00:00:00"/>
    <s v="C00970"/>
    <s v="Customer 970"/>
    <x v="0"/>
    <x v="0"/>
    <x v="0"/>
    <n v="4"/>
    <n v="3903"/>
    <n v="0.05"/>
    <n v="14831.4"/>
    <x v="968"/>
    <x v="4"/>
    <x v="0"/>
    <x v="0"/>
    <x v="4"/>
    <x v="1"/>
    <n v="5"/>
  </r>
  <r>
    <s v="O00971"/>
    <d v="2025-11-16T00:00:00"/>
    <s v="C00971"/>
    <s v="Customer 971"/>
    <x v="3"/>
    <x v="3"/>
    <x v="3"/>
    <n v="4"/>
    <n v="6964"/>
    <n v="0.15"/>
    <n v="23677.599999999999"/>
    <x v="969"/>
    <x v="4"/>
    <x v="4"/>
    <x v="4"/>
    <x v="4"/>
    <x v="0"/>
    <n v="2"/>
  </r>
  <r>
    <s v="O00972"/>
    <d v="2025-02-23T00:00:00"/>
    <s v="C00972"/>
    <s v="Customer 972"/>
    <x v="4"/>
    <x v="3"/>
    <x v="4"/>
    <n v="5"/>
    <n v="4270"/>
    <n v="0.05"/>
    <n v="20282.5"/>
    <x v="970"/>
    <x v="2"/>
    <x v="3"/>
    <x v="3"/>
    <x v="4"/>
    <x v="3"/>
    <n v="4"/>
  </r>
  <r>
    <s v="O00973"/>
    <d v="2025-03-15T00:00:00"/>
    <s v="C00973"/>
    <s v="Customer 973"/>
    <x v="1"/>
    <x v="1"/>
    <x v="1"/>
    <n v="2"/>
    <n v="12098"/>
    <n v="0.05"/>
    <n v="22986.2"/>
    <x v="971"/>
    <x v="2"/>
    <x v="5"/>
    <x v="5"/>
    <x v="0"/>
    <x v="3"/>
    <n v="2"/>
  </r>
  <r>
    <s v="O00974"/>
    <d v="2025-09-07T00:00:00"/>
    <s v="C00974"/>
    <s v="Customer 974"/>
    <x v="7"/>
    <x v="5"/>
    <x v="7"/>
    <n v="1"/>
    <n v="8195"/>
    <n v="0.2"/>
    <n v="6556"/>
    <x v="972"/>
    <x v="1"/>
    <x v="0"/>
    <x v="0"/>
    <x v="3"/>
    <x v="1"/>
    <n v="1"/>
  </r>
  <r>
    <s v="O00975"/>
    <d v="2025-03-29T00:00:00"/>
    <s v="C00975"/>
    <s v="Customer 975"/>
    <x v="3"/>
    <x v="3"/>
    <x v="3"/>
    <n v="5"/>
    <n v="6060"/>
    <n v="0.2"/>
    <n v="24240"/>
    <x v="973"/>
    <x v="1"/>
    <x v="5"/>
    <x v="5"/>
    <x v="1"/>
    <x v="1"/>
    <n v="5"/>
  </r>
  <r>
    <s v="O00976"/>
    <d v="2025-11-30T00:00:00"/>
    <s v="C00976"/>
    <s v="Customer 976"/>
    <x v="3"/>
    <x v="3"/>
    <x v="3"/>
    <n v="5"/>
    <n v="7119"/>
    <n v="0.05"/>
    <n v="33815.25"/>
    <x v="974"/>
    <x v="3"/>
    <x v="5"/>
    <x v="5"/>
    <x v="0"/>
    <x v="2"/>
    <n v="2"/>
  </r>
  <r>
    <s v="O00977"/>
    <d v="2025-10-07T00:00:00"/>
    <s v="C00977"/>
    <s v="Customer 977"/>
    <x v="1"/>
    <x v="1"/>
    <x v="1"/>
    <n v="5"/>
    <n v="569"/>
    <n v="0.15"/>
    <n v="2418.25"/>
    <x v="975"/>
    <x v="4"/>
    <x v="0"/>
    <x v="0"/>
    <x v="0"/>
    <x v="2"/>
    <n v="4"/>
  </r>
  <r>
    <s v="O00978"/>
    <d v="2025-11-13T00:00:00"/>
    <s v="C00978"/>
    <s v="Customer 978"/>
    <x v="0"/>
    <x v="0"/>
    <x v="0"/>
    <n v="1"/>
    <n v="9697"/>
    <n v="0"/>
    <n v="9697"/>
    <x v="976"/>
    <x v="2"/>
    <x v="0"/>
    <x v="0"/>
    <x v="0"/>
    <x v="3"/>
    <n v="3"/>
  </r>
  <r>
    <s v="O00979"/>
    <d v="2025-11-05T00:00:00"/>
    <s v="C00979"/>
    <s v="Customer 979"/>
    <x v="5"/>
    <x v="3"/>
    <x v="5"/>
    <n v="2"/>
    <n v="5480"/>
    <n v="0.1"/>
    <n v="9864"/>
    <x v="977"/>
    <x v="0"/>
    <x v="0"/>
    <x v="0"/>
    <x v="2"/>
    <x v="2"/>
    <n v="2"/>
  </r>
  <r>
    <s v="O00980"/>
    <d v="2025-07-08T00:00:00"/>
    <s v="C00980"/>
    <s v="Customer 980"/>
    <x v="5"/>
    <x v="3"/>
    <x v="5"/>
    <n v="2"/>
    <n v="10475"/>
    <n v="0.15"/>
    <n v="17807.5"/>
    <x v="978"/>
    <x v="2"/>
    <x v="5"/>
    <x v="5"/>
    <x v="2"/>
    <x v="1"/>
    <n v="4"/>
  </r>
  <r>
    <s v="O00981"/>
    <d v="2025-02-21T00:00:00"/>
    <s v="C00981"/>
    <s v="Customer 981"/>
    <x v="5"/>
    <x v="3"/>
    <x v="5"/>
    <n v="3"/>
    <n v="13724"/>
    <n v="0.2"/>
    <n v="32937.599999999999"/>
    <x v="979"/>
    <x v="0"/>
    <x v="4"/>
    <x v="4"/>
    <x v="4"/>
    <x v="1"/>
    <n v="3"/>
  </r>
  <r>
    <s v="O00982"/>
    <d v="2025-12-13T00:00:00"/>
    <s v="C00982"/>
    <s v="Customer 982"/>
    <x v="1"/>
    <x v="1"/>
    <x v="1"/>
    <n v="4"/>
    <n v="862"/>
    <n v="0.2"/>
    <n v="2758.4"/>
    <x v="980"/>
    <x v="1"/>
    <x v="1"/>
    <x v="1"/>
    <x v="1"/>
    <x v="2"/>
    <n v="3"/>
  </r>
  <r>
    <s v="O00983"/>
    <d v="2025-03-03T00:00:00"/>
    <s v="C00983"/>
    <s v="Customer 983"/>
    <x v="0"/>
    <x v="0"/>
    <x v="0"/>
    <n v="5"/>
    <n v="10272"/>
    <n v="0.05"/>
    <n v="48792"/>
    <x v="981"/>
    <x v="2"/>
    <x v="0"/>
    <x v="0"/>
    <x v="0"/>
    <x v="0"/>
    <n v="3"/>
  </r>
  <r>
    <s v="O00984"/>
    <d v="2025-06-25T00:00:00"/>
    <s v="C00984"/>
    <s v="Customer 984"/>
    <x v="2"/>
    <x v="2"/>
    <x v="2"/>
    <n v="3"/>
    <n v="6952"/>
    <n v="0"/>
    <n v="20856"/>
    <x v="982"/>
    <x v="0"/>
    <x v="2"/>
    <x v="2"/>
    <x v="2"/>
    <x v="3"/>
    <n v="1"/>
  </r>
  <r>
    <s v="O00985"/>
    <d v="2025-02-13T00:00:00"/>
    <s v="C00985"/>
    <s v="Customer 985"/>
    <x v="3"/>
    <x v="3"/>
    <x v="3"/>
    <n v="4"/>
    <n v="5890"/>
    <n v="0"/>
    <n v="23560"/>
    <x v="983"/>
    <x v="1"/>
    <x v="1"/>
    <x v="1"/>
    <x v="4"/>
    <x v="2"/>
    <n v="5"/>
  </r>
  <r>
    <s v="O00986"/>
    <d v="2025-12-17T00:00:00"/>
    <s v="C00986"/>
    <s v="Customer 986"/>
    <x v="7"/>
    <x v="5"/>
    <x v="7"/>
    <n v="5"/>
    <n v="9546"/>
    <n v="0.2"/>
    <n v="38184"/>
    <x v="984"/>
    <x v="0"/>
    <x v="5"/>
    <x v="5"/>
    <x v="2"/>
    <x v="1"/>
    <n v="1"/>
  </r>
  <r>
    <s v="O00987"/>
    <d v="2025-12-10T00:00:00"/>
    <s v="C00987"/>
    <s v="Customer 987"/>
    <x v="4"/>
    <x v="3"/>
    <x v="4"/>
    <n v="4"/>
    <n v="8187"/>
    <n v="0.05"/>
    <n v="31110.6"/>
    <x v="985"/>
    <x v="3"/>
    <x v="3"/>
    <x v="3"/>
    <x v="1"/>
    <x v="0"/>
    <n v="4"/>
  </r>
  <r>
    <s v="O00988"/>
    <d v="2025-06-16T00:00:00"/>
    <s v="C00988"/>
    <s v="Customer 988"/>
    <x v="4"/>
    <x v="3"/>
    <x v="4"/>
    <n v="1"/>
    <n v="10073"/>
    <n v="0.1"/>
    <n v="9065.7000000000007"/>
    <x v="986"/>
    <x v="2"/>
    <x v="5"/>
    <x v="5"/>
    <x v="3"/>
    <x v="0"/>
    <n v="4"/>
  </r>
  <r>
    <s v="O00989"/>
    <d v="2025-03-18T00:00:00"/>
    <s v="C00989"/>
    <s v="Customer 989"/>
    <x v="6"/>
    <x v="4"/>
    <x v="6"/>
    <n v="3"/>
    <n v="8997"/>
    <n v="0.1"/>
    <n v="24291.9"/>
    <x v="987"/>
    <x v="3"/>
    <x v="5"/>
    <x v="5"/>
    <x v="2"/>
    <x v="1"/>
    <n v="3"/>
  </r>
  <r>
    <s v="O00990"/>
    <d v="2025-11-11T00:00:00"/>
    <s v="C00990"/>
    <s v="Customer 990"/>
    <x v="6"/>
    <x v="4"/>
    <x v="6"/>
    <n v="1"/>
    <n v="10287"/>
    <n v="0.1"/>
    <n v="9258.2999999999993"/>
    <x v="988"/>
    <x v="0"/>
    <x v="1"/>
    <x v="1"/>
    <x v="4"/>
    <x v="2"/>
    <n v="2"/>
  </r>
  <r>
    <s v="O00991"/>
    <d v="2025-10-13T00:00:00"/>
    <s v="C00991"/>
    <s v="Customer 991"/>
    <x v="6"/>
    <x v="4"/>
    <x v="6"/>
    <n v="1"/>
    <n v="6364"/>
    <n v="0.1"/>
    <n v="5727.6"/>
    <x v="989"/>
    <x v="2"/>
    <x v="5"/>
    <x v="5"/>
    <x v="2"/>
    <x v="2"/>
    <n v="1"/>
  </r>
  <r>
    <s v="O00992"/>
    <d v="2025-04-08T00:00:00"/>
    <s v="C00992"/>
    <s v="Customer 992"/>
    <x v="6"/>
    <x v="4"/>
    <x v="6"/>
    <n v="2"/>
    <n v="9175"/>
    <n v="0.05"/>
    <n v="17432.5"/>
    <x v="990"/>
    <x v="0"/>
    <x v="3"/>
    <x v="3"/>
    <x v="3"/>
    <x v="0"/>
    <n v="1"/>
  </r>
  <r>
    <s v="O00993"/>
    <d v="2025-05-28T00:00:00"/>
    <s v="C00993"/>
    <s v="Customer 993"/>
    <x v="2"/>
    <x v="2"/>
    <x v="2"/>
    <n v="5"/>
    <n v="14129"/>
    <n v="0.15"/>
    <n v="60048.25"/>
    <x v="991"/>
    <x v="4"/>
    <x v="4"/>
    <x v="4"/>
    <x v="2"/>
    <x v="2"/>
    <n v="5"/>
  </r>
  <r>
    <s v="O00994"/>
    <d v="2025-07-31T00:00:00"/>
    <s v="C00994"/>
    <s v="Customer 994"/>
    <x v="6"/>
    <x v="4"/>
    <x v="6"/>
    <n v="3"/>
    <n v="4296"/>
    <n v="0"/>
    <n v="12888"/>
    <x v="992"/>
    <x v="4"/>
    <x v="1"/>
    <x v="1"/>
    <x v="2"/>
    <x v="2"/>
    <n v="1"/>
  </r>
  <r>
    <s v="O00995"/>
    <d v="2025-10-14T00:00:00"/>
    <s v="C00995"/>
    <s v="Customer 995"/>
    <x v="0"/>
    <x v="0"/>
    <x v="0"/>
    <n v="1"/>
    <n v="7317"/>
    <n v="0.2"/>
    <n v="5853.6"/>
    <x v="993"/>
    <x v="4"/>
    <x v="0"/>
    <x v="0"/>
    <x v="2"/>
    <x v="0"/>
    <n v="3"/>
  </r>
  <r>
    <s v="O00996"/>
    <d v="2025-07-30T00:00:00"/>
    <s v="C00996"/>
    <s v="Customer 996"/>
    <x v="5"/>
    <x v="3"/>
    <x v="5"/>
    <n v="4"/>
    <n v="1505"/>
    <n v="0.2"/>
    <n v="4816"/>
    <x v="994"/>
    <x v="2"/>
    <x v="5"/>
    <x v="5"/>
    <x v="4"/>
    <x v="1"/>
    <n v="4"/>
  </r>
  <r>
    <s v="O00997"/>
    <d v="2025-07-13T00:00:00"/>
    <s v="C00997"/>
    <s v="Customer 997"/>
    <x v="4"/>
    <x v="3"/>
    <x v="4"/>
    <n v="1"/>
    <n v="5919"/>
    <n v="0"/>
    <n v="5919"/>
    <x v="995"/>
    <x v="2"/>
    <x v="0"/>
    <x v="0"/>
    <x v="1"/>
    <x v="1"/>
    <n v="3"/>
  </r>
  <r>
    <s v="O00998"/>
    <d v="2025-09-18T00:00:00"/>
    <s v="C00998"/>
    <s v="Customer 998"/>
    <x v="6"/>
    <x v="4"/>
    <x v="6"/>
    <n v="5"/>
    <n v="701"/>
    <n v="0.1"/>
    <n v="3154.5"/>
    <x v="996"/>
    <x v="0"/>
    <x v="0"/>
    <x v="0"/>
    <x v="4"/>
    <x v="3"/>
    <n v="2"/>
  </r>
  <r>
    <s v="O00999"/>
    <d v="2025-01-23T00:00:00"/>
    <s v="C00999"/>
    <s v="Customer 999"/>
    <x v="1"/>
    <x v="1"/>
    <x v="1"/>
    <n v="1"/>
    <n v="9578"/>
    <n v="0.1"/>
    <n v="8620.2000000000007"/>
    <x v="997"/>
    <x v="2"/>
    <x v="5"/>
    <x v="5"/>
    <x v="2"/>
    <x v="2"/>
    <n v="1"/>
  </r>
  <r>
    <s v="O01000"/>
    <d v="2025-05-10T00:00:00"/>
    <s v="C01000"/>
    <s v="Customer 1000"/>
    <x v="2"/>
    <x v="2"/>
    <x v="2"/>
    <n v="5"/>
    <n v="5977"/>
    <n v="0.15"/>
    <n v="25402.25"/>
    <x v="998"/>
    <x v="4"/>
    <x v="0"/>
    <x v="0"/>
    <x v="3"/>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75356-89B7-440D-9F67-9A21A3B18693}"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6">
  <location ref="G13:H21"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compact="0" outline="0" showAll="0">
      <items count="5">
        <item x="0"/>
        <item x="1"/>
        <item x="3"/>
        <item x="2"/>
        <item t="default"/>
      </items>
    </pivotField>
    <pivotField axis="axisRow" compact="0" outline="0" showAll="0" sortType="descending">
      <items count="7">
        <item x="4"/>
        <item x="5"/>
        <item x="3"/>
        <item n=" " x="0"/>
        <item x="2"/>
        <item x="1"/>
        <item t="default"/>
      </items>
      <autoSortScope>
        <pivotArea dataOnly="0" outline="0" fieldPosition="0">
          <references count="1">
            <reference field="4294967294" count="1" selected="0">
              <x v="0"/>
            </reference>
          </references>
        </pivotArea>
      </autoSortScope>
    </pivotField>
    <pivotField compact="0" outline="0" showAll="0">
      <items count="29">
        <item x="7"/>
        <item x="1"/>
        <item x="17"/>
        <item x="27"/>
        <item x="0"/>
        <item x="23"/>
        <item x="2"/>
        <item x="12"/>
        <item x="20"/>
        <item x="9"/>
        <item x="6"/>
        <item x="10"/>
        <item x="3"/>
        <item x="25"/>
        <item x="13"/>
        <item x="18"/>
        <item x="22"/>
        <item x="19"/>
        <item x="16"/>
        <item x="4"/>
        <item x="5"/>
        <item x="26"/>
        <item x="11"/>
        <item x="24"/>
        <item x="14"/>
        <item x="15"/>
        <item x="21"/>
        <item x="8"/>
        <item t="default"/>
      </items>
    </pivotField>
    <pivotField compact="0" outline="0" showAll="0"/>
    <pivotField compact="0" outline="0" showAll="0"/>
    <pivotField dataField="1" compact="0" outline="0" showAll="0"/>
    <pivotField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7">
    <i>
      <x v="3"/>
    </i>
    <i>
      <x v="4"/>
    </i>
    <i>
      <x/>
    </i>
    <i>
      <x v="2"/>
    </i>
    <i>
      <x v="5"/>
    </i>
    <i>
      <x v="1"/>
    </i>
    <i t="grand">
      <x/>
    </i>
  </rowItems>
  <colItems count="1">
    <i/>
  </colItems>
  <dataFields count="1">
    <dataField name="Total sales by each category" fld="8"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19251-2AA8-4366-93CF-454A678148AA}"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7">
  <location ref="G4:H10"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axis="axisRow" compact="0" outline="0"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compact="0" outline="0" showAll="0">
      <items count="7">
        <item x="4"/>
        <item x="5"/>
        <item x="3"/>
        <item x="0"/>
        <item x="2"/>
        <item x="1"/>
        <item t="default"/>
      </items>
    </pivotField>
    <pivotField compact="0" outline="0" showAll="0"/>
    <pivotField compact="0" outline="0" showAll="0"/>
    <pivotField compact="0" outline="0" showAll="0"/>
    <pivotField dataField="1" compact="0" outline="0" showAll="0"/>
    <pivotField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5">
    <i>
      <x v="1"/>
    </i>
    <i>
      <x v="3"/>
    </i>
    <i>
      <x/>
    </i>
    <i>
      <x v="2"/>
    </i>
    <i t="grand">
      <x/>
    </i>
  </rowItems>
  <colItems count="1">
    <i/>
  </colItems>
  <dataFields count="1">
    <dataField name="Total sales by each region" fld="8"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D1E11-1DDD-4E51-BB56-CFC6D614830A}"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3">
  <location ref="A3:B13"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compact="0" outline="0" showAll="0">
      <items count="5">
        <item x="0"/>
        <item x="1"/>
        <item x="3"/>
        <item x="2"/>
        <item t="default"/>
      </items>
    </pivotField>
    <pivotField compact="0" outline="0" showAll="0">
      <items count="7">
        <item x="4"/>
        <item x="5"/>
        <item x="3"/>
        <item x="0"/>
        <item x="2"/>
        <item x="1"/>
        <item t="default"/>
      </items>
    </pivotField>
    <pivotField compact="0" outline="0" showAll="0"/>
    <pivotField compact="0" outline="0" showAll="0"/>
    <pivotField compact="0" outline="0" showAll="0"/>
    <pivotField compact="0" outline="0" showAll="0"/>
    <pivotField axis="axisRow" dataField="1" compact="0" outline="0" showAll="0" sortType="descending">
      <items count="9">
        <item x="4"/>
        <item x="1"/>
        <item x="2"/>
        <item x="0"/>
        <item x="5"/>
        <item x="6"/>
        <item x="7"/>
        <item x="3"/>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9">
    <i>
      <x v="1"/>
    </i>
    <i>
      <x v="2"/>
    </i>
    <i>
      <x/>
    </i>
    <i>
      <x v="7"/>
    </i>
    <i>
      <x v="3"/>
    </i>
    <i>
      <x v="4"/>
    </i>
    <i>
      <x v="5"/>
    </i>
    <i>
      <x v="6"/>
    </i>
    <i t="grand">
      <x/>
    </i>
  </rowItems>
  <colItems count="1">
    <i/>
  </colItems>
  <dataFields count="1">
    <dataField name="Count of Payment Method"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24A1F-E91B-435B-9CFA-61C677F2914A}"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9">
  <location ref="A80:E82" firstHeaderRow="1"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dataField="1" compact="0" outline="0" showAll="0"/>
    <pivotField compact="0" outline="0" showAll="0">
      <items count="5">
        <item x="0"/>
        <item x="1"/>
        <item x="3"/>
        <item x="2"/>
        <item t="default"/>
      </items>
    </pivotField>
    <pivotField compact="0" outline="0" showAll="0">
      <items count="7">
        <item x="4"/>
        <item x="5"/>
        <item x="3"/>
        <item x="0"/>
        <item x="2"/>
        <item x="1"/>
        <item t="default"/>
      </items>
    </pivotField>
    <pivotField dataField="1" compact="0" outline="0" showAll="0"/>
    <pivotField dataField="1" compact="0" outline="0" showAll="0"/>
    <pivotField compact="0" outline="0" showAll="0"/>
    <pivotField dataField="1" compact="0" outline="0" showAll="0"/>
    <pivotField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Average of Quantity" fld="6" subtotal="average" baseField="0" baseItem="0"/>
    <dataField name="Count of Customer Name" fld="2" subtotal="count" baseField="0" baseItem="0"/>
    <dataField name="Sum of Sales Amount" fld="8" baseField="0" baseItem="0"/>
    <dataField name="Count of Produc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E60B0-E62E-48AD-803A-962445D064F8}" name="PivotTable8"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6">
  <location ref="A15:B25"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compact="0" outline="0" showAll="0">
      <items count="5">
        <item x="0"/>
        <item x="1"/>
        <item x="3"/>
        <item x="2"/>
        <item t="default"/>
      </items>
    </pivotField>
    <pivotField compact="0" outline="0" showAll="0">
      <items count="7">
        <item x="4"/>
        <item x="5"/>
        <item x="3"/>
        <item x="0"/>
        <item x="2"/>
        <item x="1"/>
        <item t="default"/>
      </items>
    </pivotField>
    <pivotField compact="0" outline="0" showAll="0"/>
    <pivotField compact="0" outline="0" showAll="0"/>
    <pivotField compact="0" outline="0" showAll="0"/>
    <pivotField dataField="1" compact="0" outline="0" showAll="0"/>
    <pivotField axis="axisRow"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9">
    <i>
      <x/>
    </i>
    <i>
      <x v="1"/>
    </i>
    <i>
      <x v="2"/>
    </i>
    <i>
      <x v="3"/>
    </i>
    <i>
      <x v="4"/>
    </i>
    <i>
      <x v="5"/>
    </i>
    <i>
      <x v="6"/>
    </i>
    <i>
      <x v="7"/>
    </i>
    <i t="grand">
      <x/>
    </i>
  </rowItems>
  <colItems count="1">
    <i/>
  </colItems>
  <dataFields count="1">
    <dataField name="Sum of Sales Amount"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C1852D-3F18-46C6-9926-2952FE006357}"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8">
  <location ref="J4:K18"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compact="0" outline="0" showAll="0">
      <items count="5">
        <item x="0"/>
        <item x="1"/>
        <item x="3"/>
        <item x="2"/>
        <item t="default"/>
      </items>
    </pivotField>
    <pivotField compact="0" outline="0" showAll="0">
      <items count="7">
        <item x="4"/>
        <item x="5"/>
        <item x="3"/>
        <item x="0"/>
        <item x="2"/>
        <item x="1"/>
        <item t="default"/>
      </items>
    </pivotField>
    <pivotField compact="0" outline="0" showAll="0">
      <items count="29">
        <item x="7"/>
        <item x="1"/>
        <item x="17"/>
        <item x="27"/>
        <item x="0"/>
        <item x="23"/>
        <item x="2"/>
        <item x="12"/>
        <item x="20"/>
        <item x="9"/>
        <item x="6"/>
        <item x="10"/>
        <item x="3"/>
        <item x="25"/>
        <item x="13"/>
        <item x="18"/>
        <item x="22"/>
        <item x="19"/>
        <item x="16"/>
        <item x="4"/>
        <item x="5"/>
        <item x="26"/>
        <item x="11"/>
        <item x="24"/>
        <item x="14"/>
        <item x="15"/>
        <item x="21"/>
        <item x="8"/>
        <item t="default"/>
      </items>
    </pivotField>
    <pivotField compact="0" outline="0" showAll="0"/>
    <pivotField compact="0" outline="0" showAll="0"/>
    <pivotField dataField="1" compact="0" outline="0" showAll="0"/>
    <pivotField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2"/>
  </rowFields>
  <rowItems count="13">
    <i>
      <x v="8"/>
    </i>
    <i>
      <x v="12"/>
    </i>
    <i>
      <x v="5"/>
    </i>
    <i>
      <x v="4"/>
    </i>
    <i>
      <x v="7"/>
    </i>
    <i>
      <x v="11"/>
    </i>
    <i>
      <x v="6"/>
    </i>
    <i>
      <x v="3"/>
    </i>
    <i>
      <x v="10"/>
    </i>
    <i>
      <x v="2"/>
    </i>
    <i>
      <x v="1"/>
    </i>
    <i>
      <x v="9"/>
    </i>
    <i t="grand">
      <x/>
    </i>
  </rowItems>
  <colItems count="1">
    <i/>
  </colItems>
  <dataFields count="1">
    <dataField name="Monthly sales amount" fld="8" baseField="0" baseItem="0"/>
  </dataFields>
  <formats count="14">
    <format dxfId="81">
      <pivotArea type="all" dataOnly="0" outline="0" fieldPosition="0"/>
    </format>
    <format dxfId="80">
      <pivotArea outline="0" collapsedLevelsAreSubtotals="1" fieldPosition="0"/>
    </format>
    <format dxfId="79">
      <pivotArea type="origin" dataOnly="0" labelOnly="1" outline="0" fieldPosition="0"/>
    </format>
    <format dxfId="78">
      <pivotArea field="12" type="button" dataOnly="0" labelOnly="1" outline="0" axis="axisRow" fieldPosition="0"/>
    </format>
    <format dxfId="77">
      <pivotArea dataOnly="0" labelOnly="1" outline="0" fieldPosition="0">
        <references count="1">
          <reference field="12" count="12">
            <x v="1"/>
            <x v="2"/>
            <x v="3"/>
            <x v="4"/>
            <x v="5"/>
            <x v="6"/>
            <x v="7"/>
            <x v="8"/>
            <x v="9"/>
            <x v="10"/>
            <x v="11"/>
            <x v="12"/>
          </reference>
        </references>
      </pivotArea>
    </format>
    <format dxfId="76">
      <pivotArea dataOnly="0" labelOnly="1" grandRow="1" outline="0" fieldPosition="0"/>
    </format>
    <format dxfId="75">
      <pivotArea type="topRight" dataOnly="0" labelOnly="1" outline="0"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12" type="button" dataOnly="0" labelOnly="1" outline="0" axis="axisRow" fieldPosition="0"/>
    </format>
    <format dxfId="70">
      <pivotArea dataOnly="0" labelOnly="1" outline="0" fieldPosition="0">
        <references count="1">
          <reference field="12" count="12">
            <x v="1"/>
            <x v="2"/>
            <x v="3"/>
            <x v="4"/>
            <x v="5"/>
            <x v="6"/>
            <x v="7"/>
            <x v="8"/>
            <x v="9"/>
            <x v="10"/>
            <x v="11"/>
            <x v="12"/>
          </reference>
        </references>
      </pivotArea>
    </format>
    <format dxfId="69">
      <pivotArea dataOnly="0" labelOnly="1" grandRow="1" outline="0" fieldPosition="0"/>
    </format>
    <format dxfId="68">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A8E09E-3C6A-48FA-A5BC-69011AEB522B}" name="PivotTable7" cacheId="0" applyNumberFormats="0" applyBorderFormats="0" applyFontFormats="0" applyPatternFormats="0" applyAlignmentFormats="0" applyWidthHeightFormats="1" dataCaption="Values" updatedVersion="8" minRefreshableVersion="5" itemPrintTitles="1" createdVersion="8" indent="0" compact="0" compactData="0" gridDropZones="1" multipleFieldFilters="0" chartFormat="16">
  <location ref="D3:E33" firstHeaderRow="2" firstDataRow="2" firstDataCol="1"/>
  <pivotFields count="13">
    <pivotField compact="0" outline="0" showAll="0"/>
    <pivotField compact="0" outline="0" showAll="0">
      <items count="63">
        <item x="44"/>
        <item x="22"/>
        <item x="9"/>
        <item x="60"/>
        <item x="48"/>
        <item x="1"/>
        <item x="33"/>
        <item x="24"/>
        <item x="38"/>
        <item x="29"/>
        <item x="53"/>
        <item x="58"/>
        <item x="26"/>
        <item x="12"/>
        <item x="43"/>
        <item x="34"/>
        <item x="59"/>
        <item x="49"/>
        <item x="17"/>
        <item x="16"/>
        <item x="15"/>
        <item x="46"/>
        <item x="56"/>
        <item x="36"/>
        <item x="19"/>
        <item x="0"/>
        <item x="52"/>
        <item x="47"/>
        <item x="28"/>
        <item x="27"/>
        <item x="54"/>
        <item x="2"/>
        <item x="31"/>
        <item x="13"/>
        <item x="21"/>
        <item x="25"/>
        <item x="37"/>
        <item x="18"/>
        <item x="50"/>
        <item x="41"/>
        <item x="51"/>
        <item x="23"/>
        <item x="57"/>
        <item x="3"/>
        <item x="4"/>
        <item x="40"/>
        <item x="10"/>
        <item x="45"/>
        <item x="14"/>
        <item x="30"/>
        <item x="20"/>
        <item x="32"/>
        <item x="55"/>
        <item x="5"/>
        <item x="35"/>
        <item x="6"/>
        <item x="8"/>
        <item x="39"/>
        <item x="11"/>
        <item x="61"/>
        <item x="7"/>
        <item x="42"/>
        <item t="default"/>
      </items>
    </pivotField>
    <pivotField compact="0" outline="0" showAll="0"/>
    <pivotField compact="0" outline="0" showAll="0">
      <items count="5">
        <item x="0"/>
        <item x="1"/>
        <item x="3"/>
        <item x="2"/>
        <item t="default"/>
      </items>
    </pivotField>
    <pivotField compact="0" outline="0" showAll="0">
      <items count="7">
        <item x="4"/>
        <item x="5"/>
        <item x="3"/>
        <item x="0"/>
        <item x="2"/>
        <item x="1"/>
        <item t="default"/>
      </items>
    </pivotField>
    <pivotField axis="axisRow" compact="0" outline="0" showAll="0" sortType="descending">
      <items count="29">
        <item x="7"/>
        <item x="1"/>
        <item x="17"/>
        <item x="27"/>
        <item x="0"/>
        <item x="23"/>
        <item x="2"/>
        <item x="12"/>
        <item x="20"/>
        <item x="9"/>
        <item x="6"/>
        <item x="10"/>
        <item x="3"/>
        <item x="25"/>
        <item x="13"/>
        <item x="18"/>
        <item x="22"/>
        <item x="19"/>
        <item x="16"/>
        <item x="4"/>
        <item x="5"/>
        <item x="26"/>
        <item x="11"/>
        <item x="24"/>
        <item x="14"/>
        <item x="15"/>
        <item x="21"/>
        <item x="8"/>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items count="9">
        <item x="4"/>
        <item x="1"/>
        <item x="2"/>
        <item x="0"/>
        <item x="5"/>
        <item x="6"/>
        <item x="7"/>
        <item x="3"/>
        <item t="default"/>
      </items>
    </pivotField>
    <pivotField compact="0" outline="0" showAll="0">
      <items count="4">
        <item x="2"/>
        <item x="0"/>
        <item x="1"/>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29">
    <i>
      <x v="27"/>
    </i>
    <i>
      <x v="4"/>
    </i>
    <i>
      <x v="20"/>
    </i>
    <i>
      <x v="7"/>
    </i>
    <i>
      <x v="10"/>
    </i>
    <i>
      <x v="1"/>
    </i>
    <i>
      <x v="22"/>
    </i>
    <i>
      <x v="9"/>
    </i>
    <i>
      <x/>
    </i>
    <i>
      <x v="24"/>
    </i>
    <i>
      <x v="12"/>
    </i>
    <i>
      <x v="6"/>
    </i>
    <i>
      <x v="5"/>
    </i>
    <i>
      <x v="14"/>
    </i>
    <i>
      <x v="19"/>
    </i>
    <i>
      <x v="16"/>
    </i>
    <i>
      <x v="25"/>
    </i>
    <i>
      <x v="18"/>
    </i>
    <i>
      <x v="13"/>
    </i>
    <i>
      <x v="8"/>
    </i>
    <i>
      <x v="23"/>
    </i>
    <i>
      <x v="3"/>
    </i>
    <i>
      <x v="26"/>
    </i>
    <i>
      <x v="21"/>
    </i>
    <i>
      <x v="15"/>
    </i>
    <i>
      <x v="17"/>
    </i>
    <i>
      <x v="11"/>
    </i>
    <i>
      <x v="2"/>
    </i>
    <i t="grand">
      <x/>
    </i>
  </rowItems>
  <colItems count="1">
    <i/>
  </colItems>
  <dataFields count="1">
    <dataField name="Total sales by each product" fld="6" baseField="0" baseItem="0"/>
  </dataFields>
  <chartFormats count="3">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D92A70-82C3-4B93-A5D8-24EA19D18CE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8">
    <pivotField dataField="1" showAll="0"/>
    <pivotField numFmtId="171" showAll="0"/>
    <pivotField showAll="0"/>
    <pivotField showAll="0"/>
    <pivotField showAll="0"/>
    <pivotField showAll="0"/>
    <pivotField showAll="0"/>
    <pivotField dataField="1" numFmtId="2" showAll="0"/>
    <pivotField numFmtId="172" showAll="0"/>
    <pivotField numFmtId="10" showAll="0"/>
    <pivotField dataField="1" numFmtId="172" showAll="0"/>
    <pivotField dataField="1" numFmtId="172" showAll="0"/>
    <pivotField showAll="0"/>
    <pivotField showAll="0"/>
    <pivotField showAll="0"/>
    <pivotField showAll="0"/>
    <pivotField showAll="0"/>
    <pivotField dataField="1" numFmtId="173" showAll="0"/>
  </pivotFields>
  <rowItems count="1">
    <i/>
  </rowItems>
  <colFields count="1">
    <field x="-2"/>
  </colFields>
  <colItems count="6">
    <i>
      <x/>
    </i>
    <i i="1">
      <x v="1"/>
    </i>
    <i i="2">
      <x v="2"/>
    </i>
    <i i="3">
      <x v="3"/>
    </i>
    <i i="4">
      <x v="4"/>
    </i>
    <i i="5">
      <x v="5"/>
    </i>
  </colItems>
  <dataFields count="6">
    <dataField name="Sum of Sales Amount" fld="10" baseField="0" baseItem="0" numFmtId="172"/>
    <dataField name="Average of Customer Rating" fld="17" subtotal="average" baseField="0" baseItem="0" numFmtId="173"/>
    <dataField name="Count of Order ID" fld="0" subtotal="count" baseField="0" baseItem="0"/>
    <dataField name="Average of Sales Amount2" fld="10" subtotal="average" baseField="0" baseItem="0" numFmtId="172"/>
    <dataField name="Sum of Quantity" fld="7" baseField="0" baseItem="0" numFmtId="2"/>
    <dataField name="Sum of Profit" fld="11"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5769DD-7835-45C8-B40A-80A609E18BB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12">
    <pivotField dataField="1" showAll="0"/>
    <pivotField showAll="0"/>
    <pivotField showAll="0">
      <items count="7">
        <item x="1"/>
        <item x="2"/>
        <item x="3"/>
        <item x="0"/>
        <item x="4"/>
        <item x="5"/>
        <item t="default"/>
      </items>
    </pivotField>
    <pivotField showAll="0">
      <items count="20">
        <item x="18"/>
        <item x="17"/>
        <item x="13"/>
        <item x="9"/>
        <item x="8"/>
        <item x="7"/>
        <item x="11"/>
        <item x="3"/>
        <item x="0"/>
        <item x="4"/>
        <item x="14"/>
        <item x="6"/>
        <item x="2"/>
        <item x="1"/>
        <item x="15"/>
        <item x="12"/>
        <item x="10"/>
        <item x="5"/>
        <item x="16"/>
        <item t="default"/>
      </items>
    </pivotField>
    <pivotField showAll="0"/>
    <pivotField showAll="0"/>
    <pivotField showAll="0"/>
    <pivotField axis="axisRow" showAll="0">
      <items count="5">
        <item x="1"/>
        <item x="2"/>
        <item x="0"/>
        <item x="3"/>
        <item t="default"/>
      </items>
    </pivotField>
    <pivotField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Fields count="1">
    <field x="7"/>
  </rowFields>
  <rowItems count="5">
    <i>
      <x/>
    </i>
    <i>
      <x v="1"/>
    </i>
    <i>
      <x v="2"/>
    </i>
    <i>
      <x v="3"/>
    </i>
    <i t="grand">
      <x/>
    </i>
  </rowItems>
  <colItems count="1">
    <i/>
  </colItems>
  <dataFields count="1">
    <dataField name="Count of Match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C0B4B-CD4F-4AE7-AC87-13CDC84E8EE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23" firstHeaderRow="1" firstDataRow="1" firstDataCol="1"/>
  <pivotFields count="12">
    <pivotField showAll="0"/>
    <pivotField showAll="0"/>
    <pivotField showAll="0">
      <items count="7">
        <item x="1"/>
        <item x="2"/>
        <item x="3"/>
        <item x="0"/>
        <item x="4"/>
        <item x="5"/>
        <item t="default"/>
      </items>
    </pivotField>
    <pivotField axis="axisRow" showAll="0">
      <items count="20">
        <item x="18"/>
        <item x="17"/>
        <item x="13"/>
        <item x="9"/>
        <item x="8"/>
        <item x="7"/>
        <item x="11"/>
        <item x="3"/>
        <item x="0"/>
        <item x="4"/>
        <item x="14"/>
        <item x="6"/>
        <item x="2"/>
        <item x="1"/>
        <item x="15"/>
        <item x="12"/>
        <item x="10"/>
        <item x="5"/>
        <item x="16"/>
        <item t="default"/>
      </items>
    </pivotField>
    <pivotField showAll="0"/>
    <pivotField dataField="1" showAll="0"/>
    <pivotField showAll="0"/>
    <pivotField showAll="0">
      <items count="5">
        <item x="1"/>
        <item x="2"/>
        <item x="0"/>
        <item x="3"/>
        <item t="default"/>
      </items>
    </pivotField>
    <pivotField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Home Goal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5528F6-1B47-4AEF-86E6-72AFF2C1F77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2">
    <pivotField dataField="1" showAll="0"/>
    <pivotField showAll="0"/>
    <pivotField axis="axisRow" showAll="0">
      <items count="7">
        <item x="1"/>
        <item x="2"/>
        <item x="3"/>
        <item x="0"/>
        <item x="4"/>
        <item x="5"/>
        <item t="default"/>
      </items>
    </pivotField>
    <pivotField showAll="0">
      <items count="20">
        <item x="18"/>
        <item x="17"/>
        <item x="13"/>
        <item x="9"/>
        <item x="8"/>
        <item x="7"/>
        <item x="11"/>
        <item x="3"/>
        <item x="0"/>
        <item x="4"/>
        <item x="14"/>
        <item x="6"/>
        <item x="2"/>
        <item x="1"/>
        <item x="15"/>
        <item x="12"/>
        <item x="10"/>
        <item x="5"/>
        <item x="16"/>
        <item t="default"/>
      </items>
    </pivotField>
    <pivotField showAll="0"/>
    <pivotField showAll="0"/>
    <pivotField showAll="0"/>
    <pivotField showAll="0">
      <items count="5">
        <item x="1"/>
        <item x="2"/>
        <item x="0"/>
        <item x="3"/>
        <item t="default"/>
      </items>
    </pivotField>
    <pivotField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Fields count="1">
    <field x="2"/>
  </rowFields>
  <rowItems count="7">
    <i>
      <x/>
    </i>
    <i>
      <x v="1"/>
    </i>
    <i>
      <x v="2"/>
    </i>
    <i>
      <x v="3"/>
    </i>
    <i>
      <x v="4"/>
    </i>
    <i>
      <x v="5"/>
    </i>
    <i t="grand">
      <x/>
    </i>
  </rowItems>
  <colItems count="1">
    <i/>
  </colItems>
  <dataFields count="1">
    <dataField name="Count of Match ID"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B178F3-C464-409D-A056-5BC6F3707B9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O24" firstHeaderRow="1" firstDataRow="2" firstDataCol="1"/>
  <pivotFields count="12">
    <pivotField dataField="1" showAll="0"/>
    <pivotField showAll="0"/>
    <pivotField showAll="0">
      <items count="7">
        <item x="1"/>
        <item x="2"/>
        <item x="3"/>
        <item x="0"/>
        <item x="4"/>
        <item x="5"/>
        <item t="default"/>
      </items>
    </pivotField>
    <pivotField axis="axisRow" showAll="0">
      <items count="20">
        <item x="18"/>
        <item x="17"/>
        <item x="13"/>
        <item x="9"/>
        <item x="8"/>
        <item x="7"/>
        <item x="11"/>
        <item x="3"/>
        <item x="0"/>
        <item x="4"/>
        <item x="14"/>
        <item x="6"/>
        <item x="2"/>
        <item x="1"/>
        <item x="15"/>
        <item x="12"/>
        <item x="10"/>
        <item x="5"/>
        <item x="16"/>
        <item t="default"/>
      </items>
    </pivotField>
    <pivotField showAll="0"/>
    <pivotField showAll="0"/>
    <pivotField showAll="0"/>
    <pivotField axis="axisCol" showAll="0">
      <items count="5">
        <item x="1"/>
        <item x="2"/>
        <item x="0"/>
        <item x="3"/>
        <item t="default"/>
      </items>
    </pivotField>
    <pivotField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Fields count="1">
    <field x="7"/>
  </colFields>
  <colItems count="5">
    <i>
      <x/>
    </i>
    <i>
      <x v="1"/>
    </i>
    <i>
      <x v="2"/>
    </i>
    <i>
      <x v="3"/>
    </i>
    <i t="grand">
      <x/>
    </i>
  </colItems>
  <dataFields count="1">
    <dataField name="Count of Match ID" fld="0" subtotal="count" baseField="0" baseItem="0"/>
  </dataFields>
  <chartFormats count="1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 chart="7" format="6" series="1">
      <pivotArea type="data" outline="0" fieldPosition="0">
        <references count="2">
          <reference field="4294967294" count="1" selected="0">
            <x v="0"/>
          </reference>
          <reference field="7" count="1" selected="0">
            <x v="2"/>
          </reference>
        </references>
      </pivotArea>
    </chartFormat>
    <chartFormat chart="7" format="7"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 chart="8" format="12"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241336-E94A-40AD-832A-DF2AAA76AF1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9:H25" firstHeaderRow="1" firstDataRow="1" firstDataCol="1"/>
  <pivotFields count="12">
    <pivotField showAll="0"/>
    <pivotField showAll="0"/>
    <pivotField showAll="0">
      <items count="7">
        <item x="1"/>
        <item x="2"/>
        <item x="3"/>
        <item x="0"/>
        <item x="4"/>
        <item x="5"/>
        <item t="default"/>
      </items>
    </pivotField>
    <pivotField showAll="0">
      <items count="20">
        <item x="18"/>
        <item x="17"/>
        <item x="13"/>
        <item x="9"/>
        <item x="8"/>
        <item x="7"/>
        <item x="11"/>
        <item x="3"/>
        <item x="0"/>
        <item x="4"/>
        <item x="14"/>
        <item x="6"/>
        <item x="2"/>
        <item x="1"/>
        <item x="15"/>
        <item x="12"/>
        <item x="10"/>
        <item x="5"/>
        <item x="16"/>
        <item t="default"/>
      </items>
    </pivotField>
    <pivotField showAll="0"/>
    <pivotField dataField="1" showAll="0"/>
    <pivotField showAll="0"/>
    <pivotField showAll="0">
      <items count="5">
        <item x="1"/>
        <item x="2"/>
        <item x="0"/>
        <item x="3"/>
        <item t="default"/>
      </items>
    </pivotField>
    <pivotField showAll="0"/>
    <pivotField showAll="0">
      <items count="16">
        <item x="9"/>
        <item x="5"/>
        <item x="4"/>
        <item x="1"/>
        <item x="7"/>
        <item x="13"/>
        <item x="11"/>
        <item x="6"/>
        <item x="2"/>
        <item x="14"/>
        <item x="8"/>
        <item x="3"/>
        <item x="12"/>
        <item x="0"/>
        <item x="10"/>
        <item t="default"/>
      </items>
    </pivotField>
    <pivotField showAll="0"/>
    <pivotField axis="axisRow" showAll="0">
      <items count="6">
        <item x="1"/>
        <item x="2"/>
        <item x="3"/>
        <item x="0"/>
        <item x="4"/>
        <item t="default"/>
      </items>
    </pivotField>
  </pivotFields>
  <rowFields count="1">
    <field x="11"/>
  </rowFields>
  <rowItems count="6">
    <i>
      <x/>
    </i>
    <i>
      <x v="1"/>
    </i>
    <i>
      <x v="2"/>
    </i>
    <i>
      <x v="3"/>
    </i>
    <i>
      <x v="4"/>
    </i>
    <i t="grand">
      <x/>
    </i>
  </rowItems>
  <colItems count="1">
    <i/>
  </colItems>
  <dataFields count="1">
    <dataField name="Sum of Home Goals"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A31CCE-3245-4B03-9043-EE9AD431C26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0:H17" firstHeaderRow="1" firstDataRow="1" firstDataCol="1"/>
  <pivotFields count="12">
    <pivotField showAll="0"/>
    <pivotField showAll="0"/>
    <pivotField axis="axisRow" showAll="0">
      <items count="7">
        <item x="1"/>
        <item x="2"/>
        <item x="3"/>
        <item x="0"/>
        <item x="4"/>
        <item x="5"/>
        <item t="default"/>
      </items>
    </pivotField>
    <pivotField showAll="0">
      <items count="20">
        <item x="18"/>
        <item x="17"/>
        <item x="13"/>
        <item x="9"/>
        <item x="8"/>
        <item x="7"/>
        <item x="11"/>
        <item x="3"/>
        <item x="0"/>
        <item x="4"/>
        <item x="14"/>
        <item x="6"/>
        <item x="2"/>
        <item x="1"/>
        <item x="15"/>
        <item x="12"/>
        <item x="10"/>
        <item x="5"/>
        <item x="16"/>
        <item t="default"/>
      </items>
    </pivotField>
    <pivotField showAll="0"/>
    <pivotField showAll="0"/>
    <pivotField showAll="0"/>
    <pivotField showAll="0">
      <items count="5">
        <item x="1"/>
        <item x="2"/>
        <item x="0"/>
        <item x="3"/>
        <item t="default"/>
      </items>
    </pivotField>
    <pivotField dataField="1"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Fields count="1">
    <field x="2"/>
  </rowFields>
  <rowItems count="7">
    <i>
      <x/>
    </i>
    <i>
      <x v="1"/>
    </i>
    <i>
      <x v="2"/>
    </i>
    <i>
      <x v="3"/>
    </i>
    <i>
      <x v="4"/>
    </i>
    <i>
      <x v="5"/>
    </i>
    <i t="grand">
      <x/>
    </i>
  </rowItems>
  <colItems count="1">
    <i/>
  </colItems>
  <dataFields count="1">
    <dataField name="Average of Attendance" fld="8" subtotal="average"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3CA36B-453A-4306-A384-36C9921F07C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dataField="1" showAll="0"/>
    <pivotField showAll="0"/>
    <pivotField showAll="0">
      <items count="7">
        <item x="1"/>
        <item x="2"/>
        <item x="3"/>
        <item x="0"/>
        <item x="4"/>
        <item x="5"/>
        <item t="default"/>
      </items>
    </pivotField>
    <pivotField showAll="0">
      <items count="20">
        <item x="18"/>
        <item x="17"/>
        <item x="13"/>
        <item x="9"/>
        <item x="8"/>
        <item x="7"/>
        <item x="11"/>
        <item x="3"/>
        <item x="0"/>
        <item x="4"/>
        <item x="14"/>
        <item x="6"/>
        <item x="2"/>
        <item x="1"/>
        <item x="15"/>
        <item x="12"/>
        <item x="10"/>
        <item x="5"/>
        <item x="16"/>
        <item t="default"/>
      </items>
    </pivotField>
    <pivotField showAll="0"/>
    <pivotField dataField="1" showAll="0"/>
    <pivotField dataField="1" showAll="0">
      <items count="8">
        <item x="3"/>
        <item x="1"/>
        <item x="0"/>
        <item x="2"/>
        <item x="4"/>
        <item x="6"/>
        <item x="5"/>
        <item t="default"/>
      </items>
    </pivotField>
    <pivotField showAll="0">
      <items count="5">
        <item x="1"/>
        <item x="2"/>
        <item x="0"/>
        <item x="3"/>
        <item t="default"/>
      </items>
    </pivotField>
    <pivotField dataField="1" showAll="0"/>
    <pivotField showAll="0">
      <items count="16">
        <item x="9"/>
        <item x="5"/>
        <item x="4"/>
        <item x="1"/>
        <item x="7"/>
        <item x="13"/>
        <item x="11"/>
        <item x="6"/>
        <item x="2"/>
        <item x="14"/>
        <item x="8"/>
        <item x="3"/>
        <item x="12"/>
        <item x="0"/>
        <item x="10"/>
        <item t="default"/>
      </items>
    </pivotField>
    <pivotField showAll="0"/>
    <pivotField showAll="0">
      <items count="6">
        <item x="1"/>
        <item x="2"/>
        <item x="3"/>
        <item x="0"/>
        <item x="4"/>
        <item t="default"/>
      </items>
    </pivotField>
  </pivotFields>
  <rowItems count="1">
    <i/>
  </rowItems>
  <colFields count="1">
    <field x="-2"/>
  </colFields>
  <colItems count="4">
    <i>
      <x/>
    </i>
    <i i="1">
      <x v="1"/>
    </i>
    <i i="2">
      <x v="2"/>
    </i>
    <i i="3">
      <x v="3"/>
    </i>
  </colItems>
  <dataFields count="4">
    <dataField name="Count of Match ID" fld="0" subtotal="count" baseField="0" baseItem="0"/>
    <dataField name="Average of Attendance" fld="8" subtotal="average" baseField="0" baseItem="1"/>
    <dataField name="Sum of Away Goals" fld="6" baseField="0" baseItem="0"/>
    <dataField name="Sum of Home Goa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1C45737-9BD4-485A-BC99-AC7874A54DC2}" autoFormatId="16" applyNumberFormats="0" applyBorderFormats="0" applyFontFormats="0" applyPatternFormats="0" applyAlignmentFormats="0" applyWidthHeightFormats="0">
  <queryTableRefresh nextId="13">
    <queryTableFields count="12">
      <queryTableField id="1" name="Match ID" tableColumnId="1"/>
      <queryTableField id="2" name="Match Date" tableColumnId="2"/>
      <queryTableField id="3" name="League" tableColumnId="3"/>
      <queryTableField id="4" name="Home Team" tableColumnId="4"/>
      <queryTableField id="5" name="Away Team" tableColumnId="5"/>
      <queryTableField id="6" name="Home Goals" tableColumnId="6"/>
      <queryTableField id="7" name="Away Goals" tableColumnId="7"/>
      <queryTableField id="8" name="Full-Time Result" tableColumnId="8"/>
      <queryTableField id="9" name="Attendance" tableColumnId="9"/>
      <queryTableField id="10" name="Stadium" tableColumnId="10"/>
      <queryTableField id="11" name="Referee" tableColumnId="11"/>
      <queryTableField id="12" name="Seas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B5B933-5817-4190-8924-D83988C5EAAC}" sourceName="Region">
  <pivotTables>
    <pivotTable tabId="38" name="PivotTable1"/>
    <pivotTable tabId="38" name="PivotTable4"/>
    <pivotTable tabId="38" name="PivotTable5"/>
    <pivotTable tabId="38" name="PivotTable6"/>
    <pivotTable tabId="38" name="PivotTable7"/>
    <pivotTable tabId="38" name="PivotTable8"/>
    <pivotTable tabId="38" name="PivotTable2"/>
  </pivotTables>
  <data>
    <tabular pivotCacheId="915556732">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0FF873-46D7-4489-8187-36FC36B9B69E}" sourceName="Category">
  <pivotTables>
    <pivotTable tabId="38" name="PivotTable1"/>
    <pivotTable tabId="38" name="PivotTable4"/>
    <pivotTable tabId="38" name="PivotTable5"/>
    <pivotTable tabId="38" name="PivotTable6"/>
    <pivotTable tabId="38" name="PivotTable7"/>
    <pivotTable tabId="38" name="PivotTable8"/>
    <pivotTable tabId="38" name="PivotTable2"/>
  </pivotTables>
  <data>
    <tabular pivotCacheId="915556732">
      <items count="6">
        <i x="0" s="1"/>
        <i x="4" s="1"/>
        <i x="5"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6577D7D-94D1-464A-98F6-5EB6D557F2E0}" sourceName="Payment Method">
  <pivotTables>
    <pivotTable tabId="38" name="PivotTable1"/>
    <pivotTable tabId="38" name="PivotTable4"/>
    <pivotTable tabId="38" name="PivotTable5"/>
    <pivotTable tabId="38" name="PivotTable6"/>
    <pivotTable tabId="38" name="PivotTable7"/>
    <pivotTable tabId="38" name="PivotTable8"/>
    <pivotTable tabId="38" name="PivotTable2"/>
  </pivotTables>
  <data>
    <tabular pivotCacheId="915556732">
      <items count="8">
        <i x="4" s="1"/>
        <i x="1" s="1"/>
        <i x="2" s="1"/>
        <i x="0" s="1"/>
        <i x="5" s="1"/>
        <i x="6" s="1"/>
        <i x="7"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tes" xr10:uid="{1168B3D9-96D2-47E4-909C-5FDCE1F581EE}" sourceName="Notes">
  <pivotTables>
    <pivotTable tabId="38" name="PivotTable1"/>
    <pivotTable tabId="38" name="PivotTable4"/>
    <pivotTable tabId="38" name="PivotTable5"/>
    <pivotTable tabId="38" name="PivotTable6"/>
    <pivotTable tabId="38" name="PivotTable7"/>
    <pivotTable tabId="38" name="PivotTable8"/>
    <pivotTable tabId="38" name="PivotTable2"/>
  </pivotTables>
  <data>
    <tabular pivotCacheId="91555673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41114E-8697-4077-B1BB-6A64E64A9A0B}" sourceName="Product">
  <data>
    <tabular pivotCacheId="1130250926">
      <items count="8">
        <i x="1" s="1"/>
        <i x="7" s="1"/>
        <i x="4" s="1"/>
        <i x="5" s="1"/>
        <i x="6"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9631786-AF65-485D-A627-8F32BDD8DBEF}" sourceName="Category">
  <data>
    <tabular pivotCacheId="1130250926">
      <items count="6">
        <i x="0" s="1"/>
        <i x="1" s="1"/>
        <i x="3" s="1"/>
        <i x="2" s="1"/>
        <i x="5"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C90A680-BBAE-4E8E-BE76-2B4358C85DC3}" sourceName="Brand">
  <data>
    <tabular pivotCacheId="1130250926">
      <items count="8">
        <i x="5" s="1"/>
        <i x="0" s="1"/>
        <i x="7" s="1"/>
        <i x="2" s="1"/>
        <i x="1" s="1"/>
        <i x="6"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3495F1-3DE0-4949-BD49-CB50E80321C5}" sourceName="City">
  <data>
    <tabular pivotCacheId="1130250926">
      <items count="6">
        <i x="2" s="1"/>
        <i x="1" s="1"/>
        <i x="4" s="1"/>
        <i x="0" s="1"/>
        <i x="3"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9561964-5FBC-4701-A437-0F7BC699EB56}" sourceName="Salesperson">
  <data>
    <tabular pivotCacheId="1130250926">
      <items count="5">
        <i x="0" s="1"/>
        <i x="1" s="1"/>
        <i x="2" s="1"/>
        <i x="4"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 xr10:uid="{701198D4-F373-474A-9B7F-30698101C842}" sourceName="League">
  <pivotTables>
    <pivotTable tabId="55" name="PivotTable1"/>
    <pivotTable tabId="55" name="PivotTable2"/>
    <pivotTable tabId="55" name="PivotTable3"/>
    <pivotTable tabId="55" name="PivotTable4"/>
    <pivotTable tabId="55" name="PivotTable5"/>
    <pivotTable tabId="55" name="PivotTable6"/>
    <pivotTable tabId="57" name="PivotTable8"/>
  </pivotTables>
  <data>
    <tabular pivotCacheId="1208207442">
      <items count="6">
        <i x="1" s="1"/>
        <i x="2" s="1"/>
        <i x="3" s="1"/>
        <i x="0" s="1"/>
        <i x="4" s="1"/>
        <i x="5"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Team" xr10:uid="{5AA52392-3346-4493-8C57-9C229F406ACA}" sourceName="Home Team">
  <pivotTables>
    <pivotTable tabId="55" name="PivotTable1"/>
    <pivotTable tabId="55" name="PivotTable2"/>
    <pivotTable tabId="55" name="PivotTable3"/>
    <pivotTable tabId="55" name="PivotTable4"/>
    <pivotTable tabId="55" name="PivotTable5"/>
    <pivotTable tabId="55" name="PivotTable6"/>
    <pivotTable tabId="57" name="PivotTable8"/>
  </pivotTables>
  <data>
    <tabular pivotCacheId="1208207442">
      <items count="19">
        <i x="18" s="1"/>
        <i x="17" s="1"/>
        <i x="13" s="1"/>
        <i x="9" s="1"/>
        <i x="8" s="1"/>
        <i x="7" s="1"/>
        <i x="11" s="1"/>
        <i x="3" s="1"/>
        <i x="0" s="1"/>
        <i x="4" s="1"/>
        <i x="14" s="1"/>
        <i x="6" s="1"/>
        <i x="2" s="1"/>
        <i x="1" s="1"/>
        <i x="15" s="1"/>
        <i x="12" s="1"/>
        <i x="10" s="1"/>
        <i x="5" s="1"/>
        <i x="16"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Time_Result" xr10:uid="{3A396229-8CB1-4FA8-815C-6E84C201F478}" sourceName="Full-Time Result">
  <pivotTables>
    <pivotTable tabId="55" name="PivotTable1"/>
    <pivotTable tabId="55" name="PivotTable2"/>
    <pivotTable tabId="55" name="PivotTable3"/>
    <pivotTable tabId="55" name="PivotTable4"/>
    <pivotTable tabId="55" name="PivotTable5"/>
    <pivotTable tabId="55" name="PivotTable6"/>
    <pivotTable tabId="57" name="PivotTable8"/>
  </pivotTables>
  <data>
    <tabular pivotCacheId="1208207442">
      <items count="4">
        <i x="1" s="1"/>
        <i x="2" s="1"/>
        <i x="0"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dium" xr10:uid="{D54DF8AD-EDAB-46B9-ADBA-FBB12F5280B3}" sourceName="Stadium">
  <pivotTables>
    <pivotTable tabId="55" name="PivotTable1"/>
    <pivotTable tabId="55" name="PivotTable2"/>
    <pivotTable tabId="55" name="PivotTable3"/>
    <pivotTable tabId="55" name="PivotTable4"/>
    <pivotTable tabId="55" name="PivotTable5"/>
    <pivotTable tabId="55" name="PivotTable6"/>
    <pivotTable tabId="57" name="PivotTable8"/>
  </pivotTables>
  <data>
    <tabular pivotCacheId="1208207442">
      <items count="15">
        <i x="9" s="1"/>
        <i x="5" s="1"/>
        <i x="4" s="1"/>
        <i x="1" s="1"/>
        <i x="7" s="1"/>
        <i x="13" s="1"/>
        <i x="11" s="1"/>
        <i x="6" s="1"/>
        <i x="2" s="1"/>
        <i x="14" s="1"/>
        <i x="8" s="1"/>
        <i x="3" s="1"/>
        <i x="12" s="1"/>
        <i x="0" s="1"/>
        <i x="1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D40D9F6F-FCBD-4F43-86FE-6154A6FC9BAD}" sourceName="Season">
  <pivotTables>
    <pivotTable tabId="55" name="PivotTable1"/>
    <pivotTable tabId="55" name="PivotTable2"/>
    <pivotTable tabId="55" name="PivotTable3"/>
    <pivotTable tabId="55" name="PivotTable4"/>
    <pivotTable tabId="55" name="PivotTable5"/>
    <pivotTable tabId="55" name="PivotTable6"/>
    <pivotTable tabId="57" name="PivotTable8"/>
  </pivotTables>
  <data>
    <tabular pivotCacheId="1208207442">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D6A884-9813-40AF-8A68-06C6E67DF8E9}" cache="Slicer_Region" caption="Region" rowHeight="241300"/>
  <slicer name="Category" xr10:uid="{E7848EB1-AB4A-42B7-960E-A9AAB98BE565}" cache="Slicer_Category" caption="Category" rowHeight="241300"/>
  <slicer name="Payment Method" xr10:uid="{88E5F688-968F-4B77-8097-23E61C0F556C}" cache="Slicer_Payment_Method" caption="Payment Method" rowHeight="241300"/>
  <slicer name="Notes" xr10:uid="{E15D968D-BEFD-42A5-8319-1432D61FFDCC}" cache="Slicer_Notes" caption="Not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D76BA8C-BCFA-42D9-A7E0-0ECEA790FFDA}" cache="Slicer_Region" caption="Region" columnCount="2" style="Slicer Style 5" rowHeight="241300"/>
  <slicer name="Category 2" xr10:uid="{2478C7DB-CC69-4EE6-B335-2D79E95B070E}" cache="Slicer_Category" caption="Category" startItem="2" columnCount="2" style="Slicer Style 5" rowHeight="241300"/>
  <slicer name="Payment Method 2" xr10:uid="{D9D167E3-15B9-49E9-B39D-3A3332DA6D0C}" cache="Slicer_Payment_Method" caption="Payment Method" columnCount="2" style="Slicer Style 5" rowHeight="241300"/>
  <slicer name="Notes 2" xr10:uid="{10D7A8B2-599C-4824-A729-F07E1F0E2EDE}" cache="Slicer_Notes" caption="Notes" style="Slicer Style 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B096E2E2-20EA-4A98-A6B7-B3ACD94B1AB8}" cache="Slicer_Product" caption="Product" columnCount="2" style="SlicerStyleLight6" rowHeight="241300"/>
  <slicer name="Category 4" xr10:uid="{BFABAE7C-E0B8-4015-A5DC-F62C82FD0A70}" cache="Slicer_Category1" caption="Category" columnCount="2" style="SlicerStyleLight6" rowHeight="241300"/>
  <slicer name="Brand 2" xr10:uid="{355C1634-3216-4EE1-8C1E-DC1ED2519AD4}" cache="Slicer_Brand" caption="Brand" columnCount="2" style="SlicerStyleLight6" rowHeight="241300"/>
  <slicer name="City 2" xr10:uid="{FD163804-A3A0-4766-BD0B-2912C15B5F93}" cache="Slicer_City" caption="City" columnCount="2" style="SlicerStyleLight6" rowHeight="241300"/>
  <slicer name="Salesperson 1" xr10:uid="{FB58C790-1007-4BF2-B7D7-6BD2E86C6A70}" cache="Slicer_Salesperson" caption="Salesperson" columnCount="2"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xr10:uid="{F9E5789F-2F2F-4835-964E-1134AD2E0053}" cache="Slicer_League" caption="League" rowHeight="241300"/>
  <slicer name="Home Team" xr10:uid="{D85A55A4-8B63-410D-8C49-73B38DE1BD5C}" cache="Slicer_Home_Team" caption="Home Team" startItem="2" rowHeight="241300"/>
  <slicer name="Full-Time Result" xr10:uid="{A4BF120E-8E3B-4FF4-BF00-5DC66B5F8673}" cache="Slicer_Full_Time_Result" caption="Full-Time Result" rowHeight="241300"/>
  <slicer name="Stadium" xr10:uid="{FC851B35-C746-41EE-8FEF-1123F21E36B8}" cache="Slicer_Stadium" caption="Stadium" startItem="7" rowHeight="241300"/>
  <slicer name="Season" xr10:uid="{F44D93DD-3128-4F56-AF76-7CDDCF9D72D0}" cache="Slicer_Season" caption="Seas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gue 1" xr10:uid="{6C3BF1D3-8663-4664-81D3-142A0F074D6F}" cache="Slicer_League" caption="League" startItem="2" style="SlicerStyleDark4" rowHeight="241300"/>
  <slicer name="Home Team 1" xr10:uid="{B9C3996D-24A0-4AD8-AFCC-782124136FFF}" cache="Slicer_Home_Team" caption="Home Team" style="SlicerStyleDark4" rowHeight="241300"/>
  <slicer name="Full-Time Result 1" xr10:uid="{5009C258-7742-4C41-8913-8D6B6C49EE9D}" cache="Slicer_Full_Time_Result" caption="Full-Time Result" style="SlicerStyleDark4" rowHeight="241300"/>
  <slicer name="Stadium 1" xr10:uid="{2C035DB1-3F29-465F-A63F-D966CA6495B4}" cache="Slicer_Stadium" caption="Stadium" style="SlicerStyleDark4" rowHeight="241300"/>
  <slicer name="Season 1" xr10:uid="{6EEEE263-6397-442C-94C8-994C37478BB2}" cache="Slicer_Season" caption="Season" columnCount="2" style="SlicerStyleDark4"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8EF613-182F-4C75-B217-DC7081E80B8B}" name="Table3" displayName="Table3" ref="A1:K71" headerRowDxfId="67" dataDxfId="66" tableBorderDxfId="65">
  <autoFilter ref="A1:K71" xr:uid="{F88EF613-182F-4C75-B217-DC7081E80B8B}"/>
  <tableColumns count="11">
    <tableColumn id="1" xr3:uid="{3DB9837A-9B85-4CA4-AB2B-224154DA5F63}" name="Order ID" totalsRowLabel="Total" dataDxfId="64" totalsRowDxfId="63"/>
    <tableColumn id="2" xr3:uid="{379F4E47-A6B0-425A-834F-C4E2FF98DBB7}" name="Order Date" dataDxfId="62" totalsRowDxfId="61"/>
    <tableColumn id="3" xr3:uid="{3BB642E4-C668-49D8-AB18-6A4CD45ECEA9}" name="Customer Name" dataDxfId="60" totalsRowDxfId="59"/>
    <tableColumn id="4" xr3:uid="{729A09E1-8A1F-433B-BA96-B2B59F88535F}" name="Region" dataDxfId="58" totalsRowDxfId="57"/>
    <tableColumn id="5" xr3:uid="{BCF92F0B-6B58-477C-9603-A4AC7C9598DC}" name="Category" dataDxfId="56" totalsRowDxfId="55"/>
    <tableColumn id="6" xr3:uid="{4B6E6518-A609-4881-AEC1-3E91628211EA}" name="Product" dataDxfId="54" totalsRowDxfId="53"/>
    <tableColumn id="7" xr3:uid="{E1B52324-C160-4D47-AB53-3B0EFFDD4F84}" name="Quantity" dataDxfId="52" totalsRowDxfId="51"/>
    <tableColumn id="8" xr3:uid="{4F43EDC2-FCEB-4380-991D-33CD17E1B6BC}" name="Unit Price" dataDxfId="50" totalsRowDxfId="49"/>
    <tableColumn id="9" xr3:uid="{E91071B1-F704-42F1-8F7E-232FD3E66C15}" name="Sales Amount" dataDxfId="48">
      <calculatedColumnFormula>G2*H2</calculatedColumnFormula>
    </tableColumn>
    <tableColumn id="10" xr3:uid="{9769E88D-E725-44DC-A8F2-261C6C24CAD0}" name="Payment Method" dataDxfId="47" totalsRowDxfId="46"/>
    <tableColumn id="11" xr3:uid="{545ADA5C-BD83-4128-8B9E-74D37194FCC3}" name="Notes" totalsRowFunction="count" dataDxfId="45" totalsRowDxfId="44"/>
  </tableColumns>
  <tableStyleInfo name="TableStyleMedium7"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72B61E-A134-4E2F-AC6C-BD1EE3FE31B9}" name="Table2" displayName="Table2" ref="A1:R1001" totalsRowShown="0" headerRowDxfId="43" dataDxfId="42">
  <autoFilter ref="A1:R1001" xr:uid="{7D72B61E-A134-4E2F-AC6C-BD1EE3FE31B9}"/>
  <tableColumns count="18">
    <tableColumn id="1" xr3:uid="{7D0E892E-17F8-4D62-8707-E4EF5DA4CDF3}" name="Order ID" dataDxfId="41"/>
    <tableColumn id="2" xr3:uid="{EFD4F543-06BF-4542-B36B-AF720794802A}" name="Order Date" dataDxfId="40"/>
    <tableColumn id="3" xr3:uid="{98E7D0C6-0DB9-4F26-AE00-6A79FBD980A9}" name="Customer ID" dataDxfId="39"/>
    <tableColumn id="4" xr3:uid="{DEC384BF-1136-4DD9-9A3E-BF2523C1C2D4}" name="Customer Name" dataDxfId="38"/>
    <tableColumn id="5" xr3:uid="{839FFE5B-FB27-4EE0-895B-759C46A0F9F9}" name="Product" dataDxfId="37"/>
    <tableColumn id="6" xr3:uid="{77DD604A-CAD3-4A5E-99BC-5C30D732B0EB}" name="Category" dataDxfId="36"/>
    <tableColumn id="7" xr3:uid="{A48C7B97-1059-4B68-BA92-D433D08EF98A}" name="Brand" dataDxfId="35"/>
    <tableColumn id="8" xr3:uid="{BF4A3636-7672-4420-8100-C52AFF2ADCD4}" name="Quantity" dataDxfId="34"/>
    <tableColumn id="9" xr3:uid="{291CD423-2889-4604-84E9-67F293FF3253}" name="Unit Price" dataDxfId="33"/>
    <tableColumn id="10" xr3:uid="{040D5AFC-F793-456E-833C-BAF17FFC6B62}" name="Discount" dataDxfId="32"/>
    <tableColumn id="11" xr3:uid="{E1D8BF86-CE60-4CA4-9507-AE2CFECE1061}" name="Sales Amount" dataDxfId="31"/>
    <tableColumn id="12" xr3:uid="{48685E18-F223-4CDB-A01D-B65B3064D8F7}" name="Profit" dataDxfId="30"/>
    <tableColumn id="13" xr3:uid="{DDE91017-F2A3-4073-A84D-4943D09B51C8}" name="Payment Method" dataDxfId="29"/>
    <tableColumn id="14" xr3:uid="{057FEEF9-4EEE-463D-AC5F-209FDED8CDDA}" name="City" dataDxfId="28"/>
    <tableColumn id="15" xr3:uid="{B7ED54D2-4950-4493-86AA-4A7186FED76F}" name="State" dataDxfId="27"/>
    <tableColumn id="16" xr3:uid="{C60D093E-E96A-4B8B-BA2D-ECF03BCAF74D}" name="Salesperson" dataDxfId="26"/>
    <tableColumn id="17" xr3:uid="{A6930AC6-6797-43E1-B210-BFF0BEF6D419}" name="Delivery Status" dataDxfId="25"/>
    <tableColumn id="18" xr3:uid="{76DDBB48-15FA-4568-9473-CE6E77A6DBBC}" name="Customer Rating" dataDxfId="24"/>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B4339D-92FB-4FC3-A2F8-39ED2186283F}" name="Table1__2" displayName="Table1__2" ref="A1:L601" tableType="queryTable" totalsRowShown="0" headerRowDxfId="23" dataDxfId="22">
  <autoFilter ref="A1:L601" xr:uid="{3BB4339D-92FB-4FC3-A2F8-39ED2186283F}"/>
  <tableColumns count="12">
    <tableColumn id="1" xr3:uid="{69B36CB9-1A23-4019-AA8B-171F560492EB}" uniqueName="1" name="Match ID" queryTableFieldId="1" dataDxfId="21"/>
    <tableColumn id="2" xr3:uid="{7B53557C-1243-4928-9654-3BE7C4854396}" uniqueName="2" name="Match Date" queryTableFieldId="2" dataDxfId="20"/>
    <tableColumn id="3" xr3:uid="{3B811F76-62D1-4FF5-BAD8-B77DBE413EC6}" uniqueName="3" name="League" queryTableFieldId="3" dataDxfId="19"/>
    <tableColumn id="4" xr3:uid="{29E2E6B0-6361-49AD-A2DD-0335E3DCEBA3}" uniqueName="4" name="Home Team" queryTableFieldId="4" dataDxfId="18"/>
    <tableColumn id="5" xr3:uid="{C4E03D4C-12B5-4897-B1CD-7357ECE37430}" uniqueName="5" name="Away Team" queryTableFieldId="5" dataDxfId="17"/>
    <tableColumn id="6" xr3:uid="{66EEA446-3A58-4716-A9E4-0D4F35924977}" uniqueName="6" name="Home Goals" queryTableFieldId="6" dataDxfId="16"/>
    <tableColumn id="7" xr3:uid="{4A298518-9F42-40B1-9CC5-2EFC6A9A14C1}" uniqueName="7" name="Away Goals" queryTableFieldId="7" dataDxfId="15"/>
    <tableColumn id="8" xr3:uid="{E1EBA10B-DA64-4015-AD3E-58E1A4425E3F}" uniqueName="8" name="Full-Time Result" queryTableFieldId="8" dataDxfId="14"/>
    <tableColumn id="9" xr3:uid="{3A55F5D3-5C72-49A1-9B79-5AF07ABD4BE7}" uniqueName="9" name="Attendance" queryTableFieldId="9" dataDxfId="13"/>
    <tableColumn id="10" xr3:uid="{C6839F8B-D043-4BE7-92BF-BBFAA14D151C}" uniqueName="10" name="Stadium" queryTableFieldId="10" dataDxfId="12"/>
    <tableColumn id="11" xr3:uid="{80656916-3203-4CCF-BC66-5A3C632DEF55}" uniqueName="11" name="Referee" queryTableFieldId="11" dataDxfId="11"/>
    <tableColumn id="12" xr3:uid="{83836A57-990F-4780-9A6E-769D3B782C53}" uniqueName="12" name="Season" queryTableFieldId="12" dataDxfId="1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D1FF078-0B38-4DA9-8914-951B0FCEB0B2}" sourceName="Order Date">
  <pivotTables>
    <pivotTable tabId="38" name="PivotTable1"/>
    <pivotTable tabId="38" name="PivotTable4"/>
    <pivotTable tabId="38" name="PivotTable5"/>
    <pivotTable tabId="38" name="PivotTable6"/>
    <pivotTable tabId="38" name="PivotTable7"/>
    <pivotTable tabId="38" name="PivotTable8"/>
    <pivotTable tabId="38" name="PivotTable2"/>
  </pivotTables>
  <state minimalRefreshVersion="6" lastRefreshVersion="6" pivotCacheId="91555673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FFC62C4-A810-4A17-B591-C5807AFBFD2B}" cache="NativeTimeline_Order_Date" caption="Order Date" level="2" selectionLevel="2" scrollPosition="2024-05-19T00:00:00"/>
</timelines>
</file>

<file path=xl/worksheets/_rels/sheet3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3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9.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11.xml"/><Relationship Id="rId7"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1601-26E3-4F44-9EC1-4B4B0242D313}">
  <sheetPr codeName="Sheet1"/>
  <dimension ref="A1:G5"/>
  <sheetViews>
    <sheetView workbookViewId="0">
      <selection activeCell="G11" sqref="G11"/>
    </sheetView>
  </sheetViews>
  <sheetFormatPr defaultColWidth="19.28515625" defaultRowHeight="15" x14ac:dyDescent="0.25"/>
  <cols>
    <col min="4" max="4" width="19.28515625" customWidth="1"/>
    <col min="7" max="7" width="19.28515625" customWidth="1"/>
  </cols>
  <sheetData>
    <row r="1" spans="1:7" x14ac:dyDescent="0.25">
      <c r="A1" s="1" t="s">
        <v>0</v>
      </c>
      <c r="B1" s="1" t="s">
        <v>1</v>
      </c>
      <c r="C1" s="1" t="s">
        <v>2</v>
      </c>
      <c r="D1" s="1" t="s">
        <v>3</v>
      </c>
      <c r="E1" s="1" t="s">
        <v>4</v>
      </c>
      <c r="F1" s="1" t="s">
        <v>5</v>
      </c>
      <c r="G1" s="1" t="s">
        <v>6</v>
      </c>
    </row>
    <row r="2" spans="1:7" x14ac:dyDescent="0.25">
      <c r="A2" s="2" t="s">
        <v>15</v>
      </c>
      <c r="B2" s="2" t="s">
        <v>16</v>
      </c>
      <c r="C2" s="2">
        <v>610000</v>
      </c>
      <c r="D2" s="2">
        <v>510000</v>
      </c>
      <c r="E2" s="2">
        <v>100000</v>
      </c>
      <c r="F2" s="2" t="s">
        <v>17</v>
      </c>
      <c r="G2" s="2" t="s">
        <v>18</v>
      </c>
    </row>
    <row r="3" spans="1:7" x14ac:dyDescent="0.25">
      <c r="A3" s="2" t="s">
        <v>7</v>
      </c>
      <c r="B3" s="2" t="s">
        <v>8</v>
      </c>
      <c r="C3" s="2">
        <v>850000</v>
      </c>
      <c r="D3" s="2">
        <v>620000</v>
      </c>
      <c r="E3" s="2">
        <v>230000</v>
      </c>
      <c r="F3" s="2" t="s">
        <v>9</v>
      </c>
      <c r="G3" s="2" t="s">
        <v>10</v>
      </c>
    </row>
    <row r="4" spans="1:7" x14ac:dyDescent="0.25">
      <c r="A4" s="3" t="s">
        <v>11</v>
      </c>
      <c r="B4" s="3" t="s">
        <v>12</v>
      </c>
      <c r="C4" s="3">
        <v>920000</v>
      </c>
      <c r="D4" s="3">
        <v>640000</v>
      </c>
      <c r="E4" s="3">
        <v>280000</v>
      </c>
      <c r="F4" s="3" t="s">
        <v>13</v>
      </c>
      <c r="G4" s="3" t="s">
        <v>14</v>
      </c>
    </row>
    <row r="5" spans="1:7" x14ac:dyDescent="0.25">
      <c r="A5" s="3" t="s">
        <v>19</v>
      </c>
      <c r="B5" s="3" t="s">
        <v>20</v>
      </c>
      <c r="C5" s="3">
        <v>1050000</v>
      </c>
      <c r="D5" s="3">
        <v>700000</v>
      </c>
      <c r="E5" s="3">
        <v>350000</v>
      </c>
      <c r="F5" s="3" t="s">
        <v>21</v>
      </c>
      <c r="G5" s="3" t="s">
        <v>22</v>
      </c>
    </row>
  </sheetData>
  <sortState xmlns:xlrd2="http://schemas.microsoft.com/office/spreadsheetml/2017/richdata2" ref="A2:G5">
    <sortCondition ref="E1:E5"/>
  </sortState>
  <customSheetViews>
    <customSheetView guid="{45B84AB3-1472-42D4-82BA-EFC7ECECF5E3}">
      <selection sqref="A1:G5"/>
      <pageMargins left="0.7" right="0.7" top="0.75" bottom="0.75" header="0.3" footer="0.3"/>
    </customSheetView>
    <customSheetView guid="{A940248E-CD2C-4301-BD92-D3A0066C5FBD}" hiddenColumns="1">
      <selection sqref="A1:F5"/>
      <pageMargins left="0.7" right="0.7" top="0.75" bottom="0.75" header="0.3" footer="0.3"/>
    </customSheetView>
    <customSheetView guid="{ADCAC967-9EC2-4FFD-8C50-17CD4528FF25}" filter="1" showAutoFilter="1">
      <selection sqref="A1:G3"/>
      <pageMargins left="0.7" right="0.7" top="0.75" bottom="0.75" header="0.3" footer="0.3"/>
      <autoFilter ref="A1:G5" xr:uid="{6FD2173A-8A9B-4471-9963-FA9774F4DD45}">
        <filterColumn colId="1">
          <filters>
            <filter val="South"/>
          </filters>
        </filterColumn>
      </autoFilter>
    </customSheetView>
    <customSheetView guid="{AF73C271-AF69-4F43-A506-0A9C5565C830}">
      <selection sqref="A1:G5"/>
      <pageMargins left="0.7" right="0.7" top="0.75" bottom="0.75" header="0.3" footer="0.3"/>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FB5B-8BD7-4E1F-B54A-001EFD2BE32E}">
  <sheetPr codeName="Sheet2"/>
  <dimension ref="A1:G8"/>
  <sheetViews>
    <sheetView workbookViewId="0">
      <selection activeCell="G14" sqref="G14"/>
    </sheetView>
  </sheetViews>
  <sheetFormatPr defaultColWidth="19" defaultRowHeight="15" x14ac:dyDescent="0.25"/>
  <sheetData>
    <row r="1" spans="1:7" x14ac:dyDescent="0.25">
      <c r="A1" s="1" t="s">
        <v>23</v>
      </c>
      <c r="B1" s="1" t="s">
        <v>24</v>
      </c>
      <c r="C1" s="1" t="s">
        <v>25</v>
      </c>
      <c r="D1" s="1" t="s">
        <v>26</v>
      </c>
      <c r="E1" s="1" t="s">
        <v>27</v>
      </c>
      <c r="F1" s="4" t="s">
        <v>33</v>
      </c>
      <c r="G1" s="4" t="s">
        <v>34</v>
      </c>
    </row>
    <row r="2" spans="1:7" x14ac:dyDescent="0.25">
      <c r="A2" s="2" t="s">
        <v>28</v>
      </c>
      <c r="B2" s="2">
        <v>2200</v>
      </c>
      <c r="C2" s="2">
        <v>1950</v>
      </c>
      <c r="D2" s="2">
        <v>2400</v>
      </c>
      <c r="E2" s="2">
        <v>2100</v>
      </c>
      <c r="F2" s="7">
        <f t="shared" ref="F2:F7" si="0">SUM(B2:E2)</f>
        <v>8650</v>
      </c>
      <c r="G2" s="5">
        <f>AVERAGE(B2:E2)</f>
        <v>2162.5</v>
      </c>
    </row>
    <row r="3" spans="1:7" x14ac:dyDescent="0.25">
      <c r="A3" s="3" t="s">
        <v>29</v>
      </c>
      <c r="B3" s="3">
        <v>800</v>
      </c>
      <c r="C3" s="3">
        <v>750</v>
      </c>
      <c r="D3" s="3">
        <v>900</v>
      </c>
      <c r="E3" s="3">
        <v>820</v>
      </c>
      <c r="F3" s="7">
        <f t="shared" si="0"/>
        <v>3270</v>
      </c>
      <c r="G3" s="5">
        <f t="shared" ref="G3:G6" si="1">AVERAGE(B3:E3)</f>
        <v>817.5</v>
      </c>
    </row>
    <row r="4" spans="1:7" x14ac:dyDescent="0.25">
      <c r="A4" s="2" t="s">
        <v>30</v>
      </c>
      <c r="B4" s="2">
        <v>1500</v>
      </c>
      <c r="C4" s="2">
        <v>1500</v>
      </c>
      <c r="D4" s="2">
        <v>1600</v>
      </c>
      <c r="E4" s="2">
        <v>1550</v>
      </c>
      <c r="F4" s="7">
        <f t="shared" si="0"/>
        <v>6150</v>
      </c>
      <c r="G4" s="5">
        <f t="shared" si="1"/>
        <v>1537.5</v>
      </c>
    </row>
    <row r="5" spans="1:7" x14ac:dyDescent="0.25">
      <c r="A5" s="3" t="s">
        <v>31</v>
      </c>
      <c r="B5" s="3">
        <v>600</v>
      </c>
      <c r="C5" s="3">
        <v>900</v>
      </c>
      <c r="D5" s="3">
        <v>400</v>
      </c>
      <c r="E5" s="3">
        <v>750</v>
      </c>
      <c r="F5" s="7">
        <f t="shared" si="0"/>
        <v>2650</v>
      </c>
      <c r="G5" s="5">
        <f t="shared" si="1"/>
        <v>662.5</v>
      </c>
    </row>
    <row r="6" spans="1:7" ht="15.75" thickBot="1" x14ac:dyDescent="0.3">
      <c r="A6" s="2" t="s">
        <v>32</v>
      </c>
      <c r="B6" s="2">
        <v>350</v>
      </c>
      <c r="C6" s="2">
        <v>500</v>
      </c>
      <c r="D6" s="2">
        <v>300</v>
      </c>
      <c r="E6" s="2">
        <v>450</v>
      </c>
      <c r="F6" s="7">
        <f t="shared" si="0"/>
        <v>1600</v>
      </c>
      <c r="G6" s="5">
        <f t="shared" si="1"/>
        <v>400</v>
      </c>
    </row>
    <row r="7" spans="1:7" ht="15.75" thickBot="1" x14ac:dyDescent="0.3">
      <c r="A7" s="6" t="s">
        <v>33</v>
      </c>
      <c r="B7" s="7">
        <f>SUM(B2:B6)</f>
        <v>5450</v>
      </c>
      <c r="C7" s="7">
        <f>SUM(C2:C6)</f>
        <v>5600</v>
      </c>
      <c r="D7" s="7">
        <f>SUM(D2:D6)</f>
        <v>5600</v>
      </c>
      <c r="E7" s="7">
        <f>SUM(E2:E6)</f>
        <v>5670</v>
      </c>
      <c r="F7" s="8">
        <f t="shared" si="0"/>
        <v>22320</v>
      </c>
      <c r="G7" s="5"/>
    </row>
    <row r="8" spans="1:7" x14ac:dyDescent="0.25">
      <c r="A8" s="5"/>
      <c r="B8" s="5"/>
      <c r="C8" s="5"/>
      <c r="D8" s="5"/>
      <c r="E8" s="5"/>
      <c r="F8" s="5"/>
      <c r="G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CF94-2181-4948-981C-93DB4A0586F2}">
  <sheetPr codeName="Sheet3"/>
  <dimension ref="A1:F8"/>
  <sheetViews>
    <sheetView workbookViewId="0">
      <selection activeCell="H11" sqref="H11"/>
    </sheetView>
  </sheetViews>
  <sheetFormatPr defaultColWidth="12.42578125" defaultRowHeight="15" x14ac:dyDescent="0.25"/>
  <sheetData>
    <row r="1" spans="1:6" ht="38.25" x14ac:dyDescent="0.25">
      <c r="A1" s="9" t="s">
        <v>35</v>
      </c>
      <c r="B1" s="9" t="s">
        <v>36</v>
      </c>
      <c r="C1" s="9" t="s">
        <v>37</v>
      </c>
      <c r="D1" s="9" t="s">
        <v>38</v>
      </c>
      <c r="E1" s="9" t="s">
        <v>39</v>
      </c>
      <c r="F1" s="9" t="s">
        <v>40</v>
      </c>
    </row>
    <row r="2" spans="1:6" x14ac:dyDescent="0.25">
      <c r="A2" s="10">
        <v>1</v>
      </c>
      <c r="B2" s="12">
        <v>46272</v>
      </c>
      <c r="C2" s="10" t="s">
        <v>41</v>
      </c>
      <c r="D2" s="10" t="s">
        <v>42</v>
      </c>
      <c r="E2" s="10">
        <v>1</v>
      </c>
      <c r="F2" s="10" t="s">
        <v>43</v>
      </c>
    </row>
    <row r="3" spans="1:6" x14ac:dyDescent="0.25">
      <c r="A3" s="11">
        <v>2</v>
      </c>
      <c r="B3" s="12">
        <v>46279</v>
      </c>
      <c r="C3" s="10" t="s">
        <v>44</v>
      </c>
      <c r="D3" s="10" t="s">
        <v>50</v>
      </c>
      <c r="E3" s="10">
        <v>3</v>
      </c>
      <c r="F3" s="10" t="s">
        <v>53</v>
      </c>
    </row>
    <row r="4" spans="1:6" x14ac:dyDescent="0.25">
      <c r="A4" s="10">
        <v>3</v>
      </c>
      <c r="B4" s="12">
        <v>46286</v>
      </c>
      <c r="C4" s="10" t="s">
        <v>45</v>
      </c>
      <c r="D4" s="10" t="s">
        <v>51</v>
      </c>
      <c r="E4" s="10">
        <v>5</v>
      </c>
      <c r="F4" s="10" t="s">
        <v>54</v>
      </c>
    </row>
    <row r="5" spans="1:6" x14ac:dyDescent="0.25">
      <c r="A5" s="10">
        <v>4</v>
      </c>
      <c r="B5" s="12">
        <v>46293</v>
      </c>
      <c r="C5" s="10" t="s">
        <v>46</v>
      </c>
      <c r="D5" s="10" t="s">
        <v>52</v>
      </c>
      <c r="E5" s="10">
        <v>7</v>
      </c>
      <c r="F5" s="10" t="s">
        <v>55</v>
      </c>
    </row>
    <row r="6" spans="1:6" x14ac:dyDescent="0.25">
      <c r="A6" s="11">
        <v>5</v>
      </c>
      <c r="B6" s="12">
        <v>46300</v>
      </c>
      <c r="C6" s="10" t="s">
        <v>47</v>
      </c>
      <c r="D6" s="10" t="s">
        <v>42</v>
      </c>
      <c r="E6" s="10">
        <v>9</v>
      </c>
      <c r="F6" s="10" t="s">
        <v>56</v>
      </c>
    </row>
    <row r="7" spans="1:6" x14ac:dyDescent="0.25">
      <c r="A7" s="10">
        <v>6</v>
      </c>
      <c r="B7" s="12">
        <v>46307</v>
      </c>
      <c r="C7" s="10" t="s">
        <v>48</v>
      </c>
      <c r="D7" s="10" t="s">
        <v>50</v>
      </c>
      <c r="E7" s="10">
        <v>11</v>
      </c>
      <c r="F7" s="10" t="s">
        <v>57</v>
      </c>
    </row>
    <row r="8" spans="1:6" x14ac:dyDescent="0.25">
      <c r="A8" s="10">
        <v>7</v>
      </c>
      <c r="B8" s="12">
        <v>46314</v>
      </c>
      <c r="C8" s="10" t="s">
        <v>49</v>
      </c>
      <c r="D8" s="10" t="s">
        <v>51</v>
      </c>
      <c r="E8" s="10">
        <v>13</v>
      </c>
      <c r="F8" s="10" t="s">
        <v>58</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2D36-9706-4B90-AF0D-2DFAA74A47CF}">
  <sheetPr codeName="Sheet4"/>
  <dimension ref="A1:H6"/>
  <sheetViews>
    <sheetView topLeftCell="B1" workbookViewId="0">
      <selection activeCell="G2" sqref="G2"/>
    </sheetView>
  </sheetViews>
  <sheetFormatPr defaultColWidth="28.7109375" defaultRowHeight="15" x14ac:dyDescent="0.25"/>
  <sheetData>
    <row r="1" spans="1:8" x14ac:dyDescent="0.25">
      <c r="A1" s="9" t="s">
        <v>59</v>
      </c>
      <c r="B1" s="9" t="s">
        <v>60</v>
      </c>
      <c r="C1" s="9" t="s">
        <v>61</v>
      </c>
      <c r="D1" s="9" t="s">
        <v>62</v>
      </c>
      <c r="E1" s="9" t="s">
        <v>63</v>
      </c>
      <c r="F1" s="9" t="s">
        <v>64</v>
      </c>
      <c r="G1" s="9" t="s">
        <v>65</v>
      </c>
      <c r="H1" s="14" t="s">
        <v>100</v>
      </c>
    </row>
    <row r="2" spans="1:8" x14ac:dyDescent="0.25">
      <c r="A2" s="10" t="s">
        <v>66</v>
      </c>
      <c r="B2" s="10" t="s">
        <v>80</v>
      </c>
      <c r="C2" s="10" t="s">
        <v>81</v>
      </c>
      <c r="D2" s="10" t="s">
        <v>67</v>
      </c>
      <c r="E2" s="10" t="s">
        <v>90</v>
      </c>
      <c r="F2" s="10" t="s">
        <v>68</v>
      </c>
      <c r="G2" s="13" t="s">
        <v>95</v>
      </c>
      <c r="H2" s="15" t="s">
        <v>101</v>
      </c>
    </row>
    <row r="3" spans="1:8" x14ac:dyDescent="0.25">
      <c r="A3" s="11" t="s">
        <v>69</v>
      </c>
      <c r="B3" s="10" t="s">
        <v>86</v>
      </c>
      <c r="C3" s="10" t="s">
        <v>82</v>
      </c>
      <c r="D3" s="11" t="s">
        <v>70</v>
      </c>
      <c r="E3" s="10" t="s">
        <v>91</v>
      </c>
      <c r="F3" s="11" t="s">
        <v>71</v>
      </c>
      <c r="G3" s="13" t="s">
        <v>99</v>
      </c>
      <c r="H3" s="16" t="s">
        <v>102</v>
      </c>
    </row>
    <row r="4" spans="1:8" x14ac:dyDescent="0.25">
      <c r="A4" s="10" t="s">
        <v>72</v>
      </c>
      <c r="B4" s="10" t="s">
        <v>87</v>
      </c>
      <c r="C4" s="10" t="s">
        <v>83</v>
      </c>
      <c r="D4" s="10" t="s">
        <v>73</v>
      </c>
      <c r="E4" s="10" t="s">
        <v>92</v>
      </c>
      <c r="F4" s="10" t="s">
        <v>74</v>
      </c>
      <c r="G4" s="13" t="s">
        <v>96</v>
      </c>
      <c r="H4" s="16" t="s">
        <v>103</v>
      </c>
    </row>
    <row r="5" spans="1:8" x14ac:dyDescent="0.25">
      <c r="A5" s="11" t="s">
        <v>13</v>
      </c>
      <c r="B5" s="10" t="s">
        <v>88</v>
      </c>
      <c r="C5" s="10" t="s">
        <v>84</v>
      </c>
      <c r="D5" s="11" t="s">
        <v>75</v>
      </c>
      <c r="E5" s="10" t="s">
        <v>93</v>
      </c>
      <c r="F5" s="11" t="s">
        <v>76</v>
      </c>
      <c r="G5" s="13" t="s">
        <v>97</v>
      </c>
      <c r="H5" s="16" t="s">
        <v>104</v>
      </c>
    </row>
    <row r="6" spans="1:8" x14ac:dyDescent="0.25">
      <c r="A6" s="10" t="s">
        <v>77</v>
      </c>
      <c r="B6" s="10" t="s">
        <v>89</v>
      </c>
      <c r="C6" s="10" t="s">
        <v>85</v>
      </c>
      <c r="D6" s="10" t="s">
        <v>78</v>
      </c>
      <c r="E6" s="10" t="s">
        <v>94</v>
      </c>
      <c r="F6" s="10" t="s">
        <v>79</v>
      </c>
      <c r="G6" s="13" t="s">
        <v>98</v>
      </c>
      <c r="H6" s="16"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BA4C-B396-46BB-8458-B57142DD651B}">
  <sheetPr codeName="Sheet5" filterMode="1"/>
  <dimension ref="A1:F9"/>
  <sheetViews>
    <sheetView workbookViewId="0">
      <selection activeCell="F21" sqref="F21"/>
    </sheetView>
  </sheetViews>
  <sheetFormatPr defaultColWidth="14" defaultRowHeight="15" x14ac:dyDescent="0.25"/>
  <sheetData>
    <row r="1" spans="1:6" x14ac:dyDescent="0.25">
      <c r="A1" s="9" t="s">
        <v>106</v>
      </c>
      <c r="B1" s="9" t="s">
        <v>107</v>
      </c>
      <c r="C1" s="9" t="s">
        <v>108</v>
      </c>
      <c r="D1" s="9" t="s">
        <v>109</v>
      </c>
      <c r="E1" s="9" t="s">
        <v>110</v>
      </c>
      <c r="F1" s="9" t="s">
        <v>111</v>
      </c>
    </row>
    <row r="2" spans="1:6" hidden="1" x14ac:dyDescent="0.25">
      <c r="A2" s="10">
        <v>1</v>
      </c>
      <c r="B2" s="10" t="s">
        <v>120</v>
      </c>
      <c r="C2" s="10" t="s">
        <v>116</v>
      </c>
      <c r="D2" s="10">
        <v>81</v>
      </c>
      <c r="E2" s="10" t="s">
        <v>119</v>
      </c>
      <c r="F2" s="10">
        <v>88</v>
      </c>
    </row>
    <row r="3" spans="1:6" hidden="1" x14ac:dyDescent="0.25">
      <c r="A3" s="11">
        <v>10</v>
      </c>
      <c r="B3" s="11" t="s">
        <v>123</v>
      </c>
      <c r="C3" s="11" t="s">
        <v>116</v>
      </c>
      <c r="D3" s="11">
        <v>67</v>
      </c>
      <c r="E3" s="11" t="s">
        <v>114</v>
      </c>
      <c r="F3" s="11">
        <v>90</v>
      </c>
    </row>
    <row r="4" spans="1:6" hidden="1" x14ac:dyDescent="0.25">
      <c r="A4" s="11">
        <v>12</v>
      </c>
      <c r="B4" s="11" t="s">
        <v>115</v>
      </c>
      <c r="C4" s="11" t="s">
        <v>116</v>
      </c>
      <c r="D4" s="10">
        <v>34</v>
      </c>
      <c r="E4" s="11" t="s">
        <v>114</v>
      </c>
      <c r="F4" s="11">
        <v>78</v>
      </c>
    </row>
    <row r="5" spans="1:6" x14ac:dyDescent="0.25">
      <c r="A5" s="10">
        <v>4</v>
      </c>
      <c r="B5" s="10" t="s">
        <v>124</v>
      </c>
      <c r="C5" s="10" t="s">
        <v>113</v>
      </c>
      <c r="D5" s="10">
        <v>96</v>
      </c>
      <c r="E5" s="10" t="s">
        <v>119</v>
      </c>
      <c r="F5" s="10">
        <v>60</v>
      </c>
    </row>
    <row r="6" spans="1:6" hidden="1" x14ac:dyDescent="0.25">
      <c r="A6" s="10">
        <v>5</v>
      </c>
      <c r="B6" s="10" t="s">
        <v>112</v>
      </c>
      <c r="C6" s="10" t="s">
        <v>113</v>
      </c>
      <c r="D6" s="11">
        <v>73</v>
      </c>
      <c r="E6" s="10" t="s">
        <v>114</v>
      </c>
      <c r="F6" s="10">
        <v>92</v>
      </c>
    </row>
    <row r="7" spans="1:6" hidden="1" x14ac:dyDescent="0.25">
      <c r="A7" s="11">
        <v>15</v>
      </c>
      <c r="B7" s="11" t="s">
        <v>121</v>
      </c>
      <c r="C7" s="11" t="s">
        <v>113</v>
      </c>
      <c r="D7" s="11">
        <v>40</v>
      </c>
      <c r="E7" s="11" t="s">
        <v>114</v>
      </c>
      <c r="F7" s="11">
        <v>95</v>
      </c>
    </row>
    <row r="8" spans="1:6" x14ac:dyDescent="0.25">
      <c r="A8" s="11">
        <v>8</v>
      </c>
      <c r="B8" s="11" t="s">
        <v>117</v>
      </c>
      <c r="C8" s="11" t="s">
        <v>118</v>
      </c>
      <c r="D8" s="10">
        <v>96</v>
      </c>
      <c r="E8" s="11" t="s">
        <v>119</v>
      </c>
      <c r="F8" s="11">
        <v>65</v>
      </c>
    </row>
    <row r="9" spans="1:6" x14ac:dyDescent="0.25">
      <c r="A9" s="10">
        <v>7</v>
      </c>
      <c r="B9" s="10" t="s">
        <v>122</v>
      </c>
      <c r="C9" s="10" t="s">
        <v>118</v>
      </c>
      <c r="D9" s="11">
        <v>88</v>
      </c>
      <c r="E9" s="10" t="s">
        <v>119</v>
      </c>
      <c r="F9" s="10">
        <v>55</v>
      </c>
    </row>
  </sheetData>
  <autoFilter ref="A1:F9" xr:uid="{C0AABA4C-B396-46BB-8458-B57142DD651B}">
    <filterColumn colId="3">
      <top10 val="3" filterVal="88"/>
    </filterColumn>
  </autoFilter>
  <sortState xmlns:xlrd2="http://schemas.microsoft.com/office/spreadsheetml/2017/richdata2" ref="A2:F11">
    <sortCondition ref="C2:C1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F5A7-83A8-4E0E-A8F7-319235039E93}">
  <sheetPr codeName="Sheet6"/>
  <dimension ref="A1:F7"/>
  <sheetViews>
    <sheetView workbookViewId="0">
      <selection activeCell="D6" sqref="D6"/>
    </sheetView>
  </sheetViews>
  <sheetFormatPr defaultColWidth="14.85546875" defaultRowHeight="15" x14ac:dyDescent="0.25"/>
  <cols>
    <col min="5" max="5" width="16.5703125" customWidth="1"/>
  </cols>
  <sheetData>
    <row r="1" spans="1:6" x14ac:dyDescent="0.25">
      <c r="A1" t="s">
        <v>125</v>
      </c>
      <c r="B1">
        <v>0.18</v>
      </c>
    </row>
    <row r="3" spans="1:6" ht="25.5" x14ac:dyDescent="0.25">
      <c r="A3" s="9" t="s">
        <v>126</v>
      </c>
      <c r="B3" s="9" t="s">
        <v>127</v>
      </c>
      <c r="C3" s="9" t="s">
        <v>128</v>
      </c>
      <c r="D3" s="9" t="s">
        <v>129</v>
      </c>
      <c r="E3" s="9" t="s">
        <v>130</v>
      </c>
      <c r="F3" s="9" t="s">
        <v>131</v>
      </c>
    </row>
    <row r="4" spans="1:6" x14ac:dyDescent="0.25">
      <c r="A4" s="10" t="s">
        <v>132</v>
      </c>
      <c r="B4" s="10">
        <v>20</v>
      </c>
      <c r="C4" s="10">
        <v>1200</v>
      </c>
      <c r="D4" s="18">
        <v>24000</v>
      </c>
      <c r="E4" s="18">
        <f>D4*B$1</f>
        <v>4320</v>
      </c>
      <c r="F4" s="18">
        <v>28320</v>
      </c>
    </row>
    <row r="5" spans="1:6" x14ac:dyDescent="0.25">
      <c r="A5" s="11" t="s">
        <v>133</v>
      </c>
      <c r="B5" s="11">
        <v>10</v>
      </c>
      <c r="C5" s="11">
        <v>3500</v>
      </c>
      <c r="D5" s="17">
        <v>35000</v>
      </c>
      <c r="E5" s="18">
        <f t="shared" ref="E5:E7" si="0">D5*B$1</f>
        <v>6300</v>
      </c>
      <c r="F5" s="17">
        <v>41300</v>
      </c>
    </row>
    <row r="6" spans="1:6" x14ac:dyDescent="0.25">
      <c r="A6" s="10" t="s">
        <v>134</v>
      </c>
      <c r="B6" s="10">
        <v>5</v>
      </c>
      <c r="C6" s="10">
        <v>8000</v>
      </c>
      <c r="D6" s="18">
        <v>40000</v>
      </c>
      <c r="E6" s="18">
        <f t="shared" si="0"/>
        <v>7200</v>
      </c>
      <c r="F6" s="18">
        <f>D6+E6</f>
        <v>47200</v>
      </c>
    </row>
    <row r="7" spans="1:6" x14ac:dyDescent="0.25">
      <c r="A7" s="11" t="s">
        <v>135</v>
      </c>
      <c r="B7" s="11">
        <v>15</v>
      </c>
      <c r="C7" s="11">
        <v>950</v>
      </c>
      <c r="D7" s="17">
        <v>14250</v>
      </c>
      <c r="E7" s="18">
        <f t="shared" si="0"/>
        <v>2565</v>
      </c>
      <c r="F7" s="17">
        <v>16815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8347-8548-466A-8C52-52FE15FDD461}">
  <sheetPr codeName="Sheet7"/>
  <dimension ref="A1:E25"/>
  <sheetViews>
    <sheetView workbookViewId="0">
      <selection activeCell="F11" sqref="F11"/>
    </sheetView>
  </sheetViews>
  <sheetFormatPr defaultColWidth="27.42578125" defaultRowHeight="15" x14ac:dyDescent="0.25"/>
  <sheetData>
    <row r="1" spans="1:5" x14ac:dyDescent="0.25">
      <c r="A1" s="19" t="s">
        <v>136</v>
      </c>
      <c r="B1" s="20">
        <f>SUM(D6:D25)</f>
        <v>194430</v>
      </c>
    </row>
    <row r="2" spans="1:5" x14ac:dyDescent="0.25">
      <c r="A2" s="19" t="s">
        <v>137</v>
      </c>
      <c r="B2" s="20">
        <f>SUM(E6:E25)</f>
        <v>45638</v>
      </c>
    </row>
    <row r="3" spans="1:5" x14ac:dyDescent="0.25">
      <c r="A3" s="19" t="s">
        <v>138</v>
      </c>
      <c r="B3" s="20">
        <v>9147.6</v>
      </c>
    </row>
    <row r="5" spans="1:5" ht="25.5" x14ac:dyDescent="0.25">
      <c r="A5" s="9" t="s">
        <v>139</v>
      </c>
      <c r="B5" s="9" t="s">
        <v>140</v>
      </c>
      <c r="C5" s="9" t="s">
        <v>1</v>
      </c>
      <c r="D5" s="9" t="s">
        <v>141</v>
      </c>
      <c r="E5" s="9" t="s">
        <v>4</v>
      </c>
    </row>
    <row r="6" spans="1:5" x14ac:dyDescent="0.25">
      <c r="A6" s="10" t="s">
        <v>142</v>
      </c>
      <c r="B6" s="10" t="s">
        <v>143</v>
      </c>
      <c r="C6" s="10" t="s">
        <v>20</v>
      </c>
      <c r="D6" s="10">
        <v>9700</v>
      </c>
      <c r="E6" s="10">
        <v>1412</v>
      </c>
    </row>
    <row r="7" spans="1:5" x14ac:dyDescent="0.25">
      <c r="A7" s="11" t="s">
        <v>144</v>
      </c>
      <c r="B7" s="11" t="s">
        <v>143</v>
      </c>
      <c r="C7" s="11" t="s">
        <v>12</v>
      </c>
      <c r="D7" s="17">
        <v>20333</v>
      </c>
      <c r="E7" s="11">
        <v>9000</v>
      </c>
    </row>
    <row r="8" spans="1:5" x14ac:dyDescent="0.25">
      <c r="A8" s="10" t="s">
        <v>145</v>
      </c>
      <c r="B8" s="10" t="s">
        <v>143</v>
      </c>
      <c r="C8" s="10" t="s">
        <v>20</v>
      </c>
      <c r="D8" s="10">
        <v>5025</v>
      </c>
      <c r="E8" s="10">
        <v>900</v>
      </c>
    </row>
    <row r="9" spans="1:5" x14ac:dyDescent="0.25">
      <c r="A9" s="11" t="s">
        <v>146</v>
      </c>
      <c r="B9" s="11" t="s">
        <v>143</v>
      </c>
      <c r="C9" s="11" t="s">
        <v>12</v>
      </c>
      <c r="D9" s="11">
        <v>12319</v>
      </c>
      <c r="E9" s="11">
        <v>1848</v>
      </c>
    </row>
    <row r="10" spans="1:5" x14ac:dyDescent="0.25">
      <c r="A10" s="10" t="s">
        <v>147</v>
      </c>
      <c r="B10" s="10" t="s">
        <v>21</v>
      </c>
      <c r="C10" s="10" t="s">
        <v>16</v>
      </c>
      <c r="D10" s="10">
        <v>3800</v>
      </c>
      <c r="E10" s="10">
        <v>9876</v>
      </c>
    </row>
    <row r="11" spans="1:5" x14ac:dyDescent="0.25">
      <c r="A11" s="11" t="s">
        <v>148</v>
      </c>
      <c r="B11" s="11" t="s">
        <v>149</v>
      </c>
      <c r="C11" s="11" t="s">
        <v>8</v>
      </c>
      <c r="D11" s="11">
        <v>4323</v>
      </c>
      <c r="E11" s="11">
        <v>900</v>
      </c>
    </row>
    <row r="12" spans="1:5" x14ac:dyDescent="0.25">
      <c r="A12" s="10" t="s">
        <v>150</v>
      </c>
      <c r="B12" s="10" t="s">
        <v>21</v>
      </c>
      <c r="C12" s="10" t="s">
        <v>20</v>
      </c>
      <c r="D12" s="10">
        <v>11755</v>
      </c>
      <c r="E12" s="10">
        <v>2000</v>
      </c>
    </row>
    <row r="13" spans="1:5" x14ac:dyDescent="0.25">
      <c r="A13" s="11" t="s">
        <v>151</v>
      </c>
      <c r="B13" s="11" t="s">
        <v>152</v>
      </c>
      <c r="C13" s="11" t="s">
        <v>12</v>
      </c>
      <c r="D13" s="11">
        <v>12713</v>
      </c>
      <c r="E13" s="11">
        <v>1907</v>
      </c>
    </row>
    <row r="14" spans="1:5" x14ac:dyDescent="0.25">
      <c r="A14" s="10" t="s">
        <v>153</v>
      </c>
      <c r="B14" s="10" t="s">
        <v>149</v>
      </c>
      <c r="C14" s="10" t="s">
        <v>8</v>
      </c>
      <c r="D14" s="10">
        <v>12209</v>
      </c>
      <c r="E14" s="10">
        <v>1831</v>
      </c>
    </row>
    <row r="15" spans="1:5" x14ac:dyDescent="0.25">
      <c r="A15" s="11" t="s">
        <v>154</v>
      </c>
      <c r="B15" s="11" t="s">
        <v>149</v>
      </c>
      <c r="C15" s="11" t="s">
        <v>12</v>
      </c>
      <c r="D15" s="11">
        <v>2975</v>
      </c>
      <c r="E15" s="11">
        <v>446</v>
      </c>
    </row>
    <row r="16" spans="1:5" x14ac:dyDescent="0.25">
      <c r="A16" s="10" t="s">
        <v>155</v>
      </c>
      <c r="B16" s="10" t="s">
        <v>143</v>
      </c>
      <c r="C16" s="10" t="s">
        <v>8</v>
      </c>
      <c r="D16" s="10">
        <v>5963</v>
      </c>
      <c r="E16" s="10">
        <v>894</v>
      </c>
    </row>
    <row r="17" spans="1:5" x14ac:dyDescent="0.25">
      <c r="A17" s="11" t="s">
        <v>156</v>
      </c>
      <c r="B17" s="11" t="s">
        <v>21</v>
      </c>
      <c r="C17" s="11" t="s">
        <v>16</v>
      </c>
      <c r="D17" s="11">
        <v>14748</v>
      </c>
      <c r="E17" s="11">
        <v>2212</v>
      </c>
    </row>
    <row r="18" spans="1:5" x14ac:dyDescent="0.25">
      <c r="A18" s="10" t="s">
        <v>157</v>
      </c>
      <c r="B18" s="10" t="s">
        <v>143</v>
      </c>
      <c r="C18" s="10" t="s">
        <v>12</v>
      </c>
      <c r="D18" s="10">
        <v>9217</v>
      </c>
      <c r="E18" s="10">
        <v>1383</v>
      </c>
    </row>
    <row r="19" spans="1:5" x14ac:dyDescent="0.25">
      <c r="A19" s="11" t="s">
        <v>158</v>
      </c>
      <c r="B19" s="11" t="s">
        <v>159</v>
      </c>
      <c r="C19" s="11" t="s">
        <v>16</v>
      </c>
      <c r="D19" s="11">
        <v>10505</v>
      </c>
      <c r="E19" s="11">
        <v>1576</v>
      </c>
    </row>
    <row r="20" spans="1:5" x14ac:dyDescent="0.25">
      <c r="A20" s="10" t="s">
        <v>160</v>
      </c>
      <c r="B20" s="10" t="s">
        <v>149</v>
      </c>
      <c r="C20" s="10" t="s">
        <v>8</v>
      </c>
      <c r="D20" s="10">
        <v>10188</v>
      </c>
      <c r="E20" s="10">
        <v>1528</v>
      </c>
    </row>
    <row r="21" spans="1:5" x14ac:dyDescent="0.25">
      <c r="A21" s="11" t="s">
        <v>161</v>
      </c>
      <c r="B21" s="11" t="s">
        <v>152</v>
      </c>
      <c r="C21" s="11" t="s">
        <v>16</v>
      </c>
      <c r="D21" s="11">
        <v>9492</v>
      </c>
      <c r="E21" s="11">
        <v>1424</v>
      </c>
    </row>
    <row r="22" spans="1:5" x14ac:dyDescent="0.25">
      <c r="A22" s="10" t="s">
        <v>162</v>
      </c>
      <c r="B22" s="10" t="s">
        <v>143</v>
      </c>
      <c r="C22" s="10" t="s">
        <v>8</v>
      </c>
      <c r="D22" s="10">
        <v>8664</v>
      </c>
      <c r="E22" s="10">
        <v>1300</v>
      </c>
    </row>
    <row r="23" spans="1:5" x14ac:dyDescent="0.25">
      <c r="A23" s="11" t="s">
        <v>163</v>
      </c>
      <c r="B23" s="11" t="s">
        <v>164</v>
      </c>
      <c r="C23" s="11" t="s">
        <v>16</v>
      </c>
      <c r="D23" s="11">
        <v>13596</v>
      </c>
      <c r="E23" s="11">
        <v>2039</v>
      </c>
    </row>
    <row r="24" spans="1:5" x14ac:dyDescent="0.25">
      <c r="A24" s="10" t="s">
        <v>165</v>
      </c>
      <c r="B24" s="10" t="s">
        <v>159</v>
      </c>
      <c r="C24" s="10" t="s">
        <v>16</v>
      </c>
      <c r="D24" s="10">
        <v>14418</v>
      </c>
      <c r="E24" s="10">
        <v>2163</v>
      </c>
    </row>
    <row r="25" spans="1:5" x14ac:dyDescent="0.25">
      <c r="A25" s="11" t="s">
        <v>166</v>
      </c>
      <c r="B25" s="11" t="s">
        <v>149</v>
      </c>
      <c r="C25" s="11" t="s">
        <v>8</v>
      </c>
      <c r="D25" s="11">
        <v>2487</v>
      </c>
      <c r="E25" s="11">
        <v>999</v>
      </c>
    </row>
  </sheetData>
  <pageMargins left="0.7" right="0.7" top="0.75" bottom="0.75" header="0.3" footer="0.3"/>
  <cellWatches>
    <cellWatch r="B1"/>
    <cellWatch r="B2"/>
    <cellWatch r="B3"/>
  </cellWatch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D29D-AC7A-446C-BD03-7BDBE1151DB0}">
  <sheetPr codeName="Sheet8"/>
  <dimension ref="B1:L132"/>
  <sheetViews>
    <sheetView workbookViewId="0">
      <selection activeCell="C6" sqref="C6"/>
    </sheetView>
  </sheetViews>
  <sheetFormatPr defaultRowHeight="15" x14ac:dyDescent="0.25"/>
  <cols>
    <col min="2" max="2" width="17.140625" customWidth="1"/>
    <col min="3" max="3" width="21.140625" customWidth="1"/>
    <col min="4" max="4" width="11.7109375" customWidth="1"/>
  </cols>
  <sheetData>
    <row r="1" spans="2:12" ht="23.25" x14ac:dyDescent="0.35">
      <c r="B1" s="26" t="s">
        <v>167</v>
      </c>
      <c r="C1" s="27"/>
      <c r="D1" s="25"/>
    </row>
    <row r="2" spans="2:12" x14ac:dyDescent="0.25">
      <c r="B2" s="28" t="s">
        <v>168</v>
      </c>
      <c r="C2" s="25"/>
      <c r="D2" s="25"/>
    </row>
    <row r="3" spans="2:12" x14ac:dyDescent="0.25">
      <c r="B3" s="28" t="s">
        <v>169</v>
      </c>
      <c r="C3" s="25"/>
      <c r="D3" s="25"/>
    </row>
    <row r="5" spans="2:12" x14ac:dyDescent="0.25">
      <c r="B5" s="23" t="s">
        <v>170</v>
      </c>
      <c r="C5" s="22" t="s">
        <v>174</v>
      </c>
    </row>
    <row r="6" spans="2:12" x14ac:dyDescent="0.25">
      <c r="B6" s="24" t="s">
        <v>171</v>
      </c>
      <c r="C6" s="25" t="s">
        <v>172</v>
      </c>
    </row>
    <row r="7" spans="2:12" x14ac:dyDescent="0.25">
      <c r="B7" s="24" t="b">
        <v>1</v>
      </c>
      <c r="C7" s="25" t="b">
        <f t="shared" ref="C7:C11" si="0">ISBLANK(B7)</f>
        <v>0</v>
      </c>
    </row>
    <row r="8" spans="2:12" x14ac:dyDescent="0.25">
      <c r="B8" s="24" t="b">
        <v>0</v>
      </c>
      <c r="C8" s="25" t="b">
        <f t="shared" si="0"/>
        <v>0</v>
      </c>
    </row>
    <row r="9" spans="2:12" x14ac:dyDescent="0.25">
      <c r="B9" s="24"/>
      <c r="C9" s="25" t="b">
        <f t="shared" si="0"/>
        <v>1</v>
      </c>
    </row>
    <row r="10" spans="2:12" x14ac:dyDescent="0.25">
      <c r="B10" s="24" t="s">
        <v>172</v>
      </c>
      <c r="C10" s="25" t="b">
        <f t="shared" si="0"/>
        <v>0</v>
      </c>
    </row>
    <row r="11" spans="2:12" x14ac:dyDescent="0.25">
      <c r="B11" s="24" t="s">
        <v>173</v>
      </c>
      <c r="C11" s="25" t="b">
        <f t="shared" si="0"/>
        <v>0</v>
      </c>
    </row>
    <row r="14" spans="2:12" ht="23.25" x14ac:dyDescent="0.35">
      <c r="B14" s="29" t="s">
        <v>175</v>
      </c>
      <c r="C14" s="24"/>
      <c r="D14" s="24"/>
      <c r="E14" s="24"/>
      <c r="F14" s="25"/>
      <c r="G14" s="25"/>
      <c r="H14" s="25"/>
      <c r="I14" s="25"/>
      <c r="J14" s="25"/>
      <c r="K14" s="25"/>
      <c r="L14" s="25"/>
    </row>
    <row r="15" spans="2:12" x14ac:dyDescent="0.25">
      <c r="B15" s="28" t="s">
        <v>176</v>
      </c>
      <c r="C15" s="28"/>
      <c r="D15" s="28"/>
      <c r="E15" s="28"/>
      <c r="F15" s="25"/>
      <c r="G15" s="25"/>
      <c r="H15" s="25"/>
      <c r="I15" s="25"/>
      <c r="J15" s="25"/>
      <c r="K15" s="25"/>
      <c r="L15" s="25"/>
    </row>
    <row r="17" spans="2:11" x14ac:dyDescent="0.25">
      <c r="B17" s="23" t="s">
        <v>170</v>
      </c>
      <c r="C17" s="22" t="s">
        <v>178</v>
      </c>
    </row>
    <row r="18" spans="2:11" x14ac:dyDescent="0.25">
      <c r="B18" s="24" t="e">
        <v>#VALUE!</v>
      </c>
      <c r="C18" s="25" t="b">
        <f>ISERR(B18)</f>
        <v>1</v>
      </c>
    </row>
    <row r="19" spans="2:11" x14ac:dyDescent="0.25">
      <c r="B19" s="24" t="e">
        <v>#REF!</v>
      </c>
      <c r="C19" s="25" t="b">
        <f t="shared" ref="C19:C25" si="1">ISERR(B19)</f>
        <v>1</v>
      </c>
    </row>
    <row r="20" spans="2:11" x14ac:dyDescent="0.25">
      <c r="B20" s="24" t="e">
        <v>#DIV/0!</v>
      </c>
      <c r="C20" s="25" t="b">
        <f t="shared" si="1"/>
        <v>1</v>
      </c>
    </row>
    <row r="21" spans="2:11" x14ac:dyDescent="0.25">
      <c r="B21" s="24" t="e">
        <v>#NUM!</v>
      </c>
      <c r="C21" s="25" t="b">
        <f t="shared" si="1"/>
        <v>1</v>
      </c>
    </row>
    <row r="22" spans="2:11" x14ac:dyDescent="0.25">
      <c r="B22" s="24" t="e">
        <v>#NAME?</v>
      </c>
      <c r="C22" s="25" t="b">
        <f t="shared" si="1"/>
        <v>1</v>
      </c>
    </row>
    <row r="23" spans="2:11" x14ac:dyDescent="0.25">
      <c r="B23" s="24" t="e">
        <v>#NULL!</v>
      </c>
      <c r="C23" s="25" t="b">
        <f t="shared" si="1"/>
        <v>1</v>
      </c>
    </row>
    <row r="24" spans="2:11" x14ac:dyDescent="0.25">
      <c r="B24" s="24" t="e">
        <v>#N/A</v>
      </c>
      <c r="C24" s="25" t="b">
        <f t="shared" si="1"/>
        <v>0</v>
      </c>
    </row>
    <row r="25" spans="2:11" x14ac:dyDescent="0.25">
      <c r="B25" s="24" t="s">
        <v>177</v>
      </c>
      <c r="C25" s="25" t="b">
        <f t="shared" si="1"/>
        <v>0</v>
      </c>
    </row>
    <row r="28" spans="2:11" ht="23.25" x14ac:dyDescent="0.35">
      <c r="B28" s="29" t="s">
        <v>179</v>
      </c>
      <c r="C28" s="24"/>
      <c r="D28" s="24"/>
      <c r="E28" s="24"/>
      <c r="F28" s="25"/>
      <c r="G28" s="25"/>
      <c r="H28" s="25"/>
      <c r="I28" s="25"/>
      <c r="J28" s="25"/>
      <c r="K28" s="25"/>
    </row>
    <row r="29" spans="2:11" x14ac:dyDescent="0.25">
      <c r="B29" s="28" t="s">
        <v>180</v>
      </c>
      <c r="C29" s="28"/>
      <c r="D29" s="28"/>
      <c r="E29" s="28"/>
      <c r="F29" s="25"/>
      <c r="G29" s="25"/>
      <c r="H29" s="25"/>
      <c r="I29" s="25"/>
      <c r="J29" s="25"/>
      <c r="K29" s="25"/>
    </row>
    <row r="31" spans="2:11" x14ac:dyDescent="0.25">
      <c r="B31" s="23" t="s">
        <v>170</v>
      </c>
      <c r="C31" s="22" t="s">
        <v>178</v>
      </c>
    </row>
    <row r="32" spans="2:11" x14ac:dyDescent="0.25">
      <c r="B32" s="24" t="e">
        <v>#VALUE!</v>
      </c>
      <c r="C32" s="25" t="b">
        <f>ISERROR(B32)</f>
        <v>1</v>
      </c>
    </row>
    <row r="33" spans="2:4" x14ac:dyDescent="0.25">
      <c r="B33" s="24" t="e">
        <v>#REF!</v>
      </c>
      <c r="C33" s="25" t="b">
        <f>ISERROR(B33)</f>
        <v>1</v>
      </c>
    </row>
    <row r="34" spans="2:4" x14ac:dyDescent="0.25">
      <c r="B34" s="24" t="e">
        <v>#DIV/0!</v>
      </c>
      <c r="C34" s="25" t="b">
        <f t="shared" ref="C34:C39" si="2">ISERROR(B34)</f>
        <v>1</v>
      </c>
    </row>
    <row r="35" spans="2:4" x14ac:dyDescent="0.25">
      <c r="B35" s="24" t="e">
        <v>#NUM!</v>
      </c>
      <c r="C35" s="25" t="b">
        <f t="shared" si="2"/>
        <v>1</v>
      </c>
    </row>
    <row r="36" spans="2:4" x14ac:dyDescent="0.25">
      <c r="B36" s="24" t="e">
        <v>#NAME?</v>
      </c>
      <c r="C36" s="25" t="b">
        <f t="shared" si="2"/>
        <v>1</v>
      </c>
    </row>
    <row r="37" spans="2:4" x14ac:dyDescent="0.25">
      <c r="B37" s="24" t="e">
        <v>#NULL!</v>
      </c>
      <c r="C37" s="25" t="b">
        <f t="shared" si="2"/>
        <v>1</v>
      </c>
    </row>
    <row r="38" spans="2:4" x14ac:dyDescent="0.25">
      <c r="B38" s="24" t="e">
        <v>#N/A</v>
      </c>
      <c r="C38" s="25" t="b">
        <f t="shared" si="2"/>
        <v>1</v>
      </c>
    </row>
    <row r="39" spans="2:4" x14ac:dyDescent="0.25">
      <c r="B39" s="24" t="s">
        <v>177</v>
      </c>
      <c r="C39" s="25" t="b">
        <f t="shared" si="2"/>
        <v>0</v>
      </c>
    </row>
    <row r="42" spans="2:4" ht="23.25" x14ac:dyDescent="0.35">
      <c r="B42" s="29" t="s">
        <v>181</v>
      </c>
      <c r="C42" s="25"/>
      <c r="D42" s="25"/>
    </row>
    <row r="43" spans="2:4" x14ac:dyDescent="0.25">
      <c r="B43" s="28" t="s">
        <v>182</v>
      </c>
      <c r="C43" s="25"/>
      <c r="D43" s="25"/>
    </row>
    <row r="45" spans="2:4" x14ac:dyDescent="0.25">
      <c r="B45" s="23" t="s">
        <v>170</v>
      </c>
      <c r="C45" s="22" t="s">
        <v>178</v>
      </c>
    </row>
    <row r="46" spans="2:4" x14ac:dyDescent="0.25">
      <c r="B46" s="24">
        <v>5</v>
      </c>
      <c r="C46" s="25" t="b">
        <f>ISEVEN(B46)</f>
        <v>0</v>
      </c>
    </row>
    <row r="47" spans="2:4" x14ac:dyDescent="0.25">
      <c r="B47" s="24">
        <v>10</v>
      </c>
      <c r="C47" s="25" t="b">
        <f t="shared" ref="C47:C49" si="3">ISEVEN(B47)</f>
        <v>1</v>
      </c>
    </row>
    <row r="48" spans="2:4" x14ac:dyDescent="0.25">
      <c r="B48" s="24" t="s">
        <v>183</v>
      </c>
      <c r="C48" s="25" t="e">
        <f t="shared" si="3"/>
        <v>#VALUE!</v>
      </c>
    </row>
    <row r="49" spans="2:9" x14ac:dyDescent="0.25">
      <c r="B49" s="24" t="s">
        <v>184</v>
      </c>
      <c r="C49" s="25" t="e">
        <f t="shared" si="3"/>
        <v>#VALUE!</v>
      </c>
    </row>
    <row r="52" spans="2:9" ht="23.25" x14ac:dyDescent="0.35">
      <c r="B52" s="29" t="s">
        <v>185</v>
      </c>
      <c r="C52" s="25"/>
      <c r="D52" s="25"/>
    </row>
    <row r="53" spans="2:9" x14ac:dyDescent="0.25">
      <c r="B53" s="28" t="s">
        <v>186</v>
      </c>
      <c r="C53" s="25"/>
      <c r="D53" s="25"/>
    </row>
    <row r="55" spans="2:9" x14ac:dyDescent="0.25">
      <c r="B55" s="23" t="s">
        <v>170</v>
      </c>
      <c r="C55" s="22" t="s">
        <v>178</v>
      </c>
    </row>
    <row r="56" spans="2:9" x14ac:dyDescent="0.25">
      <c r="B56" s="24">
        <v>5</v>
      </c>
      <c r="C56" s="25" t="b">
        <f>ISODD(B56)</f>
        <v>1</v>
      </c>
    </row>
    <row r="57" spans="2:9" x14ac:dyDescent="0.25">
      <c r="B57" s="24">
        <v>10</v>
      </c>
      <c r="C57" s="25" t="b">
        <f t="shared" ref="C57:C59" si="4">ISODD(B57)</f>
        <v>0</v>
      </c>
    </row>
    <row r="58" spans="2:9" x14ac:dyDescent="0.25">
      <c r="B58" s="24" t="s">
        <v>183</v>
      </c>
      <c r="C58" s="25" t="e">
        <f t="shared" si="4"/>
        <v>#VALUE!</v>
      </c>
    </row>
    <row r="59" spans="2:9" x14ac:dyDescent="0.25">
      <c r="B59" s="24" t="s">
        <v>184</v>
      </c>
      <c r="C59" s="25" t="e">
        <f t="shared" si="4"/>
        <v>#VALUE!</v>
      </c>
    </row>
    <row r="62" spans="2:9" ht="23.25" x14ac:dyDescent="0.35">
      <c r="B62" s="29" t="s">
        <v>187</v>
      </c>
      <c r="C62" s="24"/>
      <c r="D62" s="24"/>
      <c r="E62" s="24"/>
      <c r="F62" s="25"/>
      <c r="G62" s="25"/>
      <c r="H62" s="25"/>
      <c r="I62" s="25"/>
    </row>
    <row r="63" spans="2:9" x14ac:dyDescent="0.25">
      <c r="B63" s="28" t="s">
        <v>188</v>
      </c>
      <c r="C63" s="28"/>
      <c r="D63" s="28"/>
      <c r="E63" s="28"/>
      <c r="F63" s="25"/>
      <c r="G63" s="25"/>
      <c r="H63" s="25"/>
      <c r="I63" s="25"/>
    </row>
    <row r="65" spans="2:8" x14ac:dyDescent="0.25">
      <c r="B65" s="23" t="s">
        <v>170</v>
      </c>
      <c r="C65" s="22" t="s">
        <v>178</v>
      </c>
    </row>
    <row r="66" spans="2:8" x14ac:dyDescent="0.25">
      <c r="B66" s="32">
        <f ca="1">TODAY()</f>
        <v>46312</v>
      </c>
      <c r="C66" s="25" t="b">
        <f>_xlfn.ISFORMULA(B66)</f>
        <v>1</v>
      </c>
    </row>
    <row r="67" spans="2:8" x14ac:dyDescent="0.25">
      <c r="B67" s="32">
        <v>42308</v>
      </c>
      <c r="C67" s="25" t="b">
        <f t="shared" ref="C67:C70" si="5">_xlfn.ISFORMULA(B67)</f>
        <v>0</v>
      </c>
    </row>
    <row r="68" spans="2:8" x14ac:dyDescent="0.25">
      <c r="B68" s="31">
        <f ca="1">NOW()</f>
        <v>46312.447446064813</v>
      </c>
      <c r="C68" s="25" t="b">
        <f t="shared" si="5"/>
        <v>1</v>
      </c>
    </row>
    <row r="69" spans="2:8" x14ac:dyDescent="0.25">
      <c r="B69" s="24" t="s">
        <v>189</v>
      </c>
      <c r="C69" s="25" t="b">
        <f t="shared" si="5"/>
        <v>0</v>
      </c>
    </row>
    <row r="70" spans="2:8" x14ac:dyDescent="0.25">
      <c r="B70" s="24" t="s">
        <v>190</v>
      </c>
      <c r="C70" s="25" t="b">
        <f t="shared" si="5"/>
        <v>0</v>
      </c>
    </row>
    <row r="73" spans="2:8" ht="23.25" x14ac:dyDescent="0.35">
      <c r="B73" s="29" t="s">
        <v>191</v>
      </c>
      <c r="C73" s="24"/>
      <c r="D73" s="24"/>
      <c r="E73" s="24"/>
      <c r="F73" s="25"/>
      <c r="G73" s="25"/>
      <c r="H73" s="25"/>
    </row>
    <row r="74" spans="2:8" x14ac:dyDescent="0.25">
      <c r="B74" s="28" t="s">
        <v>192</v>
      </c>
      <c r="C74" s="28"/>
      <c r="D74" s="28"/>
      <c r="E74" s="28"/>
      <c r="F74" s="25"/>
      <c r="G74" s="25"/>
      <c r="H74" s="25"/>
    </row>
    <row r="76" spans="2:8" x14ac:dyDescent="0.25">
      <c r="B76" s="23" t="s">
        <v>170</v>
      </c>
      <c r="C76" s="22" t="s">
        <v>178</v>
      </c>
    </row>
    <row r="77" spans="2:8" x14ac:dyDescent="0.25">
      <c r="B77" s="32" t="b">
        <v>1</v>
      </c>
      <c r="C77" s="25" t="b">
        <f>ISLOGICAL(B77)</f>
        <v>1</v>
      </c>
    </row>
    <row r="78" spans="2:8" x14ac:dyDescent="0.25">
      <c r="B78" s="32" t="b">
        <v>0</v>
      </c>
      <c r="C78" s="25" t="b">
        <f t="shared" ref="C78:C79" si="6">ISLOGICAL(B78)</f>
        <v>1</v>
      </c>
    </row>
    <row r="79" spans="2:8" x14ac:dyDescent="0.25">
      <c r="B79" s="31" t="s">
        <v>193</v>
      </c>
      <c r="C79" s="25" t="b">
        <f t="shared" si="6"/>
        <v>0</v>
      </c>
    </row>
    <row r="80" spans="2:8" x14ac:dyDescent="0.25">
      <c r="B80" s="24"/>
      <c r="C80" s="25" t="b">
        <f>ISLOGICAL(B77=B78)</f>
        <v>1</v>
      </c>
    </row>
    <row r="83" spans="2:6" ht="23.25" x14ac:dyDescent="0.35">
      <c r="B83" s="29" t="s">
        <v>194</v>
      </c>
      <c r="C83" s="24"/>
      <c r="D83" s="25"/>
      <c r="E83" s="25"/>
    </row>
    <row r="84" spans="2:6" x14ac:dyDescent="0.25">
      <c r="B84" s="28" t="s">
        <v>195</v>
      </c>
      <c r="C84" s="28"/>
      <c r="D84" s="25"/>
      <c r="E84" s="25"/>
    </row>
    <row r="86" spans="2:6" x14ac:dyDescent="0.25">
      <c r="B86" s="23" t="s">
        <v>170</v>
      </c>
      <c r="C86" s="22" t="s">
        <v>178</v>
      </c>
    </row>
    <row r="87" spans="2:6" x14ac:dyDescent="0.25">
      <c r="B87" s="32" t="e">
        <v>#VALUE!</v>
      </c>
      <c r="C87" s="25" t="b">
        <f>ISNA(B87)</f>
        <v>0</v>
      </c>
    </row>
    <row r="88" spans="2:6" x14ac:dyDescent="0.25">
      <c r="B88" s="32" t="e">
        <v>#REF!</v>
      </c>
      <c r="C88" s="25" t="b">
        <f t="shared" ref="C88:C90" si="7">ISNA(B88)</f>
        <v>0</v>
      </c>
    </row>
    <row r="89" spans="2:6" x14ac:dyDescent="0.25">
      <c r="B89" s="31" t="e">
        <v>#NAME?</v>
      </c>
      <c r="C89" s="25" t="b">
        <f t="shared" si="7"/>
        <v>0</v>
      </c>
    </row>
    <row r="90" spans="2:6" x14ac:dyDescent="0.25">
      <c r="B90" s="24" t="e">
        <v>#N/A</v>
      </c>
      <c r="C90" s="25" t="b">
        <f t="shared" si="7"/>
        <v>1</v>
      </c>
    </row>
    <row r="93" spans="2:6" ht="23.25" x14ac:dyDescent="0.35">
      <c r="B93" s="29" t="s">
        <v>196</v>
      </c>
      <c r="C93" s="24"/>
      <c r="D93" s="25"/>
      <c r="E93" s="25"/>
      <c r="F93" s="25"/>
    </row>
    <row r="94" spans="2:6" x14ac:dyDescent="0.25">
      <c r="B94" s="28" t="s">
        <v>197</v>
      </c>
      <c r="C94" s="28"/>
      <c r="D94" s="25"/>
      <c r="E94" s="25"/>
      <c r="F94" s="25"/>
    </row>
    <row r="96" spans="2:6" x14ac:dyDescent="0.25">
      <c r="B96" s="23" t="s">
        <v>170</v>
      </c>
      <c r="C96" s="22" t="s">
        <v>178</v>
      </c>
    </row>
    <row r="97" spans="2:6" x14ac:dyDescent="0.25">
      <c r="B97" s="32" t="s">
        <v>198</v>
      </c>
      <c r="C97" s="25" t="b">
        <f>ISNUMBER(B97)</f>
        <v>0</v>
      </c>
    </row>
    <row r="98" spans="2:6" x14ac:dyDescent="0.25">
      <c r="B98" s="24">
        <v>15</v>
      </c>
      <c r="C98" s="25" t="b">
        <f t="shared" ref="C98:C101" si="8">ISNUMBER(B98)</f>
        <v>1</v>
      </c>
    </row>
    <row r="99" spans="2:6" x14ac:dyDescent="0.25">
      <c r="B99" s="31" t="e">
        <v>#VALUE!</v>
      </c>
      <c r="C99" s="25" t="b">
        <f t="shared" si="8"/>
        <v>0</v>
      </c>
    </row>
    <row r="100" spans="2:6" x14ac:dyDescent="0.25">
      <c r="B100" s="24">
        <v>89</v>
      </c>
      <c r="C100" s="25" t="b">
        <f t="shared" si="8"/>
        <v>1</v>
      </c>
    </row>
    <row r="101" spans="2:6" x14ac:dyDescent="0.25">
      <c r="B101" s="32">
        <v>46267</v>
      </c>
      <c r="C101" s="25" t="b">
        <f t="shared" si="8"/>
        <v>1</v>
      </c>
    </row>
    <row r="104" spans="2:6" ht="23.25" x14ac:dyDescent="0.35">
      <c r="B104" s="29" t="s">
        <v>199</v>
      </c>
      <c r="C104" s="24"/>
      <c r="D104" s="25"/>
      <c r="E104" s="25"/>
      <c r="F104" s="25"/>
    </row>
    <row r="105" spans="2:6" x14ac:dyDescent="0.25">
      <c r="B105" s="28" t="s">
        <v>200</v>
      </c>
      <c r="C105" s="28"/>
      <c r="D105" s="25"/>
      <c r="E105" s="25"/>
      <c r="F105" s="25"/>
    </row>
    <row r="107" spans="2:6" x14ac:dyDescent="0.25">
      <c r="B107" s="23" t="s">
        <v>170</v>
      </c>
      <c r="C107" s="21" t="s">
        <v>178</v>
      </c>
    </row>
    <row r="108" spans="2:6" x14ac:dyDescent="0.25">
      <c r="B108" s="32"/>
      <c r="C108" s="25" t="b">
        <f>ISREF(B1)</f>
        <v>1</v>
      </c>
    </row>
    <row r="109" spans="2:6" x14ac:dyDescent="0.25">
      <c r="B109" s="24"/>
      <c r="C109" s="24" t="b">
        <f>ISREF(B1:B10)</f>
        <v>1</v>
      </c>
    </row>
    <row r="110" spans="2:6" x14ac:dyDescent="0.25">
      <c r="B110" s="31"/>
      <c r="C110" s="24" t="b">
        <f>ISREF(B1:D4 C1:C5)</f>
        <v>1</v>
      </c>
    </row>
    <row r="111" spans="2:6" x14ac:dyDescent="0.25">
      <c r="B111" s="24"/>
      <c r="C111" s="24" t="b">
        <v>0</v>
      </c>
    </row>
    <row r="112" spans="2:6" x14ac:dyDescent="0.25">
      <c r="B112" s="32"/>
      <c r="C112" s="24" t="b">
        <f ca="1">ISREF( INDIRECT( "B1" ) )</f>
        <v>1</v>
      </c>
    </row>
    <row r="115" spans="2:6" ht="23.25" x14ac:dyDescent="0.35">
      <c r="B115" s="29" t="s">
        <v>201</v>
      </c>
      <c r="C115" s="24"/>
      <c r="D115" s="25"/>
    </row>
    <row r="116" spans="2:6" x14ac:dyDescent="0.25">
      <c r="B116" s="28" t="s">
        <v>202</v>
      </c>
      <c r="C116" s="28"/>
      <c r="D116" s="25"/>
    </row>
    <row r="118" spans="2:6" x14ac:dyDescent="0.25">
      <c r="B118" s="23" t="s">
        <v>170</v>
      </c>
      <c r="C118" s="22" t="s">
        <v>178</v>
      </c>
    </row>
    <row r="119" spans="2:6" x14ac:dyDescent="0.25">
      <c r="B119" s="32" t="s">
        <v>184</v>
      </c>
      <c r="C119" s="25" t="b">
        <f>ISTEXT(B119)</f>
        <v>1</v>
      </c>
    </row>
    <row r="120" spans="2:6" x14ac:dyDescent="0.25">
      <c r="B120" s="24" t="s">
        <v>203</v>
      </c>
      <c r="C120" s="25" t="b">
        <f t="shared" ref="C120:C122" si="9">ISTEXT(B120)</f>
        <v>1</v>
      </c>
    </row>
    <row r="121" spans="2:6" x14ac:dyDescent="0.25">
      <c r="B121" s="31" t="e">
        <v>#VALUE!</v>
      </c>
      <c r="C121" s="25" t="b">
        <f t="shared" si="9"/>
        <v>0</v>
      </c>
    </row>
    <row r="122" spans="2:6" x14ac:dyDescent="0.25">
      <c r="B122" s="24">
        <v>45</v>
      </c>
      <c r="C122" s="25" t="b">
        <f t="shared" si="9"/>
        <v>0</v>
      </c>
    </row>
    <row r="125" spans="2:6" ht="23.25" x14ac:dyDescent="0.35">
      <c r="B125" s="29" t="s">
        <v>204</v>
      </c>
      <c r="C125" s="24"/>
      <c r="D125" s="24"/>
      <c r="E125" s="24"/>
      <c r="F125" s="25"/>
    </row>
    <row r="126" spans="2:6" x14ac:dyDescent="0.25">
      <c r="B126" s="28" t="s">
        <v>205</v>
      </c>
      <c r="C126" s="28"/>
      <c r="D126" s="28"/>
      <c r="E126" s="28"/>
      <c r="F126" s="25"/>
    </row>
    <row r="128" spans="2:6" x14ac:dyDescent="0.25">
      <c r="B128" s="23" t="s">
        <v>170</v>
      </c>
      <c r="C128" s="22" t="s">
        <v>178</v>
      </c>
    </row>
    <row r="129" spans="2:3" x14ac:dyDescent="0.25">
      <c r="B129" s="32" t="b">
        <v>1</v>
      </c>
      <c r="C129" s="25" t="b">
        <f>ISNONTEXT(B129)</f>
        <v>1</v>
      </c>
    </row>
    <row r="130" spans="2:3" x14ac:dyDescent="0.25">
      <c r="B130" s="24" t="s">
        <v>206</v>
      </c>
      <c r="C130" s="25" t="b">
        <f t="shared" ref="C130:C132" si="10">ISNONTEXT(B130)</f>
        <v>0</v>
      </c>
    </row>
    <row r="131" spans="2:3" x14ac:dyDescent="0.25">
      <c r="B131" s="31">
        <v>55</v>
      </c>
      <c r="C131" s="25" t="b">
        <f t="shared" si="10"/>
        <v>1</v>
      </c>
    </row>
    <row r="132" spans="2:3" x14ac:dyDescent="0.25">
      <c r="B132" s="24" t="e">
        <v>#VALUE!</v>
      </c>
      <c r="C132" s="25" t="b">
        <f t="shared" si="1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86A0-B00A-4DAE-B678-98616166736B}">
  <sheetPr codeName="Sheet9"/>
  <dimension ref="B2:P241"/>
  <sheetViews>
    <sheetView topLeftCell="A229" workbookViewId="0">
      <selection activeCell="H215" sqref="H215"/>
    </sheetView>
  </sheetViews>
  <sheetFormatPr defaultRowHeight="15" x14ac:dyDescent="0.25"/>
  <cols>
    <col min="2" max="2" width="11.7109375" customWidth="1"/>
    <col min="3" max="3" width="12" bestFit="1" customWidth="1"/>
    <col min="4" max="4" width="15.5703125" bestFit="1" customWidth="1"/>
    <col min="8" max="8" width="10" customWidth="1"/>
  </cols>
  <sheetData>
    <row r="2" spans="2:9" ht="23.25" x14ac:dyDescent="0.35">
      <c r="B2" s="29" t="s">
        <v>207</v>
      </c>
      <c r="C2" s="24"/>
      <c r="D2" s="24"/>
      <c r="E2" s="24"/>
      <c r="F2" s="24"/>
      <c r="G2" s="25"/>
      <c r="H2" s="25"/>
    </row>
    <row r="3" spans="2:9" x14ac:dyDescent="0.25">
      <c r="B3" s="28" t="s">
        <v>208</v>
      </c>
      <c r="C3" s="28"/>
      <c r="D3" s="28"/>
      <c r="E3" s="28"/>
      <c r="F3" s="28"/>
      <c r="G3" s="25"/>
      <c r="H3" s="25"/>
    </row>
    <row r="5" spans="2:9" x14ac:dyDescent="0.25">
      <c r="B5" s="23" t="s">
        <v>170</v>
      </c>
      <c r="C5" s="22" t="s">
        <v>178</v>
      </c>
    </row>
    <row r="6" spans="2:9" x14ac:dyDescent="0.25">
      <c r="B6" s="24">
        <v>-5</v>
      </c>
      <c r="C6" s="25">
        <f>SUM(B6:B11)</f>
        <v>40</v>
      </c>
    </row>
    <row r="7" spans="2:9" x14ac:dyDescent="0.25">
      <c r="B7" s="24">
        <v>15</v>
      </c>
      <c r="C7" s="25">
        <f>SUM(B6:B8,"5",TRUE,FALSE)</f>
        <v>46</v>
      </c>
    </row>
    <row r="8" spans="2:9" x14ac:dyDescent="0.25">
      <c r="B8" s="24">
        <v>30</v>
      </c>
    </row>
    <row r="9" spans="2:9" x14ac:dyDescent="0.25">
      <c r="B9" s="24" t="s">
        <v>209</v>
      </c>
    </row>
    <row r="10" spans="2:9" x14ac:dyDescent="0.25">
      <c r="B10" s="24" t="b">
        <v>1</v>
      </c>
    </row>
    <row r="11" spans="2:9" x14ac:dyDescent="0.25">
      <c r="B11" s="24" t="b">
        <v>0</v>
      </c>
    </row>
    <row r="14" spans="2:9" ht="23.25" x14ac:dyDescent="0.35">
      <c r="B14" s="29" t="s">
        <v>210</v>
      </c>
      <c r="C14" s="24"/>
      <c r="D14" s="24"/>
      <c r="E14" s="24"/>
      <c r="F14" s="24"/>
      <c r="G14" s="30"/>
      <c r="H14" s="24"/>
      <c r="I14" s="25"/>
    </row>
    <row r="15" spans="2:9" x14ac:dyDescent="0.25">
      <c r="B15" s="28" t="s">
        <v>211</v>
      </c>
      <c r="C15" s="28"/>
      <c r="D15" s="28"/>
      <c r="E15" s="28"/>
      <c r="F15" s="28"/>
      <c r="G15" s="28"/>
      <c r="H15" s="28"/>
      <c r="I15" s="25"/>
    </row>
    <row r="17" spans="2:9" x14ac:dyDescent="0.25">
      <c r="B17" s="23" t="s">
        <v>170</v>
      </c>
      <c r="C17" s="22" t="s">
        <v>178</v>
      </c>
    </row>
    <row r="18" spans="2:9" x14ac:dyDescent="0.25">
      <c r="B18" s="24">
        <v>-5</v>
      </c>
      <c r="C18">
        <f>AVERAGE(B18:B23)</f>
        <v>13.333333333333334</v>
      </c>
    </row>
    <row r="19" spans="2:9" x14ac:dyDescent="0.25">
      <c r="B19" s="24">
        <v>15</v>
      </c>
      <c r="C19">
        <f>AVERAGE(B18:B20,"5",TRUE,FALSE)</f>
        <v>7.666666666666667</v>
      </c>
    </row>
    <row r="20" spans="2:9" x14ac:dyDescent="0.25">
      <c r="B20" s="24">
        <v>30</v>
      </c>
    </row>
    <row r="21" spans="2:9" x14ac:dyDescent="0.25">
      <c r="B21" s="24" t="s">
        <v>209</v>
      </c>
    </row>
    <row r="22" spans="2:9" x14ac:dyDescent="0.25">
      <c r="B22" s="24" t="b">
        <v>1</v>
      </c>
    </row>
    <row r="23" spans="2:9" x14ac:dyDescent="0.25">
      <c r="B23" s="24" t="b">
        <v>0</v>
      </c>
    </row>
    <row r="26" spans="2:9" ht="23.25" x14ac:dyDescent="0.35">
      <c r="B26" s="29" t="s">
        <v>212</v>
      </c>
      <c r="C26" s="24"/>
      <c r="D26" s="24"/>
      <c r="E26" s="24"/>
      <c r="F26" s="24"/>
      <c r="G26" s="30"/>
      <c r="H26" s="24"/>
      <c r="I26" s="25"/>
    </row>
    <row r="27" spans="2:9" x14ac:dyDescent="0.25">
      <c r="B27" s="28" t="s">
        <v>213</v>
      </c>
      <c r="C27" s="28"/>
      <c r="D27" s="28"/>
      <c r="E27" s="28"/>
      <c r="F27" s="28"/>
      <c r="G27" s="28"/>
      <c r="H27" s="28"/>
      <c r="I27" s="25"/>
    </row>
    <row r="29" spans="2:9" x14ac:dyDescent="0.25">
      <c r="B29" s="23" t="s">
        <v>170</v>
      </c>
      <c r="C29" s="22" t="s">
        <v>178</v>
      </c>
    </row>
    <row r="30" spans="2:9" x14ac:dyDescent="0.25">
      <c r="B30" s="24">
        <v>-5</v>
      </c>
      <c r="C30" s="25">
        <f>AVERAGEA(B30:B35)</f>
        <v>6.833333333333333</v>
      </c>
    </row>
    <row r="31" spans="2:9" x14ac:dyDescent="0.25">
      <c r="B31" s="24">
        <v>15</v>
      </c>
      <c r="C31" s="25">
        <f>AVERAGEA(B30:B32,"5",TRUE,FALSE)</f>
        <v>7.666666666666667</v>
      </c>
    </row>
    <row r="32" spans="2:9" x14ac:dyDescent="0.25">
      <c r="B32" s="24">
        <v>30</v>
      </c>
    </row>
    <row r="33" spans="2:6" x14ac:dyDescent="0.25">
      <c r="B33" s="24" t="s">
        <v>209</v>
      </c>
    </row>
    <row r="34" spans="2:6" x14ac:dyDescent="0.25">
      <c r="B34" s="24" t="b">
        <v>1</v>
      </c>
    </row>
    <row r="35" spans="2:6" x14ac:dyDescent="0.25">
      <c r="B35" s="24" t="b">
        <v>0</v>
      </c>
    </row>
    <row r="37" spans="2:6" ht="23.25" x14ac:dyDescent="0.35">
      <c r="B37" s="29" t="s">
        <v>214</v>
      </c>
      <c r="C37" s="24"/>
      <c r="D37" s="24"/>
      <c r="E37" s="24"/>
      <c r="F37" s="24"/>
    </row>
    <row r="38" spans="2:6" x14ac:dyDescent="0.25">
      <c r="B38" s="28" t="s">
        <v>215</v>
      </c>
      <c r="C38" s="28"/>
      <c r="D38" s="28"/>
      <c r="E38" s="28"/>
      <c r="F38" s="28"/>
    </row>
    <row r="40" spans="2:6" x14ac:dyDescent="0.25">
      <c r="B40" s="23" t="s">
        <v>170</v>
      </c>
      <c r="C40" s="22" t="s">
        <v>178</v>
      </c>
    </row>
    <row r="41" spans="2:6" x14ac:dyDescent="0.25">
      <c r="B41" s="24">
        <v>-5</v>
      </c>
      <c r="C41" s="25">
        <f>COUNT(B41:B46)</f>
        <v>3</v>
      </c>
    </row>
    <row r="42" spans="2:6" x14ac:dyDescent="0.25">
      <c r="B42" s="24">
        <v>15</v>
      </c>
      <c r="C42" s="25">
        <f>COUNT(B41:B43,"5",TRUE,FALSE)</f>
        <v>6</v>
      </c>
    </row>
    <row r="43" spans="2:6" x14ac:dyDescent="0.25">
      <c r="B43" s="24">
        <v>30</v>
      </c>
    </row>
    <row r="44" spans="2:6" x14ac:dyDescent="0.25">
      <c r="B44" s="24" t="s">
        <v>209</v>
      </c>
    </row>
    <row r="45" spans="2:6" x14ac:dyDescent="0.25">
      <c r="B45" s="24" t="b">
        <v>1</v>
      </c>
    </row>
    <row r="46" spans="2:6" x14ac:dyDescent="0.25">
      <c r="B46" s="24" t="b">
        <v>0</v>
      </c>
    </row>
    <row r="49" spans="2:9" ht="23.25" x14ac:dyDescent="0.35">
      <c r="B49" s="29" t="s">
        <v>216</v>
      </c>
      <c r="C49" s="24"/>
      <c r="D49" s="24"/>
      <c r="E49" s="24"/>
      <c r="F49" s="24"/>
      <c r="G49" s="24"/>
    </row>
    <row r="50" spans="2:9" x14ac:dyDescent="0.25">
      <c r="B50" s="28" t="s">
        <v>217</v>
      </c>
      <c r="C50" s="28"/>
      <c r="D50" s="28"/>
      <c r="E50" s="28"/>
      <c r="F50" s="28"/>
      <c r="G50" s="28"/>
    </row>
    <row r="53" spans="2:9" x14ac:dyDescent="0.25">
      <c r="B53" s="23" t="s">
        <v>170</v>
      </c>
      <c r="C53" s="22" t="s">
        <v>178</v>
      </c>
      <c r="I53" t="s">
        <v>172</v>
      </c>
    </row>
    <row r="54" spans="2:9" x14ac:dyDescent="0.25">
      <c r="B54" s="24">
        <v>-5</v>
      </c>
      <c r="C54" s="25">
        <f>COUNTA(B54:B59)</f>
        <v>6</v>
      </c>
    </row>
    <row r="55" spans="2:9" x14ac:dyDescent="0.25">
      <c r="B55" s="24">
        <v>15</v>
      </c>
      <c r="C55" s="25">
        <f>COUNTA(B54:B56,"5",TRUE,FALSE)</f>
        <v>6</v>
      </c>
    </row>
    <row r="56" spans="2:9" x14ac:dyDescent="0.25">
      <c r="B56" s="24">
        <v>30</v>
      </c>
    </row>
    <row r="57" spans="2:9" x14ac:dyDescent="0.25">
      <c r="B57" s="24" t="s">
        <v>172</v>
      </c>
    </row>
    <row r="58" spans="2:9" x14ac:dyDescent="0.25">
      <c r="B58" s="24" t="b">
        <v>1</v>
      </c>
    </row>
    <row r="59" spans="2:9" x14ac:dyDescent="0.25">
      <c r="B59" s="24" t="b">
        <v>0</v>
      </c>
    </row>
    <row r="62" spans="2:9" ht="23.25" x14ac:dyDescent="0.35">
      <c r="B62" s="29" t="s">
        <v>218</v>
      </c>
      <c r="C62" s="24"/>
      <c r="D62" s="24"/>
      <c r="E62" s="24"/>
      <c r="F62" s="24"/>
      <c r="G62" s="24"/>
      <c r="H62" s="25"/>
    </row>
    <row r="63" spans="2:9" x14ac:dyDescent="0.25">
      <c r="B63" s="28" t="s">
        <v>219</v>
      </c>
      <c r="C63" s="28"/>
      <c r="D63" s="28"/>
      <c r="E63" s="28"/>
      <c r="F63" s="28"/>
      <c r="G63" s="28"/>
    </row>
    <row r="65" spans="2:7" x14ac:dyDescent="0.25">
      <c r="B65" s="23" t="s">
        <v>220</v>
      </c>
      <c r="C65" s="23" t="s">
        <v>221</v>
      </c>
    </row>
    <row r="66" spans="2:7" x14ac:dyDescent="0.25">
      <c r="B66" s="24">
        <v>1</v>
      </c>
      <c r="C66" s="24">
        <v>15</v>
      </c>
      <c r="E66">
        <f>MEDIAN(B66:B72)</f>
        <v>4</v>
      </c>
    </row>
    <row r="67" spans="2:7" x14ac:dyDescent="0.25">
      <c r="B67" s="24">
        <v>2</v>
      </c>
      <c r="C67" s="24">
        <v>10</v>
      </c>
      <c r="E67">
        <f>MEDIAN(B66:B73)</f>
        <v>4.5</v>
      </c>
    </row>
    <row r="68" spans="2:7" x14ac:dyDescent="0.25">
      <c r="B68" s="24">
        <v>3</v>
      </c>
      <c r="C68" s="24">
        <v>5</v>
      </c>
      <c r="E68">
        <f>MEDIAN(C66:C72)</f>
        <v>12</v>
      </c>
    </row>
    <row r="69" spans="2:7" x14ac:dyDescent="0.25">
      <c r="B69" s="24">
        <v>4</v>
      </c>
      <c r="C69" s="24">
        <v>8</v>
      </c>
      <c r="E69">
        <f>MEDIAN(C66:C73)</f>
        <v>11</v>
      </c>
    </row>
    <row r="70" spans="2:7" x14ac:dyDescent="0.25">
      <c r="B70" s="24">
        <v>5</v>
      </c>
      <c r="C70" s="24">
        <v>12</v>
      </c>
    </row>
    <row r="71" spans="2:7" x14ac:dyDescent="0.25">
      <c r="B71" s="24">
        <v>6</v>
      </c>
      <c r="C71" s="24">
        <v>25</v>
      </c>
    </row>
    <row r="72" spans="2:7" x14ac:dyDescent="0.25">
      <c r="B72" s="24">
        <v>7</v>
      </c>
      <c r="C72" s="24">
        <v>13</v>
      </c>
    </row>
    <row r="73" spans="2:7" x14ac:dyDescent="0.25">
      <c r="B73" s="24">
        <v>8</v>
      </c>
      <c r="C73" s="24">
        <v>5</v>
      </c>
    </row>
    <row r="76" spans="2:7" ht="23.25" x14ac:dyDescent="0.35">
      <c r="B76" s="29" t="s">
        <v>222</v>
      </c>
      <c r="C76" s="24"/>
      <c r="D76" s="24"/>
      <c r="E76" s="24"/>
      <c r="F76" s="24"/>
      <c r="G76" s="24"/>
    </row>
    <row r="77" spans="2:7" x14ac:dyDescent="0.25">
      <c r="B77" s="28" t="s">
        <v>223</v>
      </c>
      <c r="C77" s="28"/>
      <c r="D77" s="28"/>
      <c r="E77" s="28"/>
      <c r="F77" s="28"/>
      <c r="G77" s="28"/>
    </row>
    <row r="79" spans="2:7" x14ac:dyDescent="0.25">
      <c r="B79" s="23" t="s">
        <v>224</v>
      </c>
      <c r="C79" s="23" t="s">
        <v>1</v>
      </c>
      <c r="D79" s="23" t="s">
        <v>225</v>
      </c>
      <c r="E79" s="23" t="s">
        <v>226</v>
      </c>
    </row>
    <row r="80" spans="2:7" x14ac:dyDescent="0.25">
      <c r="B80" s="24" t="s">
        <v>227</v>
      </c>
      <c r="C80" s="24" t="s">
        <v>20</v>
      </c>
      <c r="D80" s="24" t="s">
        <v>177</v>
      </c>
      <c r="E80" s="24">
        <v>100</v>
      </c>
    </row>
    <row r="81" spans="2:9" x14ac:dyDescent="0.25">
      <c r="B81" s="24" t="s">
        <v>228</v>
      </c>
      <c r="C81" s="24" t="s">
        <v>16</v>
      </c>
      <c r="D81" s="24" t="s">
        <v>171</v>
      </c>
      <c r="E81" s="24">
        <v>200</v>
      </c>
      <c r="G81">
        <f>SUMPRODUCT({4,5,6},{10,20,10})</f>
        <v>200</v>
      </c>
    </row>
    <row r="82" spans="2:9" x14ac:dyDescent="0.25">
      <c r="B82" s="24" t="s">
        <v>229</v>
      </c>
      <c r="C82" s="24" t="s">
        <v>16</v>
      </c>
      <c r="D82" s="24" t="s">
        <v>230</v>
      </c>
      <c r="E82" s="24">
        <v>125</v>
      </c>
      <c r="G82" cm="1">
        <f t="array" ref="G82">SUMPRODUCT(--(B80:B91="Jon"),--(C80:C91="West"),E80:E91)</f>
        <v>235</v>
      </c>
    </row>
    <row r="83" spans="2:9" x14ac:dyDescent="0.25">
      <c r="B83" s="24" t="s">
        <v>231</v>
      </c>
      <c r="C83" s="24" t="s">
        <v>20</v>
      </c>
      <c r="D83" s="24" t="s">
        <v>230</v>
      </c>
      <c r="E83" s="24">
        <v>145</v>
      </c>
    </row>
    <row r="84" spans="2:9" x14ac:dyDescent="0.25">
      <c r="B84" s="24" t="s">
        <v>232</v>
      </c>
      <c r="C84" s="24" t="s">
        <v>8</v>
      </c>
      <c r="D84" s="24" t="s">
        <v>171</v>
      </c>
      <c r="E84" s="24">
        <v>45</v>
      </c>
    </row>
    <row r="85" spans="2:9" x14ac:dyDescent="0.25">
      <c r="B85" s="24" t="s">
        <v>227</v>
      </c>
      <c r="C85" s="24" t="s">
        <v>12</v>
      </c>
      <c r="D85" s="24" t="s">
        <v>177</v>
      </c>
      <c r="E85" s="24">
        <v>55</v>
      </c>
    </row>
    <row r="86" spans="2:9" x14ac:dyDescent="0.25">
      <c r="B86" s="24" t="s">
        <v>231</v>
      </c>
      <c r="C86" s="24" t="s">
        <v>20</v>
      </c>
      <c r="D86" s="24" t="s">
        <v>177</v>
      </c>
      <c r="E86" s="24">
        <v>25</v>
      </c>
    </row>
    <row r="87" spans="2:9" x14ac:dyDescent="0.25">
      <c r="B87" s="24" t="s">
        <v>228</v>
      </c>
      <c r="C87" s="24" t="s">
        <v>16</v>
      </c>
      <c r="D87" s="24" t="s">
        <v>171</v>
      </c>
      <c r="E87" s="24">
        <v>35</v>
      </c>
    </row>
    <row r="88" spans="2:9" x14ac:dyDescent="0.25">
      <c r="B88" s="24" t="s">
        <v>227</v>
      </c>
      <c r="C88" s="24" t="s">
        <v>20</v>
      </c>
      <c r="D88" s="24" t="s">
        <v>171</v>
      </c>
      <c r="E88" s="24">
        <v>50</v>
      </c>
    </row>
    <row r="89" spans="2:9" x14ac:dyDescent="0.25">
      <c r="B89" s="24" t="s">
        <v>229</v>
      </c>
      <c r="C89" s="24" t="s">
        <v>12</v>
      </c>
      <c r="D89" s="24" t="s">
        <v>177</v>
      </c>
      <c r="E89" s="24">
        <v>60</v>
      </c>
    </row>
    <row r="90" spans="2:9" x14ac:dyDescent="0.25">
      <c r="B90" s="24" t="s">
        <v>228</v>
      </c>
      <c r="C90" s="24" t="s">
        <v>20</v>
      </c>
      <c r="D90" s="24" t="s">
        <v>230</v>
      </c>
      <c r="E90" s="24">
        <v>75</v>
      </c>
    </row>
    <row r="91" spans="2:9" x14ac:dyDescent="0.25">
      <c r="B91" s="24" t="s">
        <v>227</v>
      </c>
      <c r="C91" s="24" t="s">
        <v>20</v>
      </c>
      <c r="D91" s="24" t="s">
        <v>177</v>
      </c>
      <c r="E91" s="24">
        <v>85</v>
      </c>
    </row>
    <row r="94" spans="2:9" ht="23.25" x14ac:dyDescent="0.35">
      <c r="B94" s="29" t="s">
        <v>233</v>
      </c>
      <c r="C94" s="24"/>
      <c r="D94" s="24"/>
      <c r="E94" s="24"/>
      <c r="F94" s="24"/>
      <c r="G94" s="24"/>
      <c r="H94" s="30"/>
      <c r="I94" s="24"/>
    </row>
    <row r="95" spans="2:9" x14ac:dyDescent="0.25">
      <c r="B95" s="28" t="s">
        <v>234</v>
      </c>
      <c r="C95" s="28"/>
      <c r="D95" s="28"/>
      <c r="E95" s="28"/>
      <c r="F95" s="28"/>
      <c r="G95" s="28"/>
      <c r="H95" s="28"/>
      <c r="I95" s="28"/>
    </row>
    <row r="97" spans="2:8" x14ac:dyDescent="0.25">
      <c r="B97">
        <f>SUMSQ(3,4,5)</f>
        <v>50</v>
      </c>
    </row>
    <row r="99" spans="2:8" ht="23.25" x14ac:dyDescent="0.35">
      <c r="B99" s="29" t="s">
        <v>235</v>
      </c>
      <c r="C99" s="24"/>
      <c r="D99" s="24"/>
      <c r="E99" s="24"/>
      <c r="F99" s="24"/>
    </row>
    <row r="100" spans="2:8" x14ac:dyDescent="0.25">
      <c r="B100" s="28" t="s">
        <v>236</v>
      </c>
      <c r="C100" s="28"/>
      <c r="D100" s="28"/>
      <c r="E100" s="28"/>
      <c r="F100" s="28"/>
    </row>
    <row r="102" spans="2:8" x14ac:dyDescent="0.25">
      <c r="B102" s="23" t="s">
        <v>170</v>
      </c>
    </row>
    <row r="103" spans="2:8" x14ac:dyDescent="0.25">
      <c r="B103" s="24">
        <v>5</v>
      </c>
      <c r="C103">
        <f>COUNTBLANK(B103:B109)</f>
        <v>1</v>
      </c>
    </row>
    <row r="104" spans="2:8" x14ac:dyDescent="0.25">
      <c r="B104" s="24">
        <v>12</v>
      </c>
    </row>
    <row r="105" spans="2:8" x14ac:dyDescent="0.25">
      <c r="B105" s="24">
        <v>8</v>
      </c>
    </row>
    <row r="106" spans="2:8" x14ac:dyDescent="0.25">
      <c r="B106" s="24"/>
    </row>
    <row r="107" spans="2:8" x14ac:dyDescent="0.25">
      <c r="B107" s="24">
        <v>98</v>
      </c>
    </row>
    <row r="108" spans="2:8" x14ac:dyDescent="0.25">
      <c r="B108" s="24" t="s">
        <v>172</v>
      </c>
    </row>
    <row r="109" spans="2:8" x14ac:dyDescent="0.25">
      <c r="B109" s="24" t="s">
        <v>228</v>
      </c>
    </row>
    <row r="112" spans="2:8" ht="23.25" x14ac:dyDescent="0.35">
      <c r="B112" s="29" t="s">
        <v>237</v>
      </c>
      <c r="C112" s="24"/>
      <c r="D112" s="24"/>
      <c r="E112" s="24"/>
      <c r="F112" s="24"/>
      <c r="G112" s="24"/>
      <c r="H112" s="25"/>
    </row>
    <row r="113" spans="2:8" x14ac:dyDescent="0.25">
      <c r="B113" s="28" t="s">
        <v>238</v>
      </c>
      <c r="C113" s="28"/>
      <c r="D113" s="28"/>
      <c r="E113" s="28"/>
      <c r="F113" s="28"/>
      <c r="G113" s="28"/>
      <c r="H113" s="25"/>
    </row>
    <row r="115" spans="2:8" x14ac:dyDescent="0.25">
      <c r="B115">
        <f>EVEN(1.5)</f>
        <v>2</v>
      </c>
    </row>
    <row r="116" spans="2:8" x14ac:dyDescent="0.25">
      <c r="B116">
        <f>EVEN(3)</f>
        <v>4</v>
      </c>
    </row>
    <row r="117" spans="2:8" x14ac:dyDescent="0.25">
      <c r="B117">
        <f>EVEN(2)</f>
        <v>2</v>
      </c>
    </row>
    <row r="118" spans="2:8" x14ac:dyDescent="0.25">
      <c r="B118">
        <f>EVEN(-1)</f>
        <v>-2</v>
      </c>
    </row>
    <row r="121" spans="2:8" ht="23.25" x14ac:dyDescent="0.35">
      <c r="B121" s="29" t="s">
        <v>239</v>
      </c>
      <c r="C121" s="24"/>
      <c r="D121" s="24"/>
      <c r="E121" s="24"/>
      <c r="F121" s="24"/>
      <c r="G121" s="24"/>
      <c r="H121" s="25"/>
    </row>
    <row r="122" spans="2:8" x14ac:dyDescent="0.25">
      <c r="B122" s="28" t="s">
        <v>240</v>
      </c>
      <c r="C122" s="28"/>
      <c r="D122" s="28"/>
      <c r="E122" s="28"/>
      <c r="F122" s="28"/>
      <c r="G122" s="28"/>
      <c r="H122" s="25"/>
    </row>
    <row r="124" spans="2:8" x14ac:dyDescent="0.25">
      <c r="B124">
        <f>ODD(1.5)</f>
        <v>3</v>
      </c>
    </row>
    <row r="125" spans="2:8" x14ac:dyDescent="0.25">
      <c r="B125">
        <f>ODD(3)</f>
        <v>3</v>
      </c>
    </row>
    <row r="126" spans="2:8" x14ac:dyDescent="0.25">
      <c r="B126">
        <f>ODD(2)</f>
        <v>3</v>
      </c>
    </row>
    <row r="127" spans="2:8" x14ac:dyDescent="0.25">
      <c r="B127">
        <f>ODD(-1)</f>
        <v>-1</v>
      </c>
    </row>
    <row r="130" spans="2:8" ht="23.25" x14ac:dyDescent="0.35">
      <c r="B130" s="29" t="s">
        <v>241</v>
      </c>
      <c r="C130" s="24"/>
      <c r="D130" s="24"/>
      <c r="E130" s="24"/>
    </row>
    <row r="131" spans="2:8" x14ac:dyDescent="0.25">
      <c r="B131" s="28" t="s">
        <v>242</v>
      </c>
      <c r="C131" s="28"/>
      <c r="D131" s="28"/>
      <c r="E131" s="28"/>
    </row>
    <row r="133" spans="2:8" x14ac:dyDescent="0.25">
      <c r="B133">
        <f>INT(8.9)</f>
        <v>8</v>
      </c>
    </row>
    <row r="134" spans="2:8" x14ac:dyDescent="0.25">
      <c r="B134">
        <f>INT(-8.9)</f>
        <v>-9</v>
      </c>
    </row>
    <row r="135" spans="2:8" x14ac:dyDescent="0.25">
      <c r="B135">
        <f>INT(19.5)</f>
        <v>19</v>
      </c>
    </row>
    <row r="138" spans="2:8" ht="23.25" x14ac:dyDescent="0.35">
      <c r="B138" s="29" t="s">
        <v>243</v>
      </c>
      <c r="C138" s="24"/>
      <c r="D138" s="24"/>
      <c r="E138" s="24"/>
      <c r="F138" s="24"/>
      <c r="G138" s="24"/>
      <c r="H138" s="25"/>
    </row>
    <row r="139" spans="2:8" x14ac:dyDescent="0.25">
      <c r="B139" s="28" t="s">
        <v>244</v>
      </c>
      <c r="C139" s="28"/>
      <c r="D139" s="28"/>
      <c r="E139" s="28"/>
      <c r="F139" s="28"/>
      <c r="G139" s="28"/>
      <c r="H139" s="25"/>
    </row>
    <row r="141" spans="2:8" x14ac:dyDescent="0.25">
      <c r="B141" s="23" t="s">
        <v>170</v>
      </c>
      <c r="C141" s="23" t="s">
        <v>170</v>
      </c>
    </row>
    <row r="142" spans="2:8" x14ac:dyDescent="0.25">
      <c r="B142" s="24">
        <v>5</v>
      </c>
      <c r="C142" s="24">
        <v>3</v>
      </c>
      <c r="D142">
        <f>LARGE(B142:C146,5)</f>
        <v>5</v>
      </c>
    </row>
    <row r="143" spans="2:8" x14ac:dyDescent="0.25">
      <c r="B143" s="24">
        <v>4</v>
      </c>
      <c r="C143" s="24">
        <v>5</v>
      </c>
      <c r="D143">
        <f>LARGE(B142:C146,8)</f>
        <v>4</v>
      </c>
    </row>
    <row r="144" spans="2:8" x14ac:dyDescent="0.25">
      <c r="B144" s="24">
        <v>3</v>
      </c>
      <c r="C144" s="24">
        <v>7</v>
      </c>
    </row>
    <row r="145" spans="2:9" x14ac:dyDescent="0.25">
      <c r="B145" s="24">
        <v>5</v>
      </c>
      <c r="C145" s="24">
        <v>7</v>
      </c>
    </row>
    <row r="146" spans="2:9" x14ac:dyDescent="0.25">
      <c r="B146" s="24">
        <v>10</v>
      </c>
      <c r="C146" s="24">
        <v>6</v>
      </c>
    </row>
    <row r="149" spans="2:9" ht="23.25" x14ac:dyDescent="0.35">
      <c r="B149" s="29" t="s">
        <v>245</v>
      </c>
      <c r="C149" s="24"/>
      <c r="D149" s="24"/>
      <c r="E149" s="24"/>
      <c r="F149" s="24"/>
      <c r="G149" s="24"/>
      <c r="H149" s="25"/>
    </row>
    <row r="150" spans="2:9" x14ac:dyDescent="0.25">
      <c r="B150" s="28" t="s">
        <v>246</v>
      </c>
      <c r="C150" s="28"/>
      <c r="D150" s="28"/>
      <c r="E150" s="28"/>
      <c r="F150" s="28"/>
      <c r="G150" s="28"/>
      <c r="H150" s="25"/>
    </row>
    <row r="152" spans="2:9" x14ac:dyDescent="0.25">
      <c r="B152" s="23" t="s">
        <v>170</v>
      </c>
      <c r="C152" s="23" t="s">
        <v>170</v>
      </c>
    </row>
    <row r="153" spans="2:9" x14ac:dyDescent="0.25">
      <c r="B153" s="24">
        <v>5</v>
      </c>
      <c r="C153" s="24">
        <v>3</v>
      </c>
      <c r="D153">
        <f>SMALL(B153:C157,5)</f>
        <v>5</v>
      </c>
    </row>
    <row r="154" spans="2:9" x14ac:dyDescent="0.25">
      <c r="B154" s="24">
        <v>4</v>
      </c>
      <c r="C154" s="24">
        <v>5</v>
      </c>
      <c r="D154">
        <f>SMALL(B153:C157,8)</f>
        <v>7</v>
      </c>
    </row>
    <row r="155" spans="2:9" x14ac:dyDescent="0.25">
      <c r="B155" s="24">
        <v>3</v>
      </c>
      <c r="C155" s="24">
        <v>7</v>
      </c>
    </row>
    <row r="156" spans="2:9" x14ac:dyDescent="0.25">
      <c r="B156" s="24">
        <v>5</v>
      </c>
      <c r="C156" s="24">
        <v>7</v>
      </c>
    </row>
    <row r="157" spans="2:9" x14ac:dyDescent="0.25">
      <c r="B157" s="24">
        <v>10</v>
      </c>
      <c r="C157" s="24">
        <v>6</v>
      </c>
    </row>
    <row r="160" spans="2:9" ht="23.25" x14ac:dyDescent="0.35">
      <c r="B160" s="29" t="s">
        <v>247</v>
      </c>
      <c r="C160" s="24"/>
      <c r="D160" s="24"/>
      <c r="E160" s="24"/>
      <c r="F160" s="24"/>
      <c r="G160" s="24"/>
      <c r="H160" s="30"/>
      <c r="I160" s="24"/>
    </row>
    <row r="161" spans="2:16" x14ac:dyDescent="0.25">
      <c r="B161" s="28" t="s">
        <v>248</v>
      </c>
      <c r="C161" s="28"/>
      <c r="D161" s="28"/>
      <c r="E161" s="28"/>
      <c r="F161" s="28"/>
      <c r="G161" s="28"/>
      <c r="H161" s="28"/>
      <c r="I161" s="28"/>
    </row>
    <row r="162" spans="2:16" x14ac:dyDescent="0.25">
      <c r="B162" s="25"/>
      <c r="C162" s="25"/>
      <c r="D162" s="25"/>
      <c r="E162" s="25"/>
      <c r="F162" s="25"/>
      <c r="G162" s="25"/>
      <c r="H162" s="25"/>
      <c r="I162" s="25"/>
    </row>
    <row r="163" spans="2:16" ht="23.25" x14ac:dyDescent="0.35">
      <c r="B163" s="36" t="s">
        <v>249</v>
      </c>
      <c r="C163" s="33"/>
      <c r="D163" s="33"/>
      <c r="E163" s="33"/>
      <c r="F163" s="33"/>
      <c r="G163" s="33"/>
      <c r="H163" s="34"/>
      <c r="I163" s="33"/>
    </row>
    <row r="164" spans="2:16" x14ac:dyDescent="0.25">
      <c r="B164" s="28" t="s">
        <v>250</v>
      </c>
      <c r="C164" s="28"/>
      <c r="D164" s="28"/>
      <c r="E164" s="28"/>
      <c r="F164" s="28"/>
      <c r="G164" s="28"/>
      <c r="H164" s="28"/>
      <c r="I164" s="28"/>
      <c r="J164" s="25"/>
      <c r="K164" s="25"/>
      <c r="L164" s="25"/>
      <c r="M164" s="25"/>
      <c r="N164" s="25"/>
      <c r="O164" s="25"/>
      <c r="P164" s="25"/>
    </row>
    <row r="166" spans="2:16" x14ac:dyDescent="0.25">
      <c r="B166" s="23" t="s">
        <v>170</v>
      </c>
      <c r="C166" s="23" t="s">
        <v>170</v>
      </c>
    </row>
    <row r="167" spans="2:16" x14ac:dyDescent="0.25">
      <c r="B167" s="24">
        <v>0.3</v>
      </c>
      <c r="C167" s="24" t="s">
        <v>184</v>
      </c>
      <c r="D167">
        <f>MAX(C167:C174)</f>
        <v>0.95</v>
      </c>
    </row>
    <row r="168" spans="2:16" x14ac:dyDescent="0.25">
      <c r="B168" s="24">
        <v>0.5</v>
      </c>
      <c r="C168" s="24" t="b">
        <v>1</v>
      </c>
      <c r="D168">
        <f>MAXA(C167:C174)</f>
        <v>1</v>
      </c>
    </row>
    <row r="169" spans="2:16" x14ac:dyDescent="0.25">
      <c r="B169" s="24">
        <v>-2</v>
      </c>
      <c r="C169" s="24">
        <v>0.9</v>
      </c>
      <c r="D169">
        <f>MAX(B167:C174)</f>
        <v>15</v>
      </c>
    </row>
    <row r="170" spans="2:16" x14ac:dyDescent="0.25">
      <c r="B170" s="24" t="s">
        <v>228</v>
      </c>
      <c r="C170" s="24" t="b">
        <v>0</v>
      </c>
      <c r="D170">
        <f>MAXA(B167:C174)</f>
        <v>15</v>
      </c>
    </row>
    <row r="171" spans="2:16" x14ac:dyDescent="0.25">
      <c r="B171" s="24">
        <v>10</v>
      </c>
      <c r="C171" s="24">
        <v>0.78</v>
      </c>
    </row>
    <row r="172" spans="2:16" x14ac:dyDescent="0.25">
      <c r="B172" s="24">
        <v>8</v>
      </c>
      <c r="C172" s="24">
        <v>0.95</v>
      </c>
    </row>
    <row r="173" spans="2:16" x14ac:dyDescent="0.25">
      <c r="B173" s="24">
        <v>15</v>
      </c>
      <c r="C173" s="24">
        <v>0.25</v>
      </c>
    </row>
    <row r="174" spans="2:16" x14ac:dyDescent="0.25">
      <c r="B174" s="24">
        <v>6</v>
      </c>
      <c r="C174" s="24">
        <v>0.6</v>
      </c>
    </row>
    <row r="177" spans="2:16" ht="23.25" x14ac:dyDescent="0.35">
      <c r="B177" s="39" t="s">
        <v>251</v>
      </c>
      <c r="C177" s="40"/>
      <c r="D177" s="40"/>
      <c r="E177" s="40"/>
      <c r="F177" s="40"/>
      <c r="G177" s="40"/>
      <c r="H177" s="45"/>
      <c r="I177" s="43"/>
    </row>
    <row r="178" spans="2:16" x14ac:dyDescent="0.25">
      <c r="B178" s="41" t="s">
        <v>252</v>
      </c>
      <c r="C178" s="42"/>
      <c r="D178" s="42"/>
      <c r="E178" s="42"/>
      <c r="F178" s="42"/>
      <c r="G178" s="42"/>
      <c r="H178" s="42"/>
      <c r="I178" s="44"/>
    </row>
    <row r="180" spans="2:16" ht="23.25" x14ac:dyDescent="0.35">
      <c r="B180" s="39" t="s">
        <v>253</v>
      </c>
      <c r="C180" s="40"/>
      <c r="D180" s="40"/>
      <c r="E180" s="40"/>
      <c r="F180" s="40"/>
      <c r="G180" s="40"/>
      <c r="H180" s="45"/>
      <c r="I180" s="43"/>
    </row>
    <row r="181" spans="2:16" x14ac:dyDescent="0.25">
      <c r="B181" s="28" t="s">
        <v>254</v>
      </c>
      <c r="C181" s="28"/>
      <c r="D181" s="28"/>
      <c r="E181" s="28"/>
      <c r="F181" s="28"/>
      <c r="G181" s="28"/>
      <c r="H181" s="28"/>
      <c r="I181" s="28"/>
      <c r="J181" s="25"/>
      <c r="K181" s="25"/>
      <c r="L181" s="25"/>
      <c r="M181" s="25"/>
      <c r="N181" s="25"/>
      <c r="O181" s="25"/>
      <c r="P181" s="25"/>
    </row>
    <row r="183" spans="2:16" x14ac:dyDescent="0.25">
      <c r="B183" s="23" t="s">
        <v>170</v>
      </c>
      <c r="C183" s="23" t="s">
        <v>170</v>
      </c>
    </row>
    <row r="184" spans="2:16" x14ac:dyDescent="0.25">
      <c r="B184" s="24">
        <v>0.3</v>
      </c>
      <c r="C184" s="24" t="s">
        <v>184</v>
      </c>
      <c r="D184">
        <f>MIN(C184:C191)</f>
        <v>0.25</v>
      </c>
    </row>
    <row r="185" spans="2:16" x14ac:dyDescent="0.25">
      <c r="B185" s="24">
        <v>0.5</v>
      </c>
      <c r="C185" s="24" t="b">
        <v>1</v>
      </c>
      <c r="D185">
        <f>MINA(C184:C191)</f>
        <v>0</v>
      </c>
    </row>
    <row r="186" spans="2:16" x14ac:dyDescent="0.25">
      <c r="B186" s="24">
        <v>-2</v>
      </c>
      <c r="C186" s="24">
        <v>0.9</v>
      </c>
      <c r="D186">
        <f>MIN(B184:C191)</f>
        <v>-2</v>
      </c>
    </row>
    <row r="187" spans="2:16" x14ac:dyDescent="0.25">
      <c r="B187" s="24" t="s">
        <v>228</v>
      </c>
      <c r="C187" s="24" t="b">
        <v>0</v>
      </c>
      <c r="D187">
        <f>MINA(B184:C191)</f>
        <v>-2</v>
      </c>
    </row>
    <row r="188" spans="2:16" x14ac:dyDescent="0.25">
      <c r="B188" s="24">
        <v>10</v>
      </c>
      <c r="C188" s="24">
        <v>0.78</v>
      </c>
    </row>
    <row r="189" spans="2:16" x14ac:dyDescent="0.25">
      <c r="B189" s="24">
        <v>8</v>
      </c>
      <c r="C189" s="24">
        <v>0.95</v>
      </c>
    </row>
    <row r="190" spans="2:16" x14ac:dyDescent="0.25">
      <c r="B190" s="24">
        <v>15</v>
      </c>
      <c r="C190" s="24">
        <v>0.25</v>
      </c>
    </row>
    <row r="191" spans="2:16" x14ac:dyDescent="0.25">
      <c r="B191" s="24">
        <v>6</v>
      </c>
      <c r="C191" s="24">
        <v>0.6</v>
      </c>
    </row>
    <row r="194" spans="2:11" ht="23.25" x14ac:dyDescent="0.35">
      <c r="B194" s="29" t="s">
        <v>255</v>
      </c>
      <c r="C194" s="24"/>
      <c r="D194" s="24"/>
      <c r="E194" s="24"/>
      <c r="F194" s="24"/>
      <c r="G194" s="24"/>
    </row>
    <row r="195" spans="2:11" x14ac:dyDescent="0.25">
      <c r="B195" s="28" t="s">
        <v>256</v>
      </c>
      <c r="C195" s="28"/>
      <c r="D195" s="28"/>
      <c r="E195" s="28"/>
      <c r="F195" s="28"/>
      <c r="G195" s="28"/>
    </row>
    <row r="197" spans="2:11" x14ac:dyDescent="0.25">
      <c r="B197">
        <f>MOD(25,8)</f>
        <v>1</v>
      </c>
    </row>
    <row r="198" spans="2:11" x14ac:dyDescent="0.25">
      <c r="B198">
        <f>MOD(25,-8)</f>
        <v>-7</v>
      </c>
    </row>
    <row r="199" spans="2:11" x14ac:dyDescent="0.25">
      <c r="B199">
        <f>MOD(-25,8)</f>
        <v>7</v>
      </c>
    </row>
    <row r="200" spans="2:11" x14ac:dyDescent="0.25">
      <c r="B200">
        <f>MOD(-25,-8)</f>
        <v>-1</v>
      </c>
    </row>
    <row r="203" spans="2:11" ht="23.25" x14ac:dyDescent="0.35">
      <c r="B203" s="39" t="s">
        <v>257</v>
      </c>
      <c r="C203" s="40"/>
      <c r="D203" s="40"/>
      <c r="E203" s="40"/>
      <c r="F203" s="40"/>
      <c r="G203" s="33"/>
    </row>
    <row r="204" spans="2:11" x14ac:dyDescent="0.25">
      <c r="B204" s="28" t="s">
        <v>258</v>
      </c>
      <c r="C204" s="28"/>
      <c r="D204" s="28"/>
      <c r="E204" s="28"/>
      <c r="F204" s="28"/>
      <c r="G204" s="28"/>
      <c r="H204" s="25"/>
      <c r="I204" s="25"/>
      <c r="J204" s="25"/>
      <c r="K204" s="25"/>
    </row>
    <row r="206" spans="2:11" ht="23.25" x14ac:dyDescent="0.35">
      <c r="B206" s="39" t="s">
        <v>259</v>
      </c>
      <c r="C206" s="40"/>
      <c r="D206" s="40"/>
      <c r="E206" s="40"/>
      <c r="F206" s="24"/>
    </row>
    <row r="207" spans="2:11" x14ac:dyDescent="0.25">
      <c r="B207" s="41" t="s">
        <v>260</v>
      </c>
      <c r="C207" s="42"/>
      <c r="D207" s="42"/>
      <c r="E207" s="42"/>
      <c r="F207" s="28"/>
    </row>
    <row r="209" spans="2:4" x14ac:dyDescent="0.25">
      <c r="B209">
        <f ca="1">RAND()</f>
        <v>0.63835396450165105</v>
      </c>
    </row>
    <row r="210" spans="2:4" x14ac:dyDescent="0.25">
      <c r="B210">
        <f ca="1">RAND()</f>
        <v>0.51257912037423337</v>
      </c>
    </row>
    <row r="211" spans="2:4" x14ac:dyDescent="0.25">
      <c r="B211">
        <f ca="1">RAND()</f>
        <v>0.900698923171663</v>
      </c>
    </row>
    <row r="212" spans="2:4" x14ac:dyDescent="0.25">
      <c r="B212">
        <f ca="1">RANDBETWEEN(100,200)</f>
        <v>183</v>
      </c>
    </row>
    <row r="213" spans="2:4" x14ac:dyDescent="0.25">
      <c r="B213">
        <f ca="1">RANDBETWEEN(100,200)</f>
        <v>133</v>
      </c>
    </row>
    <row r="214" spans="2:4" x14ac:dyDescent="0.25">
      <c r="B214">
        <f ca="1">RANDBETWEEN(100,200)</f>
        <v>180</v>
      </c>
    </row>
    <row r="217" spans="2:4" ht="23.25" x14ac:dyDescent="0.35">
      <c r="B217" s="29" t="s">
        <v>261</v>
      </c>
      <c r="C217" s="24"/>
      <c r="D217" s="24"/>
    </row>
    <row r="218" spans="2:4" x14ac:dyDescent="0.25">
      <c r="B218" s="28" t="s">
        <v>262</v>
      </c>
      <c r="C218" s="28"/>
      <c r="D218" s="28"/>
    </row>
    <row r="220" spans="2:4" x14ac:dyDescent="0.25">
      <c r="B220">
        <f>SQRT(49)</f>
        <v>7</v>
      </c>
    </row>
    <row r="221" spans="2:4" x14ac:dyDescent="0.25">
      <c r="B221">
        <f>SQRT(246)</f>
        <v>15.684387141358123</v>
      </c>
    </row>
    <row r="222" spans="2:4" x14ac:dyDescent="0.25">
      <c r="B222" t="e">
        <f>SQRT(-67)</f>
        <v>#NUM!</v>
      </c>
    </row>
    <row r="223" spans="2:4" x14ac:dyDescent="0.25">
      <c r="B223">
        <f>SQRT(50)</f>
        <v>7.0710678118654755</v>
      </c>
    </row>
    <row r="226" spans="2:8" ht="23.25" x14ac:dyDescent="0.35">
      <c r="B226" s="29" t="s">
        <v>263</v>
      </c>
      <c r="C226" s="24"/>
      <c r="D226" s="24"/>
      <c r="E226" s="24"/>
      <c r="F226" s="24"/>
      <c r="G226" s="24"/>
    </row>
    <row r="227" spans="2:8" x14ac:dyDescent="0.25">
      <c r="B227" s="28" t="s">
        <v>264</v>
      </c>
      <c r="C227" s="28"/>
      <c r="D227" s="28"/>
      <c r="E227" s="28"/>
      <c r="F227" s="28"/>
      <c r="G227" s="28"/>
    </row>
    <row r="229" spans="2:8" ht="64.5" x14ac:dyDescent="0.25">
      <c r="B229" s="46" t="s">
        <v>265</v>
      </c>
      <c r="C229" s="46" t="s">
        <v>266</v>
      </c>
      <c r="D229" s="23" t="s">
        <v>267</v>
      </c>
      <c r="F229" s="23" t="s">
        <v>170</v>
      </c>
    </row>
    <row r="230" spans="2:8" x14ac:dyDescent="0.25">
      <c r="B230" s="24">
        <v>1</v>
      </c>
      <c r="C230" s="24">
        <v>101</v>
      </c>
      <c r="D230" s="24" t="s">
        <v>34</v>
      </c>
      <c r="F230" s="24">
        <v>15</v>
      </c>
      <c r="H230">
        <f>SUBTOTAL(109,F230:F241)</f>
        <v>632</v>
      </c>
    </row>
    <row r="231" spans="2:8" x14ac:dyDescent="0.25">
      <c r="B231" s="24">
        <v>2</v>
      </c>
      <c r="C231" s="24">
        <v>102</v>
      </c>
      <c r="D231" s="24" t="s">
        <v>268</v>
      </c>
      <c r="F231" s="24">
        <v>45</v>
      </c>
      <c r="H231">
        <f>SUBTOTAL(9,F230:F241)</f>
        <v>632</v>
      </c>
    </row>
    <row r="232" spans="2:8" x14ac:dyDescent="0.25">
      <c r="B232" s="24">
        <v>3</v>
      </c>
      <c r="C232" s="24">
        <v>103</v>
      </c>
      <c r="D232" s="24" t="s">
        <v>269</v>
      </c>
      <c r="F232" s="24">
        <v>78</v>
      </c>
      <c r="H232">
        <f>SUBTOTAL(101,F230:F241)</f>
        <v>52.666666666666664</v>
      </c>
    </row>
    <row r="233" spans="2:8" x14ac:dyDescent="0.25">
      <c r="B233" s="24">
        <v>4</v>
      </c>
      <c r="C233" s="24">
        <v>104</v>
      </c>
      <c r="D233" s="24" t="s">
        <v>270</v>
      </c>
      <c r="F233" s="24">
        <v>89</v>
      </c>
      <c r="H233">
        <f>SUBTOTAL(1,F230:F241)</f>
        <v>52.666666666666664</v>
      </c>
    </row>
    <row r="234" spans="2:8" x14ac:dyDescent="0.25">
      <c r="B234" s="24">
        <v>5</v>
      </c>
      <c r="C234" s="24">
        <v>105</v>
      </c>
      <c r="D234" s="24" t="s">
        <v>271</v>
      </c>
      <c r="F234" s="24">
        <v>65</v>
      </c>
      <c r="H234" t="s">
        <v>172</v>
      </c>
    </row>
    <row r="235" spans="2:8" x14ac:dyDescent="0.25">
      <c r="B235" s="24">
        <v>6</v>
      </c>
      <c r="C235" s="24">
        <v>106</v>
      </c>
      <c r="D235" s="24" t="s">
        <v>272</v>
      </c>
      <c r="F235" s="24">
        <v>78</v>
      </c>
    </row>
    <row r="236" spans="2:8" x14ac:dyDescent="0.25">
      <c r="B236" s="24">
        <v>7</v>
      </c>
      <c r="C236" s="24">
        <v>107</v>
      </c>
      <c r="D236" s="24" t="s">
        <v>273</v>
      </c>
      <c r="F236" s="24">
        <v>45</v>
      </c>
    </row>
    <row r="237" spans="2:8" x14ac:dyDescent="0.25">
      <c r="B237" s="24">
        <v>8</v>
      </c>
      <c r="C237" s="24">
        <v>108</v>
      </c>
      <c r="D237" s="24" t="s">
        <v>274</v>
      </c>
      <c r="F237" s="24">
        <v>12</v>
      </c>
    </row>
    <row r="238" spans="2:8" x14ac:dyDescent="0.25">
      <c r="B238" s="24">
        <v>9</v>
      </c>
      <c r="C238" s="24">
        <v>109</v>
      </c>
      <c r="D238" s="24" t="s">
        <v>275</v>
      </c>
      <c r="F238" s="24">
        <v>78</v>
      </c>
    </row>
    <row r="239" spans="2:8" x14ac:dyDescent="0.25">
      <c r="B239" s="24">
        <v>10</v>
      </c>
      <c r="C239" s="24">
        <v>110</v>
      </c>
      <c r="D239" s="24" t="s">
        <v>276</v>
      </c>
      <c r="F239" s="24">
        <v>50</v>
      </c>
    </row>
    <row r="240" spans="2:8" x14ac:dyDescent="0.25">
      <c r="B240" s="24">
        <v>11</v>
      </c>
      <c r="C240" s="24">
        <v>111</v>
      </c>
      <c r="D240" s="24" t="s">
        <v>277</v>
      </c>
      <c r="F240" s="24">
        <v>65</v>
      </c>
    </row>
    <row r="241" spans="6:6" x14ac:dyDescent="0.25">
      <c r="F241" s="24">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F10B-DACD-465B-83B1-E4EBBF7F8402}">
  <sheetPr codeName="Sheet10"/>
  <dimension ref="B3:L48"/>
  <sheetViews>
    <sheetView workbookViewId="0">
      <selection activeCell="G40" sqref="G40"/>
    </sheetView>
  </sheetViews>
  <sheetFormatPr defaultRowHeight="15" x14ac:dyDescent="0.25"/>
  <cols>
    <col min="2" max="2" width="17.85546875" customWidth="1"/>
    <col min="3" max="3" width="22.140625" customWidth="1"/>
    <col min="4" max="4" width="9.140625" customWidth="1"/>
  </cols>
  <sheetData>
    <row r="3" spans="2:12" ht="23.25" x14ac:dyDescent="0.35">
      <c r="B3" s="29" t="s">
        <v>278</v>
      </c>
      <c r="C3" s="24"/>
      <c r="D3" s="24"/>
      <c r="E3" s="24"/>
      <c r="F3" s="24"/>
      <c r="G3" s="30"/>
      <c r="H3" s="25"/>
      <c r="I3" s="25"/>
      <c r="J3" s="25"/>
    </row>
    <row r="4" spans="2:12" x14ac:dyDescent="0.25">
      <c r="B4" s="28" t="s">
        <v>279</v>
      </c>
      <c r="C4" s="28"/>
      <c r="D4" s="28"/>
      <c r="E4" s="28"/>
      <c r="F4" s="28"/>
      <c r="G4" s="28"/>
      <c r="H4" s="25"/>
      <c r="I4" s="25"/>
      <c r="J4" s="25"/>
    </row>
    <row r="6" spans="2:12" x14ac:dyDescent="0.25">
      <c r="B6" s="23" t="s">
        <v>280</v>
      </c>
      <c r="D6">
        <f>FIND("r",B7)</f>
        <v>3</v>
      </c>
    </row>
    <row r="7" spans="2:12" x14ac:dyDescent="0.25">
      <c r="B7" s="24" t="s">
        <v>281</v>
      </c>
      <c r="D7">
        <f>FIND("r",B7,1)</f>
        <v>3</v>
      </c>
    </row>
    <row r="8" spans="2:12" x14ac:dyDescent="0.25">
      <c r="D8">
        <f>FIND("r",B7,2)</f>
        <v>3</v>
      </c>
    </row>
    <row r="9" spans="2:12" x14ac:dyDescent="0.25">
      <c r="D9">
        <f>FIND("r",B7,3)</f>
        <v>3</v>
      </c>
    </row>
    <row r="10" spans="2:12" x14ac:dyDescent="0.25">
      <c r="D10">
        <f>FIND("r",B7,4)</f>
        <v>14</v>
      </c>
    </row>
    <row r="11" spans="2:12" x14ac:dyDescent="0.25">
      <c r="D11">
        <f>FIND("R",B7)</f>
        <v>16</v>
      </c>
    </row>
    <row r="13" spans="2:12" ht="23.25" x14ac:dyDescent="0.35">
      <c r="B13" s="39" t="s">
        <v>282</v>
      </c>
      <c r="C13" s="40"/>
      <c r="D13" s="40"/>
      <c r="E13" s="40"/>
      <c r="F13" s="40"/>
      <c r="G13" s="45"/>
      <c r="H13" s="43"/>
    </row>
    <row r="14" spans="2:12" x14ac:dyDescent="0.25">
      <c r="B14" s="41" t="s">
        <v>283</v>
      </c>
      <c r="C14" s="42"/>
      <c r="D14" s="42"/>
      <c r="E14" s="42"/>
      <c r="F14" s="42"/>
      <c r="G14" s="42"/>
      <c r="H14" s="28"/>
      <c r="I14" s="25"/>
      <c r="J14" s="25"/>
      <c r="K14" s="25"/>
      <c r="L14" s="25"/>
    </row>
    <row r="16" spans="2:12" x14ac:dyDescent="0.25">
      <c r="B16" s="23" t="s">
        <v>280</v>
      </c>
      <c r="D16">
        <f>SEARCH("r",B17)</f>
        <v>3</v>
      </c>
    </row>
    <row r="17" spans="2:9" x14ac:dyDescent="0.25">
      <c r="B17" s="24" t="s">
        <v>281</v>
      </c>
      <c r="D17">
        <f>SEARCH("r",B17,1)</f>
        <v>3</v>
      </c>
    </row>
    <row r="18" spans="2:9" x14ac:dyDescent="0.25">
      <c r="B18" s="24" t="s">
        <v>284</v>
      </c>
      <c r="D18">
        <f>SEARCH("r",B17,2)</f>
        <v>3</v>
      </c>
    </row>
    <row r="19" spans="2:9" x14ac:dyDescent="0.25">
      <c r="B19" s="24" t="s">
        <v>285</v>
      </c>
      <c r="D19">
        <f>SEARCH("r",B17,3)</f>
        <v>3</v>
      </c>
    </row>
    <row r="20" spans="2:9" x14ac:dyDescent="0.25">
      <c r="D20">
        <f>SEARCH("r",B17,4)</f>
        <v>14</v>
      </c>
    </row>
    <row r="21" spans="2:9" x14ac:dyDescent="0.25">
      <c r="D21">
        <f>SEARCH("R",B17)</f>
        <v>3</v>
      </c>
    </row>
    <row r="22" spans="2:9" x14ac:dyDescent="0.25">
      <c r="D22">
        <f>SEARCH(" ",B18)</f>
        <v>6</v>
      </c>
    </row>
    <row r="23" spans="2:9" x14ac:dyDescent="0.25">
      <c r="D23">
        <f>SEARCH("""",B19)</f>
        <v>5</v>
      </c>
    </row>
    <row r="27" spans="2:9" ht="23.25" x14ac:dyDescent="0.35">
      <c r="B27" s="39" t="s">
        <v>286</v>
      </c>
      <c r="C27" s="40"/>
      <c r="D27" s="40"/>
      <c r="E27" s="40"/>
      <c r="F27" s="40"/>
      <c r="G27" s="30"/>
      <c r="H27" s="25"/>
      <c r="I27" s="25"/>
    </row>
    <row r="28" spans="2:9" x14ac:dyDescent="0.25">
      <c r="B28" s="41" t="s">
        <v>287</v>
      </c>
      <c r="C28" s="42"/>
      <c r="D28" s="42"/>
      <c r="E28" s="42"/>
      <c r="F28" s="42"/>
      <c r="G28" s="28"/>
    </row>
    <row r="30" spans="2:9" x14ac:dyDescent="0.25">
      <c r="B30" s="23" t="s">
        <v>280</v>
      </c>
    </row>
    <row r="31" spans="2:9" x14ac:dyDescent="0.25">
      <c r="B31" s="24" t="s">
        <v>288</v>
      </c>
      <c r="C31" t="str">
        <f>SUBSTITUTE(B31,"Sold","bought")</f>
        <v>Quantity bought bought</v>
      </c>
    </row>
    <row r="32" spans="2:9" x14ac:dyDescent="0.25">
      <c r="B32" s="24" t="s">
        <v>289</v>
      </c>
      <c r="C32" t="str">
        <f>SUBSTITUTE(B31,"Sold","bought",1)</f>
        <v>Quantity bought Sold</v>
      </c>
    </row>
    <row r="33" spans="2:7" x14ac:dyDescent="0.25">
      <c r="B33" s="24" t="s">
        <v>290</v>
      </c>
      <c r="C33" t="str">
        <f>SUBSTITUTE(B31,"Sold","bought",2)</f>
        <v>Quantity Sold bought</v>
      </c>
    </row>
    <row r="34" spans="2:7" x14ac:dyDescent="0.25">
      <c r="C34" t="str">
        <f>SUBSTITUTE(B32,"08","13")</f>
        <v>Year 2013</v>
      </c>
    </row>
    <row r="37" spans="2:7" ht="23.25" x14ac:dyDescent="0.35">
      <c r="B37" s="29" t="s">
        <v>291</v>
      </c>
      <c r="C37" s="24"/>
      <c r="D37" s="24"/>
      <c r="E37" s="24"/>
      <c r="F37" s="24"/>
      <c r="G37" s="30"/>
    </row>
    <row r="38" spans="2:7" x14ac:dyDescent="0.25">
      <c r="B38" s="28" t="s">
        <v>292</v>
      </c>
      <c r="C38" s="28"/>
      <c r="D38" s="28"/>
      <c r="E38" s="28"/>
      <c r="F38" s="28"/>
      <c r="G38" s="28"/>
    </row>
    <row r="40" spans="2:7" x14ac:dyDescent="0.25">
      <c r="B40" s="23" t="s">
        <v>280</v>
      </c>
    </row>
    <row r="41" spans="2:7" x14ac:dyDescent="0.25">
      <c r="B41" s="47" t="s">
        <v>293</v>
      </c>
      <c r="C41" s="25" t="str">
        <f>REPLACE(B41,9,1,"kawser")</f>
        <v>Marissa kawserhan</v>
      </c>
    </row>
    <row r="42" spans="2:7" x14ac:dyDescent="0.25">
      <c r="B42" s="47">
        <v>2015</v>
      </c>
      <c r="C42" s="25" t="str">
        <f>REPLACE(B41,9,2,"Kawser")</f>
        <v>Marissa Kawseran</v>
      </c>
    </row>
    <row r="43" spans="2:7" x14ac:dyDescent="0.25">
      <c r="B43" s="47">
        <v>9876543210</v>
      </c>
      <c r="C43" s="25" t="str">
        <f>REPLACE(B41,9,3,"Kawser")</f>
        <v>Marissa Kawsern</v>
      </c>
    </row>
    <row r="44" spans="2:7" x14ac:dyDescent="0.25">
      <c r="C44" s="25" t="str">
        <f>REPLACE(B41,9,4,"Kawser")</f>
        <v>Marissa Kawser</v>
      </c>
    </row>
    <row r="45" spans="2:7" x14ac:dyDescent="0.25">
      <c r="C45" s="24" t="str">
        <f>REPLACE(B41,1,1,"Kawser")</f>
        <v>Kawserarissa Khan</v>
      </c>
    </row>
    <row r="46" spans="2:7" x14ac:dyDescent="0.25">
      <c r="C46" s="24" t="str">
        <f>REPLACE(B41,2,2,"Kawser")</f>
        <v>MKawserissa Khan</v>
      </c>
    </row>
    <row r="47" spans="2:7" x14ac:dyDescent="0.25">
      <c r="C47" s="24" t="str">
        <f>REPLACE(B41,3,3,"Kawser")</f>
        <v>MaKawsersa Khan</v>
      </c>
    </row>
    <row r="48" spans="2:7" x14ac:dyDescent="0.25">
      <c r="C48" s="24" t="str">
        <f>REPLACE(B41,4,4,"Kawser")</f>
        <v>MarKawser Khan</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E665-7FB7-4C1F-9955-5F96AA0C507C}">
  <sheetPr codeName="Sheet11"/>
  <dimension ref="B2:Q94"/>
  <sheetViews>
    <sheetView workbookViewId="0">
      <selection activeCell="B15" sqref="B15"/>
    </sheetView>
  </sheetViews>
  <sheetFormatPr defaultRowHeight="15" x14ac:dyDescent="0.25"/>
  <cols>
    <col min="2" max="2" width="15.5703125" bestFit="1" customWidth="1"/>
    <col min="3" max="3" width="12.140625" customWidth="1"/>
    <col min="4" max="4" width="11.5703125" customWidth="1"/>
    <col min="5" max="5" width="11.140625" customWidth="1"/>
    <col min="6" max="6" width="10.42578125" bestFit="1" customWidth="1"/>
  </cols>
  <sheetData>
    <row r="2" spans="2:11" ht="23.25" x14ac:dyDescent="0.35">
      <c r="B2" s="29" t="s">
        <v>294</v>
      </c>
      <c r="C2" s="33"/>
      <c r="D2" s="33"/>
      <c r="E2" s="33"/>
      <c r="F2" s="33"/>
      <c r="G2" s="34"/>
    </row>
    <row r="3" spans="2:11" x14ac:dyDescent="0.25">
      <c r="B3" s="41" t="s">
        <v>295</v>
      </c>
      <c r="C3" s="28"/>
      <c r="D3" s="28"/>
      <c r="E3" s="28"/>
      <c r="F3" s="28"/>
      <c r="G3" s="28"/>
      <c r="H3" s="25"/>
    </row>
    <row r="5" spans="2:11" x14ac:dyDescent="0.25">
      <c r="B5" s="23" t="s">
        <v>296</v>
      </c>
      <c r="C5" s="23" t="s">
        <v>297</v>
      </c>
      <c r="D5" s="23" t="s">
        <v>298</v>
      </c>
    </row>
    <row r="6" spans="2:11" x14ac:dyDescent="0.25">
      <c r="B6" s="24">
        <v>2015</v>
      </c>
      <c r="C6" s="24">
        <v>10</v>
      </c>
      <c r="D6" s="48">
        <v>15</v>
      </c>
      <c r="F6" s="49">
        <f>DATE(B6,C6,D6)</f>
        <v>42292</v>
      </c>
    </row>
    <row r="7" spans="2:11" x14ac:dyDescent="0.25">
      <c r="B7" s="24">
        <v>2010</v>
      </c>
      <c r="C7" s="24">
        <v>5</v>
      </c>
      <c r="D7" s="48">
        <v>25</v>
      </c>
      <c r="F7" s="49">
        <f>DATE(2010,C6,D6)</f>
        <v>40466</v>
      </c>
    </row>
    <row r="8" spans="2:11" x14ac:dyDescent="0.25">
      <c r="B8" s="24">
        <v>1805</v>
      </c>
      <c r="C8" s="24">
        <v>8</v>
      </c>
      <c r="D8" s="48">
        <v>23</v>
      </c>
      <c r="F8" s="49">
        <f>DATE(B8,C8,D8)</f>
        <v>659499</v>
      </c>
    </row>
    <row r="12" spans="2:11" ht="23.25" x14ac:dyDescent="0.35">
      <c r="B12" s="39" t="s">
        <v>299</v>
      </c>
      <c r="C12" s="40"/>
      <c r="D12" s="40"/>
      <c r="E12" s="40"/>
      <c r="F12" s="40"/>
      <c r="G12" s="30"/>
    </row>
    <row r="13" spans="2:11" x14ac:dyDescent="0.25">
      <c r="B13" s="41" t="s">
        <v>300</v>
      </c>
      <c r="C13" s="42"/>
      <c r="D13" s="42"/>
      <c r="E13" s="42"/>
      <c r="F13" s="28"/>
      <c r="G13" s="28"/>
      <c r="H13" s="25"/>
      <c r="I13" s="25"/>
      <c r="J13" s="25"/>
      <c r="K13" s="25"/>
    </row>
    <row r="15" spans="2:11" x14ac:dyDescent="0.25">
      <c r="B15" s="32">
        <f>DATEVALUE("25/10/2015")</f>
        <v>42302</v>
      </c>
    </row>
    <row r="16" spans="2:11" x14ac:dyDescent="0.25">
      <c r="B16" s="32">
        <f>DATEVALUE("22 May, 2015")</f>
        <v>42146</v>
      </c>
    </row>
    <row r="17" spans="2:17" x14ac:dyDescent="0.25">
      <c r="B17" s="32">
        <f>DATEVALUE("22-May-2015")</f>
        <v>42146</v>
      </c>
    </row>
    <row r="20" spans="2:17" ht="23.25" x14ac:dyDescent="0.35">
      <c r="B20" s="39" t="s">
        <v>301</v>
      </c>
      <c r="C20" s="40"/>
      <c r="D20" s="40"/>
      <c r="E20" s="40"/>
      <c r="F20" s="40"/>
      <c r="G20" s="30"/>
    </row>
    <row r="21" spans="2:17" x14ac:dyDescent="0.25">
      <c r="B21" s="41" t="s">
        <v>302</v>
      </c>
      <c r="C21" s="42"/>
      <c r="D21" s="42"/>
      <c r="E21" s="42"/>
      <c r="F21" s="42"/>
      <c r="G21" s="28"/>
      <c r="H21" s="25"/>
      <c r="I21" s="25"/>
      <c r="J21" s="25"/>
      <c r="K21" s="25"/>
    </row>
    <row r="23" spans="2:17" x14ac:dyDescent="0.25">
      <c r="B23" s="23" t="s">
        <v>303</v>
      </c>
      <c r="C23" s="23" t="s">
        <v>304</v>
      </c>
      <c r="D23" s="23" t="s">
        <v>305</v>
      </c>
    </row>
    <row r="24" spans="2:17" x14ac:dyDescent="0.25">
      <c r="B24" s="24">
        <v>12</v>
      </c>
      <c r="C24" s="32">
        <v>30</v>
      </c>
      <c r="D24" s="48">
        <v>30</v>
      </c>
      <c r="F24" s="37">
        <f>TIME(B24,C24,D24)</f>
        <v>0.52118055555555554</v>
      </c>
    </row>
    <row r="25" spans="2:17" x14ac:dyDescent="0.25">
      <c r="B25" s="24">
        <v>16</v>
      </c>
      <c r="C25" s="32">
        <v>45</v>
      </c>
      <c r="D25" s="48">
        <v>30</v>
      </c>
      <c r="F25" s="37">
        <f>TIME(B25,C25,D25)</f>
        <v>0.69826388888888891</v>
      </c>
    </row>
    <row r="26" spans="2:17" x14ac:dyDescent="0.25">
      <c r="B26" s="24">
        <v>16</v>
      </c>
      <c r="C26" s="32">
        <v>48</v>
      </c>
      <c r="D26" s="48">
        <v>15</v>
      </c>
      <c r="F26" s="37">
        <f>TIME(B26,C26,D26)</f>
        <v>0.70017361111111109</v>
      </c>
    </row>
    <row r="29" spans="2:17" ht="23.25" x14ac:dyDescent="0.35">
      <c r="B29" s="39" t="s">
        <v>306</v>
      </c>
      <c r="C29" s="40"/>
      <c r="D29" s="40"/>
      <c r="E29" s="40"/>
      <c r="F29" s="40"/>
      <c r="G29" s="45"/>
      <c r="H29" s="50"/>
      <c r="I29" s="36"/>
    </row>
    <row r="30" spans="2:17" x14ac:dyDescent="0.25">
      <c r="B30" s="41" t="s">
        <v>307</v>
      </c>
      <c r="C30" s="42"/>
      <c r="D30" s="42"/>
      <c r="E30" s="42"/>
      <c r="F30" s="42"/>
      <c r="G30" s="42"/>
      <c r="H30" s="42"/>
      <c r="I30" s="28"/>
      <c r="J30" s="25"/>
      <c r="K30" s="25"/>
      <c r="L30" s="25"/>
      <c r="M30" s="25"/>
      <c r="N30" s="25"/>
      <c r="O30" s="25"/>
      <c r="P30" s="25"/>
      <c r="Q30" s="25"/>
    </row>
    <row r="32" spans="2:17" x14ac:dyDescent="0.25">
      <c r="B32" s="37">
        <f>TIMEVALUE("2:50 PM")</f>
        <v>0.61805555555555558</v>
      </c>
    </row>
    <row r="33" spans="2:6" x14ac:dyDescent="0.25">
      <c r="B33" s="37">
        <f>TIMEVALUE("22-AUGUST-2015 2:50 PM")</f>
        <v>0.61805555555474712</v>
      </c>
    </row>
    <row r="36" spans="2:6" ht="23.25" x14ac:dyDescent="0.35">
      <c r="B36" s="39" t="s">
        <v>308</v>
      </c>
      <c r="C36" s="40"/>
      <c r="D36" s="40"/>
      <c r="E36" s="24"/>
    </row>
    <row r="37" spans="2:6" x14ac:dyDescent="0.25">
      <c r="B37" s="41" t="s">
        <v>309</v>
      </c>
      <c r="C37" s="42"/>
      <c r="D37" s="42"/>
      <c r="E37" s="28"/>
      <c r="F37" s="25"/>
    </row>
    <row r="39" spans="2:6" x14ac:dyDescent="0.25">
      <c r="B39" s="38">
        <f ca="1">NOW()</f>
        <v>46312.447446064813</v>
      </c>
    </row>
    <row r="40" spans="2:6" x14ac:dyDescent="0.25">
      <c r="B40" s="38">
        <f ca="1">NOW()+7</f>
        <v>46319.447446064813</v>
      </c>
    </row>
    <row r="43" spans="2:6" ht="23.25" x14ac:dyDescent="0.35">
      <c r="B43" s="29" t="s">
        <v>310</v>
      </c>
      <c r="C43" s="24"/>
      <c r="D43" s="24"/>
    </row>
    <row r="44" spans="2:6" x14ac:dyDescent="0.25">
      <c r="B44" s="28" t="s">
        <v>311</v>
      </c>
      <c r="C44" s="28"/>
      <c r="D44" s="28"/>
    </row>
    <row r="46" spans="2:6" x14ac:dyDescent="0.25">
      <c r="B46" s="49">
        <f ca="1">TODAY()</f>
        <v>46312</v>
      </c>
    </row>
    <row r="49" spans="2:9" ht="23.25" x14ac:dyDescent="0.35">
      <c r="B49" s="29" t="s">
        <v>312</v>
      </c>
      <c r="C49" s="24"/>
      <c r="D49" s="24"/>
      <c r="E49" s="24"/>
      <c r="F49" s="24"/>
      <c r="G49" s="30"/>
      <c r="H49" s="24"/>
      <c r="I49" s="25"/>
    </row>
    <row r="50" spans="2:9" x14ac:dyDescent="0.25">
      <c r="B50" s="28" t="s">
        <v>313</v>
      </c>
      <c r="C50" s="28"/>
      <c r="D50" s="28"/>
      <c r="E50" s="28"/>
      <c r="F50" s="28"/>
      <c r="G50" s="28"/>
      <c r="H50" s="28"/>
      <c r="I50" s="25"/>
    </row>
    <row r="52" spans="2:9" x14ac:dyDescent="0.25">
      <c r="B52" s="23" t="s">
        <v>314</v>
      </c>
    </row>
    <row r="53" spans="2:9" x14ac:dyDescent="0.25">
      <c r="B53" s="24" t="s">
        <v>315</v>
      </c>
      <c r="D53">
        <f ca="1">YEAR(NOW())</f>
        <v>2026</v>
      </c>
    </row>
    <row r="54" spans="2:9" x14ac:dyDescent="0.25">
      <c r="B54" s="24" t="s">
        <v>316</v>
      </c>
      <c r="D54">
        <f ca="1">MONTH(NOW())</f>
        <v>10</v>
      </c>
    </row>
    <row r="55" spans="2:9" x14ac:dyDescent="0.25">
      <c r="B55" s="24" t="s">
        <v>317</v>
      </c>
      <c r="D55">
        <f ca="1">DAY(NOW())</f>
        <v>17</v>
      </c>
    </row>
    <row r="56" spans="2:9" x14ac:dyDescent="0.25">
      <c r="B56" s="24" t="s">
        <v>318</v>
      </c>
      <c r="D56">
        <f ca="1">HOUR(NOW())</f>
        <v>10</v>
      </c>
    </row>
    <row r="57" spans="2:9" x14ac:dyDescent="0.25">
      <c r="B57" s="24" t="s">
        <v>319</v>
      </c>
      <c r="D57">
        <f ca="1">MINUTE(NOW())</f>
        <v>44</v>
      </c>
    </row>
    <row r="58" spans="2:9" x14ac:dyDescent="0.25">
      <c r="B58" s="24" t="s">
        <v>320</v>
      </c>
      <c r="D58">
        <f ca="1">SECOND(NOW())</f>
        <v>19</v>
      </c>
    </row>
    <row r="62" spans="2:9" ht="23.25" x14ac:dyDescent="0.35">
      <c r="B62" s="29" t="s">
        <v>321</v>
      </c>
      <c r="C62" s="24"/>
      <c r="D62" s="24"/>
      <c r="E62" s="24"/>
      <c r="F62" s="24"/>
      <c r="G62" s="30"/>
    </row>
    <row r="63" spans="2:9" x14ac:dyDescent="0.25">
      <c r="B63" s="28" t="s">
        <v>322</v>
      </c>
      <c r="C63" s="28"/>
      <c r="D63" s="28"/>
      <c r="E63" s="28"/>
      <c r="F63" s="28"/>
      <c r="G63" s="28"/>
    </row>
    <row r="65" spans="2:8" x14ac:dyDescent="0.25">
      <c r="B65">
        <f ca="1">WEEKDAY(NOW())</f>
        <v>7</v>
      </c>
    </row>
    <row r="66" spans="2:8" x14ac:dyDescent="0.25">
      <c r="B66">
        <f ca="1">WEEKDAY(NOW(),16)</f>
        <v>1</v>
      </c>
    </row>
    <row r="70" spans="2:8" ht="23.25" x14ac:dyDescent="0.35">
      <c r="B70" s="29" t="s">
        <v>323</v>
      </c>
      <c r="C70" s="24"/>
      <c r="D70" s="24"/>
      <c r="E70" s="25"/>
    </row>
    <row r="71" spans="2:8" x14ac:dyDescent="0.25">
      <c r="B71" s="28" t="s">
        <v>324</v>
      </c>
      <c r="C71" s="28"/>
      <c r="D71" s="28"/>
      <c r="E71" s="25"/>
    </row>
    <row r="73" spans="2:8" x14ac:dyDescent="0.25">
      <c r="B73" s="23" t="s">
        <v>325</v>
      </c>
      <c r="C73" s="23" t="s">
        <v>326</v>
      </c>
      <c r="E73">
        <f>_xlfn.DAYS(B74,C74)</f>
        <v>12531</v>
      </c>
    </row>
    <row r="74" spans="2:8" x14ac:dyDescent="0.25">
      <c r="B74" s="32">
        <v>42310</v>
      </c>
      <c r="C74" s="32">
        <v>29779</v>
      </c>
      <c r="E74">
        <f>_xlfn.DAYS("15-SEP-2026","6-JAN-2006")</f>
        <v>7557</v>
      </c>
    </row>
    <row r="78" spans="2:8" ht="23.25" x14ac:dyDescent="0.35">
      <c r="B78" s="29" t="s">
        <v>327</v>
      </c>
      <c r="C78" s="24"/>
      <c r="D78" s="24"/>
      <c r="E78" s="24"/>
      <c r="F78" s="24"/>
      <c r="G78" s="30"/>
      <c r="H78" s="25"/>
    </row>
    <row r="79" spans="2:8" x14ac:dyDescent="0.25">
      <c r="B79" s="28" t="s">
        <v>328</v>
      </c>
      <c r="C79" s="28"/>
      <c r="D79" s="28"/>
      <c r="E79" s="28"/>
      <c r="F79" s="28"/>
      <c r="G79" s="28"/>
      <c r="H79" s="25"/>
    </row>
    <row r="81" spans="2:8" x14ac:dyDescent="0.25">
      <c r="B81" s="23" t="s">
        <v>329</v>
      </c>
      <c r="C81" s="51" t="s">
        <v>330</v>
      </c>
      <c r="D81" s="52"/>
    </row>
    <row r="82" spans="2:8" x14ac:dyDescent="0.25">
      <c r="B82" s="32">
        <v>40918</v>
      </c>
      <c r="C82" s="164" t="s">
        <v>331</v>
      </c>
      <c r="D82" s="165"/>
      <c r="F82">
        <f>NETWORKDAYS(B82,B83)</f>
        <v>496</v>
      </c>
    </row>
    <row r="83" spans="2:8" x14ac:dyDescent="0.25">
      <c r="B83" s="32">
        <v>41611</v>
      </c>
      <c r="C83" s="164" t="s">
        <v>332</v>
      </c>
      <c r="D83" s="165"/>
      <c r="F83">
        <f>NETWORKDAYS(B82,B83,B84:B86)</f>
        <v>493</v>
      </c>
    </row>
    <row r="84" spans="2:8" x14ac:dyDescent="0.25">
      <c r="B84" s="32">
        <v>41235</v>
      </c>
      <c r="C84" s="164" t="s">
        <v>333</v>
      </c>
      <c r="D84" s="165"/>
    </row>
    <row r="85" spans="2:8" x14ac:dyDescent="0.25">
      <c r="B85" s="32">
        <v>41011</v>
      </c>
      <c r="C85" s="164" t="s">
        <v>333</v>
      </c>
      <c r="D85" s="165"/>
    </row>
    <row r="86" spans="2:8" x14ac:dyDescent="0.25">
      <c r="B86" s="32">
        <v>41295</v>
      </c>
      <c r="C86" s="164" t="s">
        <v>333</v>
      </c>
      <c r="D86" s="165"/>
    </row>
    <row r="89" spans="2:8" ht="23.25" x14ac:dyDescent="0.35">
      <c r="B89" s="29" t="s">
        <v>334</v>
      </c>
      <c r="C89" s="24"/>
      <c r="D89" s="24"/>
      <c r="E89" s="33"/>
      <c r="F89" s="33"/>
      <c r="G89" s="34"/>
    </row>
    <row r="90" spans="2:8" x14ac:dyDescent="0.25">
      <c r="B90" s="28" t="s">
        <v>335</v>
      </c>
      <c r="C90" s="28"/>
      <c r="D90" s="28"/>
      <c r="E90" s="28"/>
      <c r="F90" s="28"/>
      <c r="G90" s="28"/>
      <c r="H90" s="25"/>
    </row>
    <row r="92" spans="2:8" x14ac:dyDescent="0.25">
      <c r="B92" s="23" t="s">
        <v>326</v>
      </c>
      <c r="C92" s="32">
        <v>41945</v>
      </c>
      <c r="D92" s="32"/>
      <c r="E92" s="32"/>
    </row>
    <row r="93" spans="2:8" x14ac:dyDescent="0.25">
      <c r="B93" s="23" t="s">
        <v>336</v>
      </c>
      <c r="C93" s="24">
        <v>200</v>
      </c>
      <c r="D93" s="32"/>
      <c r="E93" s="32"/>
      <c r="F93" s="49">
        <f>WORKDAY(C92,C93)</f>
        <v>42223</v>
      </c>
    </row>
    <row r="94" spans="2:8" x14ac:dyDescent="0.25">
      <c r="B94" s="23" t="s">
        <v>337</v>
      </c>
      <c r="C94" s="32">
        <v>42262</v>
      </c>
      <c r="D94" s="32">
        <v>41989</v>
      </c>
      <c r="E94" s="32">
        <v>41724</v>
      </c>
      <c r="F94" s="49">
        <f>WORKDAY(C92,C93,C94:E94)</f>
        <v>42226</v>
      </c>
    </row>
  </sheetData>
  <mergeCells count="5">
    <mergeCell ref="C82:D82"/>
    <mergeCell ref="C83:D83"/>
    <mergeCell ref="C84:D84"/>
    <mergeCell ref="C85:D85"/>
    <mergeCell ref="C86:D8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DBC7-B3FD-4AB5-824D-CB3693686E83}">
  <sheetPr codeName="Sheet12"/>
  <dimension ref="B2:J77"/>
  <sheetViews>
    <sheetView topLeftCell="A67" workbookViewId="0">
      <selection activeCell="G76" sqref="G76"/>
    </sheetView>
  </sheetViews>
  <sheetFormatPr defaultColWidth="10.140625" defaultRowHeight="23.25" customHeight="1" x14ac:dyDescent="0.25"/>
  <cols>
    <col min="2" max="2" width="29.7109375" customWidth="1"/>
    <col min="3" max="3" width="15.85546875" customWidth="1"/>
    <col min="4" max="4" width="17.5703125" customWidth="1"/>
    <col min="7" max="7" width="32.5703125" customWidth="1"/>
    <col min="8" max="8" width="11" customWidth="1"/>
    <col min="9" max="9" width="45.42578125" customWidth="1"/>
  </cols>
  <sheetData>
    <row r="2" spans="2:9" ht="23.25" customHeight="1" x14ac:dyDescent="0.35">
      <c r="B2" s="39" t="s">
        <v>338</v>
      </c>
      <c r="C2" s="40"/>
      <c r="D2" s="40"/>
      <c r="E2" s="40"/>
      <c r="F2" s="40"/>
      <c r="G2" s="40"/>
      <c r="H2" s="40"/>
      <c r="I2" s="43"/>
    </row>
    <row r="3" spans="2:9" ht="23.25" customHeight="1" x14ac:dyDescent="0.25">
      <c r="B3" s="41" t="s">
        <v>339</v>
      </c>
      <c r="C3" s="42"/>
      <c r="D3" s="42"/>
      <c r="E3" s="42"/>
      <c r="F3" s="42"/>
      <c r="G3" s="42"/>
      <c r="H3" s="42"/>
      <c r="I3" s="44"/>
    </row>
    <row r="4" spans="2:9" ht="23.25" customHeight="1" x14ac:dyDescent="0.25">
      <c r="B4" s="53"/>
      <c r="C4" s="53"/>
      <c r="D4" s="53"/>
      <c r="E4" s="53"/>
      <c r="F4" s="53"/>
      <c r="G4" s="53"/>
      <c r="H4" s="53"/>
      <c r="I4" s="53"/>
    </row>
    <row r="5" spans="2:9" ht="23.25" customHeight="1" x14ac:dyDescent="0.25">
      <c r="B5" s="53"/>
      <c r="C5" s="23" t="s">
        <v>178</v>
      </c>
      <c r="D5" s="46" t="s">
        <v>340</v>
      </c>
    </row>
    <row r="6" spans="2:9" ht="23.25" customHeight="1" x14ac:dyDescent="0.25">
      <c r="B6" s="53"/>
      <c r="C6" s="24" t="str">
        <f ca="1">_xlfn.FORMULATEXT(D6)</f>
        <v>=ADDRESS(2,3)</v>
      </c>
      <c r="D6" s="24" t="str">
        <f>ADDRESS(2,3)</f>
        <v>$C$2</v>
      </c>
    </row>
    <row r="7" spans="2:9" ht="23.25" customHeight="1" x14ac:dyDescent="0.25">
      <c r="B7" s="53"/>
      <c r="C7" s="24" t="str">
        <f t="shared" ref="C7:C10" ca="1" si="0">_xlfn.FORMULATEXT(D7)</f>
        <v>=ADDRESS(2,3,2)</v>
      </c>
      <c r="D7" s="32" t="str">
        <f>ADDRESS(2,3,2)</f>
        <v>C$2</v>
      </c>
    </row>
    <row r="8" spans="2:9" ht="23.25" customHeight="1" x14ac:dyDescent="0.25">
      <c r="B8" s="53"/>
      <c r="C8" s="24" t="str">
        <f t="shared" ca="1" si="0"/>
        <v>=ADDRESS(2,3,2,FALSE)</v>
      </c>
      <c r="D8" s="24" t="str">
        <f>ADDRESS(2,3,2,FALSE)</f>
        <v>R2C[3]</v>
      </c>
    </row>
    <row r="9" spans="2:9" ht="23.25" customHeight="1" x14ac:dyDescent="0.25">
      <c r="B9" s="53"/>
      <c r="C9" s="24" t="str">
        <f t="shared" ca="1" si="0"/>
        <v>=ADDRESS(2,3,1,FALSE,"[Book1]Sheet1")</v>
      </c>
      <c r="D9" s="24" t="str">
        <f>ADDRESS(2,3,1,FALSE,"[Book1]Sheet1")</f>
        <v>[Book1]Sheet1!R2C3</v>
      </c>
    </row>
    <row r="10" spans="2:9" ht="23.25" customHeight="1" x14ac:dyDescent="0.25">
      <c r="B10" s="53"/>
      <c r="C10" s="24" t="str">
        <f t="shared" ca="1" si="0"/>
        <v>=ADDRESS(2,3,4,FALSE,"EXCEL SHEET")</v>
      </c>
      <c r="D10" s="32" t="str">
        <f>ADDRESS(2,3,4,FALSE,"EXCEL SHEET")</f>
        <v>'EXCEL SHEET'!R[2]C[3]</v>
      </c>
    </row>
    <row r="11" spans="2:9" ht="23.25" customHeight="1" x14ac:dyDescent="0.25">
      <c r="B11" s="53"/>
      <c r="C11" s="53"/>
      <c r="D11" s="53"/>
      <c r="E11" s="53"/>
    </row>
    <row r="12" spans="2:9" ht="23.25" customHeight="1" x14ac:dyDescent="0.25">
      <c r="B12" s="53"/>
      <c r="C12" s="53"/>
      <c r="D12" s="53"/>
      <c r="E12" s="53"/>
    </row>
    <row r="13" spans="2:9" ht="23.25" customHeight="1" x14ac:dyDescent="0.35">
      <c r="B13" s="39" t="s">
        <v>342</v>
      </c>
      <c r="C13" s="40"/>
      <c r="D13" s="40"/>
      <c r="E13" s="40"/>
      <c r="F13" s="40"/>
      <c r="G13" s="40"/>
      <c r="H13" s="40"/>
      <c r="I13" s="43"/>
    </row>
    <row r="14" spans="2:9" ht="23.25" customHeight="1" x14ac:dyDescent="0.25">
      <c r="B14" s="41" t="s">
        <v>343</v>
      </c>
      <c r="C14" s="42"/>
      <c r="D14" s="42"/>
      <c r="E14" s="42"/>
      <c r="F14" s="42"/>
      <c r="G14" s="42"/>
      <c r="H14" s="42"/>
      <c r="I14" s="44"/>
    </row>
    <row r="15" spans="2:9" ht="23.25" customHeight="1" x14ac:dyDescent="0.25">
      <c r="B15" s="53"/>
      <c r="C15" s="53"/>
      <c r="D15" s="53"/>
      <c r="E15" s="53"/>
      <c r="F15" s="53"/>
      <c r="G15" s="53"/>
      <c r="H15" s="53"/>
      <c r="I15" s="53"/>
    </row>
    <row r="16" spans="2:9" ht="23.25" customHeight="1" x14ac:dyDescent="0.25">
      <c r="B16" s="23" t="s">
        <v>280</v>
      </c>
      <c r="C16" s="53"/>
      <c r="D16" s="53"/>
      <c r="E16" s="53"/>
      <c r="F16" s="53"/>
      <c r="G16" s="23" t="s">
        <v>178</v>
      </c>
      <c r="H16" s="46" t="s">
        <v>340</v>
      </c>
      <c r="I16" s="46" t="s">
        <v>341</v>
      </c>
    </row>
    <row r="17" spans="2:9" ht="23.25" customHeight="1" x14ac:dyDescent="0.25">
      <c r="B17" s="24" t="s">
        <v>228</v>
      </c>
      <c r="C17" s="53"/>
      <c r="D17" s="53" t="str">
        <f>CHOOSE(3,B17,B18,B19,B20,B21,B22,)</f>
        <v>Excel BI</v>
      </c>
      <c r="E17" s="53"/>
      <c r="F17" s="53"/>
      <c r="G17" s="24" t="str">
        <f ca="1">_xlfn.FORMULATEXT(H17)</f>
        <v>=CHOOSE(3,B17,B18,B19,B20,B21,B22)</v>
      </c>
      <c r="H17" s="24" t="str">
        <f>CHOOSE(3,B17,B18,B19,B20,B21,B22)</f>
        <v>Excel BI</v>
      </c>
      <c r="I17" s="48" t="s">
        <v>344</v>
      </c>
    </row>
    <row r="18" spans="2:9" ht="23.25" customHeight="1" x14ac:dyDescent="0.25">
      <c r="B18" s="24" t="s">
        <v>345</v>
      </c>
      <c r="C18" s="53"/>
      <c r="D18" s="53" t="str">
        <f>CHOOSE(5,B17,B18,B19,B20,B21,B22,B22)</f>
        <v>Power Pivot</v>
      </c>
      <c r="E18" s="53"/>
      <c r="F18" s="53"/>
      <c r="G18" s="24" t="str">
        <f ca="1">_xlfn.FORMULATEXT(H18)</f>
        <v>=CHOOSE(5,B17,B18,B19,B20,B21,B22)</v>
      </c>
      <c r="H18" s="32" t="str">
        <f>CHOOSE(5,B17,B18,B19,B20,B21,B22)</f>
        <v>Power Pivot</v>
      </c>
      <c r="I18" s="48" t="s">
        <v>346</v>
      </c>
    </row>
    <row r="19" spans="2:9" ht="23.25" customHeight="1" x14ac:dyDescent="0.25">
      <c r="B19" s="24" t="s">
        <v>347</v>
      </c>
      <c r="C19" s="53"/>
      <c r="D19" s="53"/>
      <c r="E19" s="53"/>
      <c r="F19" s="53"/>
      <c r="G19" s="53"/>
      <c r="H19" s="53"/>
      <c r="I19" s="53"/>
    </row>
    <row r="20" spans="2:9" ht="23.25" customHeight="1" x14ac:dyDescent="0.25">
      <c r="B20" s="24" t="s">
        <v>348</v>
      </c>
      <c r="C20" s="53"/>
      <c r="D20" s="53"/>
      <c r="E20" s="53"/>
      <c r="F20" s="53"/>
      <c r="G20" s="53"/>
      <c r="H20" s="53"/>
      <c r="I20" s="53"/>
    </row>
    <row r="21" spans="2:9" ht="23.25" customHeight="1" x14ac:dyDescent="0.25">
      <c r="B21" s="24" t="s">
        <v>349</v>
      </c>
      <c r="C21" s="53"/>
      <c r="D21" s="53"/>
      <c r="E21" s="53"/>
      <c r="F21" s="53"/>
      <c r="G21" s="53"/>
      <c r="H21" s="53"/>
      <c r="I21" s="53"/>
    </row>
    <row r="22" spans="2:9" ht="23.25" customHeight="1" x14ac:dyDescent="0.25">
      <c r="B22" s="24" t="s">
        <v>350</v>
      </c>
      <c r="C22" s="53"/>
      <c r="D22" s="53"/>
      <c r="E22" s="53"/>
      <c r="F22" s="53"/>
      <c r="G22" s="53"/>
      <c r="H22" s="53"/>
      <c r="I22" s="53"/>
    </row>
    <row r="25" spans="2:9" ht="23.25" customHeight="1" x14ac:dyDescent="0.35">
      <c r="B25" s="39" t="s">
        <v>351</v>
      </c>
      <c r="C25" s="39" t="s">
        <v>352</v>
      </c>
      <c r="D25" s="39"/>
      <c r="E25" s="39"/>
      <c r="F25" s="39"/>
      <c r="G25" s="29"/>
      <c r="H25" s="29"/>
      <c r="I25" s="29"/>
    </row>
    <row r="26" spans="2:9" ht="23.25" customHeight="1" x14ac:dyDescent="0.25">
      <c r="B26" s="41" t="s">
        <v>353</v>
      </c>
      <c r="C26" s="42"/>
      <c r="D26" s="42"/>
      <c r="E26" s="42"/>
      <c r="F26" s="42"/>
      <c r="G26" s="35"/>
    </row>
    <row r="27" spans="2:9" ht="23.25" customHeight="1" x14ac:dyDescent="0.35">
      <c r="B27" s="55" t="s">
        <v>354</v>
      </c>
      <c r="C27" s="39" t="s">
        <v>355</v>
      </c>
      <c r="D27" s="39"/>
      <c r="E27" s="39"/>
      <c r="F27" s="39"/>
      <c r="G27" s="29"/>
    </row>
    <row r="28" spans="2:9" ht="23.25" customHeight="1" x14ac:dyDescent="0.25">
      <c r="B28" s="41" t="s">
        <v>356</v>
      </c>
      <c r="C28" s="42"/>
      <c r="D28" s="42"/>
      <c r="E28" s="42"/>
      <c r="F28" s="42"/>
      <c r="G28" s="28"/>
    </row>
    <row r="29" spans="2:9" ht="23.25" customHeight="1" x14ac:dyDescent="0.25">
      <c r="B29" s="53"/>
      <c r="C29" s="53"/>
      <c r="D29" s="53"/>
      <c r="E29" s="53"/>
      <c r="F29" s="53"/>
      <c r="G29" s="53"/>
      <c r="H29" s="53"/>
      <c r="I29" s="53"/>
    </row>
    <row r="30" spans="2:9" ht="23.25" customHeight="1" x14ac:dyDescent="0.3">
      <c r="B30" s="56" t="s">
        <v>357</v>
      </c>
      <c r="C30" s="53"/>
      <c r="D30" s="53"/>
      <c r="E30" s="53"/>
      <c r="F30" s="53"/>
      <c r="G30" s="53"/>
      <c r="H30" s="53"/>
      <c r="I30" s="53"/>
    </row>
    <row r="31" spans="2:9" ht="23.25" customHeight="1" x14ac:dyDescent="0.25">
      <c r="B31" s="53"/>
      <c r="C31" s="53"/>
      <c r="D31" s="53"/>
      <c r="E31" s="53"/>
      <c r="F31" s="53"/>
      <c r="G31" s="53"/>
      <c r="H31" s="53"/>
      <c r="I31" s="53"/>
    </row>
    <row r="32" spans="2:9" ht="23.25" customHeight="1" x14ac:dyDescent="0.25">
      <c r="B32" s="23" t="s">
        <v>280</v>
      </c>
      <c r="C32" s="23" t="s">
        <v>280</v>
      </c>
      <c r="D32" s="53"/>
      <c r="E32" s="53"/>
      <c r="F32" s="53"/>
      <c r="G32" s="23" t="s">
        <v>178</v>
      </c>
      <c r="H32" s="46" t="s">
        <v>340</v>
      </c>
      <c r="I32" s="46" t="s">
        <v>341</v>
      </c>
    </row>
    <row r="33" spans="2:9" ht="23.25" customHeight="1" x14ac:dyDescent="0.25">
      <c r="B33" s="24" t="s">
        <v>358</v>
      </c>
      <c r="C33" s="24" t="s">
        <v>359</v>
      </c>
      <c r="D33" s="53" t="str">
        <f>INDEX(B33:C34,2,2)</f>
        <v>Pears</v>
      </c>
      <c r="E33" s="53"/>
      <c r="F33" s="53"/>
      <c r="G33" s="24" t="str">
        <f ca="1">_xlfn.FORMULATEXT(H33)</f>
        <v>=INDEX(B33:C34,2,2)</v>
      </c>
      <c r="H33" s="24" t="str">
        <f>INDEX(B33:C34,2,2)</f>
        <v>Pears</v>
      </c>
      <c r="I33" s="48" t="s">
        <v>360</v>
      </c>
    </row>
    <row r="34" spans="2:9" ht="23.25" customHeight="1" x14ac:dyDescent="0.25">
      <c r="B34" s="24" t="s">
        <v>361</v>
      </c>
      <c r="C34" s="24" t="s">
        <v>362</v>
      </c>
      <c r="D34" s="53" t="str" cm="1">
        <f t="array" ref="D34:D35">INDEX(B33:C34,0,1)</f>
        <v>Apples</v>
      </c>
      <c r="E34" s="53"/>
      <c r="F34" s="53"/>
      <c r="G34" s="24" t="str">
        <f ca="1">_xlfn.FORMULATEXT(H34)</f>
        <v>{=INDEX(B33:C34,0,1)}</v>
      </c>
      <c r="H34" s="32" t="str">
        <f t="array" ref="H34:H35">INDEX(B33:C34,0,1)</f>
        <v>Apples</v>
      </c>
      <c r="I34" s="48" t="s">
        <v>363</v>
      </c>
    </row>
    <row r="35" spans="2:9" ht="23.25" customHeight="1" x14ac:dyDescent="0.25">
      <c r="B35" s="53"/>
      <c r="C35" s="53"/>
      <c r="D35" s="53" t="str">
        <v>Bananas</v>
      </c>
      <c r="E35" s="53"/>
      <c r="F35" s="53"/>
      <c r="G35" s="24" t="str">
        <f t="shared" ref="G35" ca="1" si="1">_xlfn.FORMULATEXT(H35)</f>
        <v>{=INDEX(B33:C34,0,1)}</v>
      </c>
      <c r="H35" s="32" t="str">
        <v>Bananas</v>
      </c>
      <c r="I35" s="48" t="s">
        <v>363</v>
      </c>
    </row>
    <row r="39" spans="2:9" ht="23.25" customHeight="1" x14ac:dyDescent="0.25">
      <c r="B39" s="23" t="s">
        <v>364</v>
      </c>
      <c r="C39" s="46" t="s">
        <v>365</v>
      </c>
      <c r="D39" s="46" t="s">
        <v>366</v>
      </c>
      <c r="E39" s="53"/>
      <c r="F39" s="53"/>
      <c r="G39" s="23" t="s">
        <v>178</v>
      </c>
      <c r="H39" s="46" t="s">
        <v>340</v>
      </c>
      <c r="I39" s="46" t="s">
        <v>341</v>
      </c>
    </row>
    <row r="40" spans="2:9" ht="23.25" customHeight="1" x14ac:dyDescent="0.25">
      <c r="B40" s="24" t="s">
        <v>358</v>
      </c>
      <c r="C40" s="54">
        <v>0.69</v>
      </c>
      <c r="D40" s="24">
        <v>40</v>
      </c>
      <c r="E40" s="53"/>
      <c r="F40" s="53"/>
      <c r="G40" s="24" t="str">
        <f ca="1">_xlfn.FORMULATEXT(H40)</f>
        <v>=INDEX(B40:D44,3,3)</v>
      </c>
      <c r="H40" s="54">
        <f>INDEX(B40:D44,3,3)</f>
        <v>15</v>
      </c>
      <c r="I40" s="48" t="s">
        <v>367</v>
      </c>
    </row>
    <row r="41" spans="2:9" ht="23.25" customHeight="1" x14ac:dyDescent="0.25">
      <c r="B41" s="24" t="s">
        <v>361</v>
      </c>
      <c r="C41" s="54">
        <v>0.34</v>
      </c>
      <c r="D41" s="24">
        <v>38</v>
      </c>
      <c r="E41" s="53"/>
      <c r="F41" s="53"/>
      <c r="G41" s="24" t="str">
        <f ca="1">_xlfn.FORMULATEXT(H41)</f>
        <v>=INDEX((B40:D44,B47:D50),3,2,2)</v>
      </c>
      <c r="H41" s="54">
        <f>INDEX((B40:D44,B47:D50),3,2,2)</f>
        <v>1.25</v>
      </c>
      <c r="I41" s="48" t="s">
        <v>368</v>
      </c>
    </row>
    <row r="42" spans="2:9" ht="23.25" customHeight="1" x14ac:dyDescent="0.25">
      <c r="B42" s="24" t="s">
        <v>359</v>
      </c>
      <c r="C42" s="54">
        <v>0.55000000000000004</v>
      </c>
      <c r="D42" s="24">
        <v>15</v>
      </c>
      <c r="E42" s="53"/>
      <c r="F42" s="53"/>
      <c r="G42" s="24" t="str">
        <f ca="1">_xlfn.FORMULATEXT(H42)</f>
        <v>=SUM(D40:INDEX(B40:D44,5,3))</v>
      </c>
      <c r="H42" s="54">
        <f>SUM(D40:INDEX(B40:D44,5,3))</f>
        <v>158</v>
      </c>
      <c r="I42" s="48" t="s">
        <v>369</v>
      </c>
    </row>
    <row r="43" spans="2:9" ht="23.25" customHeight="1" x14ac:dyDescent="0.25">
      <c r="B43" s="24" t="s">
        <v>370</v>
      </c>
      <c r="C43" s="54">
        <v>0.25</v>
      </c>
      <c r="D43" s="24">
        <v>25</v>
      </c>
      <c r="E43" s="53"/>
      <c r="F43" s="53"/>
      <c r="G43" s="53"/>
      <c r="H43" s="53"/>
      <c r="I43" s="53"/>
    </row>
    <row r="44" spans="2:9" ht="23.25" customHeight="1" x14ac:dyDescent="0.25">
      <c r="B44" s="24" t="s">
        <v>362</v>
      </c>
      <c r="C44" s="54">
        <v>0.59</v>
      </c>
      <c r="D44" s="24">
        <v>40</v>
      </c>
      <c r="E44" s="53"/>
      <c r="F44" s="53"/>
      <c r="G44" s="53"/>
      <c r="H44" s="53"/>
      <c r="I44" s="53"/>
    </row>
    <row r="45" spans="2:9" ht="23.25" customHeight="1" x14ac:dyDescent="0.25">
      <c r="E45" s="53"/>
      <c r="F45" s="53"/>
      <c r="G45" s="53">
        <f>INDEX(B40:D44,3,3)</f>
        <v>15</v>
      </c>
      <c r="H45" s="53"/>
      <c r="I45" s="53"/>
    </row>
    <row r="46" spans="2:9" ht="23.25" customHeight="1" x14ac:dyDescent="0.25">
      <c r="B46" s="23" t="s">
        <v>371</v>
      </c>
      <c r="C46" s="46" t="s">
        <v>365</v>
      </c>
      <c r="D46" s="46" t="s">
        <v>366</v>
      </c>
      <c r="E46" s="53"/>
      <c r="F46" s="53"/>
      <c r="G46" s="53">
        <f>INDEX((B40:D44,B47:D50),3,2,2)</f>
        <v>1.25</v>
      </c>
      <c r="H46" s="53"/>
      <c r="I46" s="53"/>
    </row>
    <row r="47" spans="2:9" ht="23.25" customHeight="1" x14ac:dyDescent="0.25">
      <c r="B47" s="24" t="s">
        <v>372</v>
      </c>
      <c r="C47" s="54">
        <v>2.8</v>
      </c>
      <c r="D47" s="24">
        <v>10</v>
      </c>
      <c r="E47" s="53"/>
      <c r="F47" s="53"/>
      <c r="G47" s="53">
        <f>SUM(D40:INDEX(B40:D44,5,3))</f>
        <v>158</v>
      </c>
      <c r="H47" s="53"/>
      <c r="I47" s="53"/>
    </row>
    <row r="48" spans="2:9" ht="23.25" customHeight="1" x14ac:dyDescent="0.25">
      <c r="B48" s="24" t="s">
        <v>373</v>
      </c>
      <c r="C48" s="54">
        <v>3.55</v>
      </c>
      <c r="D48" s="24">
        <v>16</v>
      </c>
      <c r="E48" s="53"/>
      <c r="F48" s="53"/>
      <c r="G48" s="53"/>
      <c r="H48" s="53"/>
      <c r="I48" s="53"/>
    </row>
    <row r="49" spans="2:10" ht="23.25" customHeight="1" x14ac:dyDescent="0.25">
      <c r="B49" s="24" t="s">
        <v>374</v>
      </c>
      <c r="C49" s="54">
        <v>1.25</v>
      </c>
      <c r="D49" s="24">
        <v>20</v>
      </c>
      <c r="E49" s="53"/>
      <c r="F49" s="53"/>
      <c r="G49" s="53"/>
      <c r="H49" s="53"/>
      <c r="I49" s="53"/>
    </row>
    <row r="50" spans="2:10" ht="23.25" customHeight="1" x14ac:dyDescent="0.25">
      <c r="B50" s="24" t="s">
        <v>375</v>
      </c>
      <c r="C50" s="54">
        <v>1.75</v>
      </c>
      <c r="D50" s="24">
        <v>12</v>
      </c>
      <c r="E50" s="53"/>
      <c r="F50" s="53"/>
      <c r="G50" s="53"/>
      <c r="H50" s="53"/>
      <c r="I50" s="53"/>
    </row>
    <row r="51" spans="2:10" ht="23.25" customHeight="1" x14ac:dyDescent="0.25">
      <c r="B51" s="53"/>
      <c r="C51" s="53"/>
      <c r="D51" s="53"/>
      <c r="E51" s="53"/>
      <c r="F51" s="53"/>
      <c r="G51" s="53"/>
      <c r="H51" s="53"/>
      <c r="I51" s="53"/>
    </row>
    <row r="53" spans="2:10" ht="23.25" customHeight="1" x14ac:dyDescent="0.35">
      <c r="B53" s="39" t="s">
        <v>376</v>
      </c>
      <c r="C53" s="40"/>
      <c r="D53" s="40"/>
      <c r="E53" s="40"/>
      <c r="F53" s="40"/>
      <c r="G53" s="40"/>
      <c r="H53" s="40"/>
      <c r="I53" s="43"/>
      <c r="J53" s="53"/>
    </row>
    <row r="54" spans="2:10" ht="23.25" customHeight="1" x14ac:dyDescent="0.25">
      <c r="B54" s="41" t="s">
        <v>377</v>
      </c>
      <c r="C54" s="42"/>
      <c r="D54" s="42"/>
      <c r="E54" s="42"/>
      <c r="F54" s="42"/>
      <c r="G54" s="42"/>
      <c r="H54" s="42"/>
      <c r="I54" s="44"/>
      <c r="J54" s="53"/>
    </row>
    <row r="55" spans="2:10" ht="23.25" customHeight="1" x14ac:dyDescent="0.25">
      <c r="B55" s="53"/>
      <c r="C55" s="53"/>
      <c r="D55" s="53"/>
      <c r="E55" s="53"/>
      <c r="F55" s="53"/>
      <c r="G55" s="53"/>
      <c r="H55" s="53"/>
      <c r="I55" s="53"/>
      <c r="J55" s="53"/>
    </row>
    <row r="56" spans="2:10" ht="26.25" customHeight="1" x14ac:dyDescent="0.25">
      <c r="B56" s="23" t="s">
        <v>280</v>
      </c>
      <c r="C56" s="46" t="s">
        <v>170</v>
      </c>
      <c r="D56" s="53"/>
      <c r="E56" s="53"/>
      <c r="F56" s="53"/>
      <c r="G56" s="23" t="s">
        <v>178</v>
      </c>
      <c r="H56" s="46" t="s">
        <v>340</v>
      </c>
      <c r="I56" s="46" t="s">
        <v>341</v>
      </c>
      <c r="J56" s="53"/>
    </row>
    <row r="57" spans="2:10" ht="45" customHeight="1" x14ac:dyDescent="0.25">
      <c r="B57" s="24" t="s">
        <v>385</v>
      </c>
      <c r="C57" s="57" t="s">
        <v>228</v>
      </c>
      <c r="D57" s="53" t="str">
        <f ca="1">INDIRECT(B57)</f>
        <v>Marissa</v>
      </c>
      <c r="E57" s="53"/>
      <c r="F57" s="53"/>
      <c r="G57" s="24" t="str">
        <f ca="1">_xlfn.FORMULATEXT(H57)</f>
        <v>=@INDIRECT(B57)</v>
      </c>
      <c r="H57" s="54" t="str">
        <f ca="1">INDIRECT(B57)</f>
        <v>Marissa</v>
      </c>
      <c r="I57" s="48" t="s">
        <v>378</v>
      </c>
      <c r="J57" s="53"/>
    </row>
    <row r="58" spans="2:10" ht="23.25" customHeight="1" x14ac:dyDescent="0.25">
      <c r="B58" s="24" t="s">
        <v>386</v>
      </c>
      <c r="C58" s="57" t="s">
        <v>229</v>
      </c>
      <c r="D58" s="53" t="str">
        <f ca="1">INDIRECT(B58)</f>
        <v>Kawser</v>
      </c>
      <c r="E58" s="53"/>
      <c r="F58" s="53"/>
      <c r="G58" s="24" t="str">
        <f t="shared" ref="G58:G62" ca="1" si="2">_xlfn.FORMULATEXT(H58)</f>
        <v>=@INDIRECT("C90")</v>
      </c>
      <c r="H58" s="54">
        <f ca="1">INDIRECT("C90")</f>
        <v>0</v>
      </c>
      <c r="I58" s="24" t="s">
        <v>379</v>
      </c>
      <c r="J58" s="53"/>
    </row>
    <row r="59" spans="2:10" ht="18" customHeight="1" x14ac:dyDescent="0.25">
      <c r="B59" s="24" t="s">
        <v>387</v>
      </c>
      <c r="C59" s="57" t="s">
        <v>345</v>
      </c>
      <c r="D59" s="53" t="str">
        <f ca="1">INDIRECT(B59)</f>
        <v>Excel</v>
      </c>
      <c r="E59" s="53"/>
      <c r="F59" s="53"/>
      <c r="G59" s="24" t="str">
        <f t="shared" ca="1" si="2"/>
        <v>=@INDIRECT(B59)</v>
      </c>
      <c r="H59" s="54" t="str">
        <f ca="1">INDIRECT(B59)</f>
        <v>Excel</v>
      </c>
      <c r="I59" s="48" t="s">
        <v>380</v>
      </c>
      <c r="J59" s="53"/>
    </row>
    <row r="60" spans="2:10" ht="40.5" customHeight="1" x14ac:dyDescent="0.25">
      <c r="B60" s="24" t="s">
        <v>381</v>
      </c>
      <c r="C60" s="57">
        <v>90000</v>
      </c>
      <c r="D60" s="53">
        <f ca="1">INDIRECT(B60)</f>
        <v>90000</v>
      </c>
      <c r="E60" s="53"/>
      <c r="F60" s="53"/>
      <c r="G60" s="24" t="str">
        <f t="shared" ca="1" si="2"/>
        <v>=@INDIRECT(B60)</v>
      </c>
      <c r="H60" s="54">
        <f ca="1">INDIRECT(B60)</f>
        <v>90000</v>
      </c>
      <c r="I60" s="48" t="s">
        <v>382</v>
      </c>
      <c r="J60" s="53"/>
    </row>
    <row r="61" spans="2:10" ht="38.25" customHeight="1" x14ac:dyDescent="0.25">
      <c r="B61" s="58" t="s">
        <v>388</v>
      </c>
      <c r="C61" s="57">
        <v>850</v>
      </c>
      <c r="D61" s="53">
        <f ca="1">INDIRECT(B61)</f>
        <v>850</v>
      </c>
      <c r="E61" s="53"/>
      <c r="F61" s="53"/>
      <c r="G61" s="24" t="str">
        <f t="shared" ca="1" si="2"/>
        <v>=@INDIRECT("C"&amp;B61)</v>
      </c>
      <c r="H61" s="54">
        <f ca="1">INDIRECT("C"&amp;B61)</f>
        <v>0</v>
      </c>
      <c r="I61" s="48" t="s">
        <v>383</v>
      </c>
      <c r="J61" s="53"/>
    </row>
    <row r="62" spans="2:10" ht="29.25" customHeight="1" x14ac:dyDescent="0.25">
      <c r="B62" s="53"/>
      <c r="C62" s="53"/>
      <c r="D62" s="53"/>
      <c r="E62" s="53"/>
      <c r="F62" s="53"/>
      <c r="G62" s="24" t="str">
        <f t="shared" ca="1" si="2"/>
        <v>=SUM(INDIRECT("C92:C93"))</v>
      </c>
      <c r="H62" s="54">
        <f ca="1">SUM(INDIRECT("C92:C93"))</f>
        <v>0</v>
      </c>
      <c r="I62" s="48" t="s">
        <v>384</v>
      </c>
      <c r="J62" s="53"/>
    </row>
    <row r="63" spans="2:10" ht="27" customHeight="1" x14ac:dyDescent="0.25"/>
    <row r="65" spans="2:9" ht="23.25" customHeight="1" x14ac:dyDescent="0.35">
      <c r="B65" s="39" t="s">
        <v>389</v>
      </c>
      <c r="C65" s="40"/>
      <c r="D65" s="40"/>
      <c r="E65" s="40"/>
      <c r="F65" s="40"/>
      <c r="G65" s="40"/>
      <c r="H65" s="40"/>
      <c r="I65" s="43"/>
    </row>
    <row r="66" spans="2:9" ht="23.25" customHeight="1" x14ac:dyDescent="0.25">
      <c r="B66" s="41" t="s">
        <v>390</v>
      </c>
      <c r="C66" s="42"/>
      <c r="D66" s="42"/>
      <c r="E66" s="42"/>
      <c r="F66" s="42"/>
      <c r="G66" s="42"/>
      <c r="H66" s="42"/>
      <c r="I66" s="44"/>
    </row>
    <row r="67" spans="2:9" ht="23.25" customHeight="1" x14ac:dyDescent="0.25">
      <c r="B67" s="53"/>
      <c r="C67" s="53"/>
      <c r="D67" s="53"/>
      <c r="E67" s="53"/>
      <c r="F67" s="53"/>
      <c r="G67" s="53"/>
      <c r="H67" s="53"/>
      <c r="I67" s="53"/>
    </row>
    <row r="68" spans="2:9" ht="23.25" customHeight="1" x14ac:dyDescent="0.25">
      <c r="B68" s="23" t="s">
        <v>280</v>
      </c>
      <c r="C68" s="46" t="s">
        <v>280</v>
      </c>
      <c r="D68" s="46" t="s">
        <v>280</v>
      </c>
      <c r="E68" s="53"/>
      <c r="F68" s="53"/>
      <c r="G68" s="23" t="s">
        <v>178</v>
      </c>
      <c r="H68" s="46" t="s">
        <v>340</v>
      </c>
      <c r="I68" s="46" t="s">
        <v>341</v>
      </c>
    </row>
    <row r="69" spans="2:9" ht="54" customHeight="1" x14ac:dyDescent="0.25">
      <c r="B69" s="24">
        <v>15</v>
      </c>
      <c r="C69" s="59">
        <v>25</v>
      </c>
      <c r="D69" s="59">
        <v>8</v>
      </c>
      <c r="E69" s="53"/>
      <c r="F69" s="53"/>
      <c r="G69" s="24" t="str">
        <f ca="1">_xlfn.FORMULATEXT(H69)</f>
        <v>=OFFSET(B72,-2,2,1,1)</v>
      </c>
      <c r="H69" s="24">
        <f ca="1">OFFSET(B72,-2,2,1,1)</f>
        <v>7</v>
      </c>
      <c r="I69" s="48" t="s">
        <v>391</v>
      </c>
    </row>
    <row r="70" spans="2:9" ht="23.25" customHeight="1" x14ac:dyDescent="0.25">
      <c r="B70" s="24">
        <v>20</v>
      </c>
      <c r="C70" s="59">
        <v>31</v>
      </c>
      <c r="D70" s="59">
        <v>7</v>
      </c>
      <c r="E70" s="53"/>
      <c r="F70" s="53"/>
      <c r="G70" s="24" t="str">
        <f t="shared" ref="G70:G71" ca="1" si="3">_xlfn.FORMULATEXT(H70)</f>
        <v>=SUM(OFFSET(B74,-3,1,2,2))</v>
      </c>
      <c r="H70" s="24">
        <f ca="1">SUM(OFFSET(B74,-3,1,2,2))</f>
        <v>54</v>
      </c>
      <c r="I70" s="24" t="s">
        <v>392</v>
      </c>
    </row>
    <row r="71" spans="2:9" ht="23.25" customHeight="1" x14ac:dyDescent="0.25">
      <c r="B71" s="24">
        <v>25</v>
      </c>
      <c r="C71" s="59">
        <v>12</v>
      </c>
      <c r="D71" s="59">
        <v>9</v>
      </c>
      <c r="E71" s="53"/>
      <c r="F71" s="53"/>
      <c r="G71" s="24" t="str">
        <f t="shared" ca="1" si="3"/>
        <v>=SUM(OFFSET(B69,0,0,8,3))</v>
      </c>
      <c r="H71" s="24">
        <f ca="1">SUM(OFFSET(B69,0,0,8,3))</f>
        <v>402</v>
      </c>
      <c r="I71" s="48" t="s">
        <v>393</v>
      </c>
    </row>
    <row r="72" spans="2:9" ht="23.25" customHeight="1" x14ac:dyDescent="0.25">
      <c r="B72" s="24">
        <v>9</v>
      </c>
      <c r="C72" s="59">
        <v>18</v>
      </c>
      <c r="D72" s="59">
        <v>15</v>
      </c>
      <c r="E72" s="53"/>
      <c r="F72" s="53"/>
      <c r="G72" s="53"/>
      <c r="H72" s="53"/>
      <c r="I72" s="53"/>
    </row>
    <row r="73" spans="2:9" ht="23.25" customHeight="1" x14ac:dyDescent="0.25">
      <c r="B73" s="24">
        <v>11</v>
      </c>
      <c r="C73" s="59">
        <v>18</v>
      </c>
      <c r="D73" s="59">
        <v>14</v>
      </c>
      <c r="E73" s="53"/>
      <c r="F73" s="53"/>
      <c r="G73" s="53">
        <f ca="1">OFFSET(B72,-2,2,1,1)</f>
        <v>7</v>
      </c>
      <c r="H73" s="53"/>
      <c r="I73" s="53"/>
    </row>
    <row r="74" spans="2:9" ht="23.25" customHeight="1" x14ac:dyDescent="0.25">
      <c r="B74" s="24">
        <v>18</v>
      </c>
      <c r="C74" s="59">
        <v>10</v>
      </c>
      <c r="D74" s="59">
        <v>16</v>
      </c>
      <c r="E74" s="53"/>
      <c r="F74" s="53"/>
      <c r="G74" s="53">
        <f ca="1">SUM(OFFSET(B74,-3,1,2,2))</f>
        <v>54</v>
      </c>
      <c r="H74" s="53"/>
      <c r="I74" s="53"/>
    </row>
    <row r="75" spans="2:9" ht="23.25" customHeight="1" x14ac:dyDescent="0.25">
      <c r="B75" s="24">
        <v>18</v>
      </c>
      <c r="C75" s="59">
        <v>20</v>
      </c>
      <c r="D75" s="59">
        <v>17</v>
      </c>
      <c r="E75" s="53"/>
      <c r="F75" s="53"/>
      <c r="G75" s="53">
        <f ca="1">SUM(OFFSET(B69,0,0,8,3))</f>
        <v>402</v>
      </c>
      <c r="H75" s="53"/>
      <c r="I75" s="53"/>
    </row>
    <row r="76" spans="2:9" ht="23.25" customHeight="1" x14ac:dyDescent="0.25">
      <c r="B76" s="24">
        <v>15</v>
      </c>
      <c r="C76" s="59">
        <v>15</v>
      </c>
      <c r="D76" s="59">
        <v>36</v>
      </c>
      <c r="E76" s="53"/>
      <c r="F76" s="53"/>
      <c r="G76" s="53"/>
      <c r="H76" s="53"/>
      <c r="I76" s="53"/>
    </row>
    <row r="77" spans="2:9" ht="23.25" customHeight="1" x14ac:dyDescent="0.25">
      <c r="B77" s="53"/>
      <c r="C77" s="53"/>
      <c r="D77" s="53"/>
      <c r="E77" s="53"/>
      <c r="F77" s="53"/>
      <c r="G77" s="53"/>
      <c r="H77" s="53"/>
      <c r="I77" s="5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17B2-FA50-46E0-991E-7F12BEA7E124}">
  <sheetPr codeName="Sheet13"/>
  <dimension ref="B2:I43"/>
  <sheetViews>
    <sheetView topLeftCell="A5" workbookViewId="0">
      <selection activeCell="F46" sqref="F46"/>
    </sheetView>
  </sheetViews>
  <sheetFormatPr defaultColWidth="9.140625" defaultRowHeight="18" customHeight="1" x14ac:dyDescent="0.25"/>
  <cols>
    <col min="7" max="7" width="51.42578125" bestFit="1" customWidth="1"/>
    <col min="8" max="8" width="11.85546875" bestFit="1" customWidth="1"/>
    <col min="9" max="9" width="29.85546875" customWidth="1"/>
  </cols>
  <sheetData>
    <row r="2" spans="2:9" ht="18" customHeight="1" x14ac:dyDescent="0.35">
      <c r="B2" s="39" t="s">
        <v>394</v>
      </c>
      <c r="C2" s="40"/>
      <c r="D2" s="40"/>
      <c r="E2" s="40"/>
      <c r="F2" s="40"/>
      <c r="G2" s="40"/>
      <c r="H2" s="40"/>
      <c r="I2" s="43"/>
    </row>
    <row r="3" spans="2:9" ht="18" customHeight="1" x14ac:dyDescent="0.25">
      <c r="B3" s="41" t="s">
        <v>395</v>
      </c>
      <c r="C3" s="42"/>
      <c r="D3" s="42"/>
      <c r="E3" s="42"/>
      <c r="F3" s="42"/>
      <c r="G3" s="42"/>
      <c r="H3" s="42"/>
      <c r="I3" s="44"/>
    </row>
    <row r="5" spans="2:9" ht="35.25" customHeight="1" x14ac:dyDescent="0.25">
      <c r="G5" s="23" t="s">
        <v>178</v>
      </c>
      <c r="H5" s="23" t="s">
        <v>340</v>
      </c>
      <c r="I5" s="23" t="s">
        <v>341</v>
      </c>
    </row>
    <row r="6" spans="2:9" ht="39.75" customHeight="1" x14ac:dyDescent="0.25">
      <c r="C6" t="b">
        <f>AND(TRUE,TRUE,TRUE)</f>
        <v>1</v>
      </c>
      <c r="G6" s="24" t="str">
        <f ca="1">_xlfn.FORMULATEXT(H6)</f>
        <v>=AND(TRUE,TRUE,TRUE)</v>
      </c>
      <c r="H6" s="24" t="b">
        <f>AND(TRUE,TRUE,TRUE)</f>
        <v>1</v>
      </c>
      <c r="I6" s="48" t="s">
        <v>396</v>
      </c>
    </row>
    <row r="7" spans="2:9" ht="37.5" customHeight="1" x14ac:dyDescent="0.25">
      <c r="C7" t="b">
        <f>AND(TRUE,FALSE,TRUE,TRUE,TRUE,TRUE)</f>
        <v>0</v>
      </c>
      <c r="G7" s="24" t="str">
        <f t="shared" ref="G7:G8" ca="1" si="0">_xlfn.FORMULATEXT(H7)</f>
        <v>=AND(TRUE,FALSE,TRUE,TRUE,TRUE,TRUE)</v>
      </c>
      <c r="H7" s="24" t="b">
        <f>AND(TRUE,FALSE,TRUE,TRUE,TRUE,TRUE)</f>
        <v>0</v>
      </c>
      <c r="I7" s="48" t="s">
        <v>397</v>
      </c>
    </row>
    <row r="8" spans="2:9" ht="38.25" customHeight="1" x14ac:dyDescent="0.25">
      <c r="C8" t="b">
        <f>AND(1+2=3,3+4=7)</f>
        <v>1</v>
      </c>
      <c r="G8" s="24" t="str">
        <f t="shared" ca="1" si="0"/>
        <v>=AND(1+2=3,3+4=7)</v>
      </c>
      <c r="H8" s="24" t="b">
        <f>AND(1+2=3,3+4=7)</f>
        <v>1</v>
      </c>
      <c r="I8" s="48" t="s">
        <v>396</v>
      </c>
    </row>
    <row r="12" spans="2:9" ht="18" customHeight="1" x14ac:dyDescent="0.35">
      <c r="B12" s="39" t="s">
        <v>398</v>
      </c>
      <c r="C12" s="40"/>
      <c r="D12" s="40"/>
      <c r="E12" s="40"/>
      <c r="F12" s="40"/>
      <c r="G12" s="40"/>
      <c r="H12" s="40"/>
      <c r="I12" s="43"/>
    </row>
    <row r="13" spans="2:9" ht="18" customHeight="1" x14ac:dyDescent="0.25">
      <c r="B13" s="41" t="s">
        <v>399</v>
      </c>
      <c r="C13" s="42"/>
      <c r="D13" s="42"/>
      <c r="E13" s="42"/>
      <c r="F13" s="42"/>
      <c r="G13" s="42"/>
      <c r="H13" s="42"/>
      <c r="I13" s="44"/>
    </row>
    <row r="15" spans="2:9" ht="18" customHeight="1" x14ac:dyDescent="0.25">
      <c r="G15" s="23" t="s">
        <v>178</v>
      </c>
      <c r="H15" s="23" t="s">
        <v>340</v>
      </c>
      <c r="I15" s="23" t="s">
        <v>341</v>
      </c>
    </row>
    <row r="16" spans="2:9" ht="18" customHeight="1" x14ac:dyDescent="0.25">
      <c r="G16" s="24" t="str">
        <f ca="1">_xlfn.FORMULATEXT(H16)</f>
        <v>=OR(TRUE)</v>
      </c>
      <c r="H16" s="24" t="b">
        <f>OR(TRUE)</f>
        <v>1</v>
      </c>
      <c r="I16" s="48" t="s">
        <v>400</v>
      </c>
    </row>
    <row r="17" spans="2:9" ht="18" customHeight="1" x14ac:dyDescent="0.25">
      <c r="G17" s="24" t="str">
        <f t="shared" ref="G17:G19" ca="1" si="1">_xlfn.FORMULATEXT(H17)</f>
        <v>=OR(1+1=1,2+2=5)</v>
      </c>
      <c r="H17" s="24" t="b">
        <f>OR(1+1=1,2+2=5)</f>
        <v>0</v>
      </c>
      <c r="I17" s="48" t="s">
        <v>401</v>
      </c>
    </row>
    <row r="18" spans="2:9" ht="18" customHeight="1" x14ac:dyDescent="0.25">
      <c r="G18" s="24" t="str">
        <f t="shared" ca="1" si="1"/>
        <v>=OR(TRUE,FALSE,TRUE)</v>
      </c>
      <c r="H18" s="24" t="b">
        <f>OR(TRUE,FALSE,TRUE)</f>
        <v>1</v>
      </c>
      <c r="I18" s="48" t="s">
        <v>402</v>
      </c>
    </row>
    <row r="19" spans="2:9" ht="18" customHeight="1" x14ac:dyDescent="0.25">
      <c r="G19" s="24" t="str">
        <f t="shared" ca="1" si="1"/>
        <v>=IF(OR(1+1=1,2+2=5,5+5=10),"Answer if true","Answer if false")</v>
      </c>
      <c r="H19" s="24" t="str">
        <f>IF(OR(1+1=1,2+2=5,5+5=10),"Answer if true","Answer if false")</f>
        <v>Answer if true</v>
      </c>
      <c r="I19" s="24" t="s">
        <v>403</v>
      </c>
    </row>
    <row r="21" spans="2:9" ht="18" customHeight="1" x14ac:dyDescent="0.25">
      <c r="E21" t="b">
        <f>OR(TRUE)</f>
        <v>1</v>
      </c>
    </row>
    <row r="22" spans="2:9" ht="18" customHeight="1" x14ac:dyDescent="0.25">
      <c r="E22" t="b">
        <f>OR(1+1=1,2+2=5)</f>
        <v>0</v>
      </c>
    </row>
    <row r="23" spans="2:9" ht="18" customHeight="1" x14ac:dyDescent="0.25">
      <c r="E23" t="b">
        <f>OR(TRUE,FALSE,FALSE)</f>
        <v>1</v>
      </c>
    </row>
    <row r="24" spans="2:9" ht="18" customHeight="1" x14ac:dyDescent="0.25">
      <c r="E24" t="str">
        <f>IF(OR(1+1=1,2+2=5,5+5=10),"Answer if true","Answer if false")</f>
        <v>Answer if true</v>
      </c>
    </row>
    <row r="27" spans="2:9" ht="18" customHeight="1" x14ac:dyDescent="0.35">
      <c r="B27" s="39" t="s">
        <v>404</v>
      </c>
      <c r="C27" s="40"/>
      <c r="D27" s="40"/>
      <c r="E27" s="40"/>
      <c r="F27" s="40"/>
      <c r="G27" s="40"/>
      <c r="H27" s="40"/>
      <c r="I27" s="43"/>
    </row>
    <row r="28" spans="2:9" ht="18" customHeight="1" x14ac:dyDescent="0.25">
      <c r="B28" s="41" t="s">
        <v>405</v>
      </c>
      <c r="C28" s="42"/>
      <c r="D28" s="42"/>
      <c r="E28" s="42"/>
      <c r="F28" s="42"/>
      <c r="G28" s="42"/>
      <c r="H28" s="42"/>
      <c r="I28" s="44"/>
    </row>
    <row r="30" spans="2:9" ht="18" customHeight="1" x14ac:dyDescent="0.25">
      <c r="G30" s="23" t="s">
        <v>178</v>
      </c>
      <c r="H30" s="23" t="s">
        <v>340</v>
      </c>
      <c r="I30" s="23" t="s">
        <v>341</v>
      </c>
    </row>
    <row r="31" spans="2:9" ht="18" customHeight="1" x14ac:dyDescent="0.25">
      <c r="G31" s="24" t="str">
        <f ca="1">_xlfn.FORMULATEXT(H31)</f>
        <v>=NOT(FALSE)</v>
      </c>
      <c r="H31" s="24" t="b">
        <f>NOT(FALSE)</f>
        <v>1</v>
      </c>
      <c r="I31" s="48" t="s">
        <v>406</v>
      </c>
    </row>
    <row r="32" spans="2:9" ht="18" customHeight="1" x14ac:dyDescent="0.25">
      <c r="G32" s="24" t="str">
        <f t="shared" ref="G32:G33" ca="1" si="2">_xlfn.FORMULATEXT(H32)</f>
        <v>=NOT(TRUE)</v>
      </c>
      <c r="H32" s="24" t="b">
        <f>NOT(TRUE)</f>
        <v>0</v>
      </c>
      <c r="I32" s="48" t="s">
        <v>407</v>
      </c>
    </row>
    <row r="33" spans="2:9" ht="18" customHeight="1" x14ac:dyDescent="0.25">
      <c r="B33" s="166"/>
      <c r="C33" s="166"/>
      <c r="G33" s="24" t="str">
        <f t="shared" ca="1" si="2"/>
        <v>=NOT(1+1=5)</v>
      </c>
      <c r="H33" s="24" t="b">
        <f>NOT(1+1=5)</f>
        <v>1</v>
      </c>
      <c r="I33" s="48" t="s">
        <v>406</v>
      </c>
    </row>
    <row r="35" spans="2:9" ht="18" customHeight="1" x14ac:dyDescent="0.35">
      <c r="B35" s="39" t="s">
        <v>408</v>
      </c>
      <c r="C35" s="40"/>
      <c r="D35" s="40"/>
      <c r="E35" s="40"/>
      <c r="F35" s="40"/>
      <c r="G35" s="40"/>
      <c r="H35" s="40"/>
      <c r="I35" s="43"/>
    </row>
    <row r="36" spans="2:9" ht="18" customHeight="1" x14ac:dyDescent="0.25">
      <c r="B36" s="41" t="s">
        <v>409</v>
      </c>
      <c r="C36" s="42"/>
      <c r="D36" s="42"/>
      <c r="E36" s="42"/>
      <c r="F36" s="42"/>
      <c r="G36" s="42"/>
      <c r="H36" s="42"/>
      <c r="I36" s="44"/>
    </row>
    <row r="38" spans="2:9" ht="18" customHeight="1" x14ac:dyDescent="0.25">
      <c r="G38" s="23" t="s">
        <v>178</v>
      </c>
      <c r="H38" s="23" t="s">
        <v>340</v>
      </c>
      <c r="I38" s="23" t="s">
        <v>341</v>
      </c>
    </row>
    <row r="39" spans="2:9" ht="34.5" customHeight="1" x14ac:dyDescent="0.25">
      <c r="G39" s="24" t="str">
        <f ca="1">_xlfn.FORMULATEXT(H39)</f>
        <v>=XOR(3&gt;0,2&lt;9)</v>
      </c>
      <c r="H39" s="24" t="b">
        <f>_xlfn.XOR(3&gt;0,2&lt;9)</f>
        <v>0</v>
      </c>
      <c r="I39" s="48" t="s">
        <v>410</v>
      </c>
    </row>
    <row r="40" spans="2:9" ht="51.75" customHeight="1" x14ac:dyDescent="0.25">
      <c r="G40" s="24" t="e">
        <f ca="1">_xlfn.FORMULATEXT(H40)</f>
        <v>#N/A</v>
      </c>
      <c r="H40" s="24" t="s">
        <v>412</v>
      </c>
      <c r="I40" s="48" t="s">
        <v>411</v>
      </c>
    </row>
    <row r="42" spans="2:9" ht="18" customHeight="1" x14ac:dyDescent="0.25">
      <c r="G42" t="b">
        <f>_xlfn.XOR(3&gt;0,2&lt;9)</f>
        <v>0</v>
      </c>
    </row>
    <row r="43" spans="2:9" ht="18" customHeight="1" x14ac:dyDescent="0.25">
      <c r="G43" t="b">
        <f>_xlfn.XOR(3&gt;12,4&gt;6)</f>
        <v>0</v>
      </c>
    </row>
  </sheetData>
  <mergeCells count="1">
    <mergeCell ref="B33:C3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F805E-32A5-44D3-A4F5-1D3942018721}">
  <sheetPr codeName="Sheet14"/>
  <dimension ref="B2:K196"/>
  <sheetViews>
    <sheetView topLeftCell="A181" workbookViewId="0">
      <selection activeCell="D197" sqref="D197"/>
    </sheetView>
  </sheetViews>
  <sheetFormatPr defaultRowHeight="15" x14ac:dyDescent="0.25"/>
  <cols>
    <col min="2" max="2" width="25.7109375" customWidth="1"/>
    <col min="6" max="6" width="9.140625" customWidth="1"/>
    <col min="7" max="7" width="24.28515625" customWidth="1"/>
    <col min="8" max="8" width="17.7109375" customWidth="1"/>
    <col min="9" max="9" width="35.5703125" customWidth="1"/>
  </cols>
  <sheetData>
    <row r="2" spans="2:9" ht="23.25" x14ac:dyDescent="0.35">
      <c r="B2" s="39" t="s">
        <v>413</v>
      </c>
      <c r="C2" s="40"/>
      <c r="D2" s="40"/>
      <c r="E2" s="40"/>
      <c r="F2" s="40"/>
      <c r="G2" s="40"/>
      <c r="H2" s="40"/>
      <c r="I2" s="43"/>
    </row>
    <row r="3" spans="2:9" x14ac:dyDescent="0.25">
      <c r="B3" s="41" t="s">
        <v>414</v>
      </c>
      <c r="C3" s="42"/>
      <c r="D3" s="42"/>
      <c r="E3" s="42"/>
      <c r="F3" s="42"/>
      <c r="G3" s="42"/>
      <c r="H3" s="42"/>
      <c r="I3" s="44"/>
    </row>
    <row r="5" spans="2:9" x14ac:dyDescent="0.25">
      <c r="G5" s="23" t="s">
        <v>178</v>
      </c>
      <c r="H5" s="46" t="s">
        <v>340</v>
      </c>
      <c r="I5" s="46" t="s">
        <v>341</v>
      </c>
    </row>
    <row r="6" spans="2:9" x14ac:dyDescent="0.25">
      <c r="C6">
        <f>AREAS(B2:D4)</f>
        <v>1</v>
      </c>
      <c r="G6" s="24" t="s">
        <v>415</v>
      </c>
      <c r="H6" s="24">
        <v>1</v>
      </c>
      <c r="I6" s="24" t="s">
        <v>416</v>
      </c>
    </row>
    <row r="7" spans="2:9" x14ac:dyDescent="0.25">
      <c r="C7">
        <f>AREAS((B2:D4,E5,F6:I9))</f>
        <v>3</v>
      </c>
      <c r="G7" s="24" t="s">
        <v>417</v>
      </c>
      <c r="H7" s="24">
        <v>3</v>
      </c>
      <c r="I7" s="24" t="s">
        <v>416</v>
      </c>
    </row>
    <row r="8" spans="2:9" x14ac:dyDescent="0.25">
      <c r="B8" s="166">
        <f>AREAS(B2:D4 B2)</f>
        <v>1</v>
      </c>
      <c r="C8" s="166"/>
      <c r="G8" s="24" t="s">
        <v>418</v>
      </c>
      <c r="H8" s="24">
        <v>1</v>
      </c>
      <c r="I8" s="24" t="s">
        <v>416</v>
      </c>
    </row>
    <row r="11" spans="2:9" ht="23.25" x14ac:dyDescent="0.35">
      <c r="B11" s="39" t="s">
        <v>419</v>
      </c>
      <c r="C11" s="40"/>
      <c r="D11" s="40"/>
      <c r="E11" s="40"/>
      <c r="F11" s="40"/>
      <c r="G11" s="40"/>
      <c r="H11" s="40"/>
      <c r="I11" s="43"/>
    </row>
    <row r="12" spans="2:9" x14ac:dyDescent="0.25">
      <c r="B12" s="41" t="s">
        <v>420</v>
      </c>
      <c r="C12" s="42"/>
      <c r="D12" s="42"/>
      <c r="E12" s="42"/>
      <c r="F12" s="42"/>
      <c r="G12" s="42"/>
      <c r="H12" s="42"/>
      <c r="I12" s="44"/>
    </row>
    <row r="14" spans="2:9" x14ac:dyDescent="0.25">
      <c r="G14" s="23" t="s">
        <v>178</v>
      </c>
      <c r="H14" s="46" t="s">
        <v>340</v>
      </c>
      <c r="I14" s="46" t="s">
        <v>341</v>
      </c>
    </row>
    <row r="15" spans="2:9" ht="29.25" customHeight="1" x14ac:dyDescent="0.25">
      <c r="D15" t="str">
        <f>CHAR(65)</f>
        <v>A</v>
      </c>
      <c r="G15" s="24" t="s">
        <v>421</v>
      </c>
      <c r="H15" s="24" t="s">
        <v>116</v>
      </c>
      <c r="I15" s="48" t="s">
        <v>422</v>
      </c>
    </row>
    <row r="16" spans="2:9" ht="26.25" customHeight="1" x14ac:dyDescent="0.25">
      <c r="B16" s="166"/>
      <c r="C16" s="166"/>
      <c r="D16" t="str">
        <f>CHAR(33)</f>
        <v>!</v>
      </c>
      <c r="G16" s="24" t="s">
        <v>423</v>
      </c>
      <c r="H16" s="24" t="s">
        <v>424</v>
      </c>
      <c r="I16" s="48" t="s">
        <v>425</v>
      </c>
    </row>
    <row r="17" spans="2:9" x14ac:dyDescent="0.25">
      <c r="D17" t="str">
        <f>CHAR(7)</f>
        <v>_x0007_</v>
      </c>
    </row>
    <row r="20" spans="2:9" ht="23.25" x14ac:dyDescent="0.35">
      <c r="B20" s="39" t="s">
        <v>426</v>
      </c>
      <c r="C20" s="40"/>
      <c r="D20" s="40"/>
      <c r="E20" s="40"/>
      <c r="F20" s="40"/>
      <c r="G20" s="40"/>
      <c r="H20" s="40"/>
      <c r="I20" s="43"/>
    </row>
    <row r="21" spans="2:9" x14ac:dyDescent="0.25">
      <c r="B21" s="41" t="s">
        <v>427</v>
      </c>
      <c r="C21" s="42"/>
      <c r="D21" s="42"/>
      <c r="E21" s="42"/>
      <c r="F21" s="42"/>
      <c r="G21" s="42"/>
      <c r="H21" s="42"/>
      <c r="I21" s="44"/>
    </row>
    <row r="23" spans="2:9" x14ac:dyDescent="0.25">
      <c r="G23" s="23" t="s">
        <v>178</v>
      </c>
      <c r="H23" s="46" t="s">
        <v>340</v>
      </c>
      <c r="I23" s="46" t="s">
        <v>341</v>
      </c>
    </row>
    <row r="24" spans="2:9" x14ac:dyDescent="0.25">
      <c r="D24">
        <f>CODE("A")</f>
        <v>65</v>
      </c>
      <c r="G24" s="24" t="s">
        <v>428</v>
      </c>
      <c r="H24" s="24">
        <v>65</v>
      </c>
      <c r="I24" s="48" t="s">
        <v>429</v>
      </c>
    </row>
    <row r="25" spans="2:9" ht="26.25" x14ac:dyDescent="0.25">
      <c r="D25">
        <f>CODE("MARISSA")</f>
        <v>77</v>
      </c>
      <c r="G25" s="24" t="s">
        <v>430</v>
      </c>
      <c r="H25" s="24">
        <v>77</v>
      </c>
      <c r="I25" s="48" t="s">
        <v>431</v>
      </c>
    </row>
    <row r="26" spans="2:9" x14ac:dyDescent="0.25">
      <c r="D26">
        <f>CODE("!")</f>
        <v>33</v>
      </c>
      <c r="G26" s="24" t="s">
        <v>432</v>
      </c>
      <c r="H26" s="24">
        <v>33</v>
      </c>
      <c r="I26" s="48" t="s">
        <v>433</v>
      </c>
    </row>
    <row r="27" spans="2:9" x14ac:dyDescent="0.25">
      <c r="B27" s="166"/>
      <c r="C27" s="166"/>
      <c r="D27">
        <f>CODE("?")</f>
        <v>63</v>
      </c>
      <c r="G27" s="24" t="s">
        <v>434</v>
      </c>
      <c r="H27" s="24">
        <v>63</v>
      </c>
      <c r="I27" s="48" t="s">
        <v>435</v>
      </c>
    </row>
    <row r="30" spans="2:9" ht="23.25" x14ac:dyDescent="0.35">
      <c r="B30" s="39" t="s">
        <v>436</v>
      </c>
      <c r="C30" s="40"/>
      <c r="D30" s="40"/>
      <c r="E30" s="40"/>
      <c r="F30" s="40"/>
      <c r="G30" s="40"/>
      <c r="H30" s="40"/>
      <c r="I30" s="43"/>
    </row>
    <row r="31" spans="2:9" x14ac:dyDescent="0.25">
      <c r="B31" s="41" t="s">
        <v>437</v>
      </c>
      <c r="C31" s="42"/>
      <c r="D31" s="42"/>
      <c r="E31" s="42"/>
      <c r="F31" s="42"/>
      <c r="G31" s="42"/>
      <c r="H31" s="42"/>
      <c r="I31" s="44"/>
    </row>
    <row r="32" spans="2:9" x14ac:dyDescent="0.25">
      <c r="B32" s="41" t="s">
        <v>438</v>
      </c>
      <c r="C32" s="42"/>
      <c r="D32" s="42"/>
      <c r="E32" s="42"/>
      <c r="F32" s="42"/>
      <c r="G32" s="42"/>
      <c r="H32" s="42"/>
      <c r="I32" s="44"/>
    </row>
    <row r="34" spans="2:9" x14ac:dyDescent="0.25">
      <c r="B34" s="23" t="s">
        <v>280</v>
      </c>
      <c r="G34" s="23" t="s">
        <v>178</v>
      </c>
      <c r="H34" s="46" t="s">
        <v>340</v>
      </c>
      <c r="I34" s="46" t="s">
        <v>341</v>
      </c>
    </row>
    <row r="35" spans="2:9" ht="39" x14ac:dyDescent="0.25">
      <c r="B35" s="24" t="s">
        <v>439</v>
      </c>
      <c r="D35" t="str">
        <f>CLEAN(B35)</f>
        <v>Sales Data</v>
      </c>
      <c r="G35" s="24" t="s">
        <v>440</v>
      </c>
      <c r="H35" s="24" t="s">
        <v>441</v>
      </c>
      <c r="I35" s="48" t="s">
        <v>442</v>
      </c>
    </row>
    <row r="39" spans="2:9" ht="23.25" x14ac:dyDescent="0.35">
      <c r="B39" s="39" t="s">
        <v>443</v>
      </c>
      <c r="C39" s="40"/>
      <c r="D39" s="40"/>
      <c r="E39" s="40"/>
      <c r="F39" s="40"/>
      <c r="G39" s="40"/>
      <c r="H39" s="40"/>
      <c r="I39" s="43"/>
    </row>
    <row r="40" spans="2:9" x14ac:dyDescent="0.25">
      <c r="B40" s="41" t="s">
        <v>444</v>
      </c>
      <c r="C40" s="42"/>
      <c r="D40" s="42"/>
      <c r="E40" s="42"/>
      <c r="F40" s="42"/>
      <c r="G40" s="42"/>
      <c r="H40" s="42"/>
      <c r="I40" s="44"/>
    </row>
    <row r="42" spans="2:9" x14ac:dyDescent="0.25">
      <c r="B42" s="23" t="s">
        <v>280</v>
      </c>
      <c r="G42" s="23" t="s">
        <v>178</v>
      </c>
      <c r="H42" s="46" t="s">
        <v>340</v>
      </c>
      <c r="I42" s="46" t="s">
        <v>341</v>
      </c>
    </row>
    <row r="43" spans="2:9" ht="26.25" x14ac:dyDescent="0.25">
      <c r="B43" s="24" t="s">
        <v>445</v>
      </c>
      <c r="D43" t="str">
        <f>TRIM(B43)</f>
        <v>Excel Dashboard</v>
      </c>
      <c r="G43" s="24" t="s">
        <v>446</v>
      </c>
      <c r="H43" s="24" t="s">
        <v>447</v>
      </c>
      <c r="I43" s="48" t="s">
        <v>448</v>
      </c>
    </row>
    <row r="44" spans="2:9" ht="26.25" x14ac:dyDescent="0.25">
      <c r="B44" s="24" t="s">
        <v>449</v>
      </c>
      <c r="D44" t="str">
        <f>TRIM(B44)</f>
        <v>Titas Gas</v>
      </c>
      <c r="G44" s="24" t="s">
        <v>450</v>
      </c>
      <c r="H44" s="24" t="s">
        <v>451</v>
      </c>
      <c r="I44" s="48" t="s">
        <v>448</v>
      </c>
    </row>
    <row r="48" spans="2:9" ht="23.25" x14ac:dyDescent="0.35">
      <c r="B48" s="39" t="s">
        <v>452</v>
      </c>
      <c r="C48" s="40"/>
      <c r="D48" s="40"/>
      <c r="E48" s="40"/>
      <c r="F48" s="40"/>
      <c r="G48" s="40"/>
      <c r="H48" s="40"/>
      <c r="I48" s="43"/>
    </row>
    <row r="49" spans="2:9" x14ac:dyDescent="0.25">
      <c r="B49" s="41" t="s">
        <v>453</v>
      </c>
      <c r="C49" s="42"/>
      <c r="D49" s="42"/>
      <c r="E49" s="42"/>
      <c r="F49" s="42"/>
      <c r="G49" s="42"/>
      <c r="H49" s="42"/>
      <c r="I49" s="44"/>
    </row>
    <row r="51" spans="2:9" x14ac:dyDescent="0.25">
      <c r="B51" s="23" t="s">
        <v>280</v>
      </c>
      <c r="G51" s="23" t="s">
        <v>178</v>
      </c>
      <c r="H51" s="46" t="s">
        <v>340</v>
      </c>
      <c r="I51" s="46" t="s">
        <v>341</v>
      </c>
    </row>
    <row r="52" spans="2:9" x14ac:dyDescent="0.25">
      <c r="B52" s="24" t="s">
        <v>454</v>
      </c>
      <c r="D52">
        <f>LEN(B52)</f>
        <v>15</v>
      </c>
      <c r="G52" s="24" t="s">
        <v>455</v>
      </c>
      <c r="H52" s="24">
        <v>15</v>
      </c>
      <c r="I52" s="48" t="s">
        <v>456</v>
      </c>
    </row>
    <row r="53" spans="2:9" x14ac:dyDescent="0.25">
      <c r="B53" s="24"/>
      <c r="D53">
        <f>LEN(B53)</f>
        <v>0</v>
      </c>
      <c r="G53" s="24" t="s">
        <v>457</v>
      </c>
      <c r="H53" s="24">
        <v>0</v>
      </c>
      <c r="I53" s="48" t="s">
        <v>458</v>
      </c>
    </row>
    <row r="54" spans="2:9" x14ac:dyDescent="0.25">
      <c r="B54" s="24" t="s">
        <v>459</v>
      </c>
      <c r="D54">
        <f>LEN(B54)</f>
        <v>4</v>
      </c>
      <c r="G54" s="24" t="s">
        <v>460</v>
      </c>
      <c r="H54" s="24">
        <v>4</v>
      </c>
      <c r="I54" s="48" t="s">
        <v>461</v>
      </c>
    </row>
    <row r="55" spans="2:9" ht="26.25" x14ac:dyDescent="0.25">
      <c r="B55" s="24" t="s">
        <v>462</v>
      </c>
      <c r="D55">
        <f>LEN(B55)</f>
        <v>3</v>
      </c>
      <c r="G55" s="24" t="s">
        <v>463</v>
      </c>
      <c r="H55" s="24">
        <v>10</v>
      </c>
      <c r="I55" s="48" t="s">
        <v>464</v>
      </c>
    </row>
    <row r="56" spans="2:9" x14ac:dyDescent="0.25">
      <c r="B56" s="24" t="s">
        <v>465</v>
      </c>
      <c r="D56">
        <f>LEN(B56)</f>
        <v>10</v>
      </c>
    </row>
    <row r="60" spans="2:9" ht="23.25" x14ac:dyDescent="0.35">
      <c r="B60" s="39" t="s">
        <v>466</v>
      </c>
      <c r="C60" s="40"/>
      <c r="D60" s="40"/>
      <c r="E60" s="40"/>
      <c r="F60" s="40"/>
      <c r="G60" s="40"/>
      <c r="H60" s="40"/>
      <c r="I60" s="43"/>
    </row>
    <row r="61" spans="2:9" x14ac:dyDescent="0.25">
      <c r="B61" s="41" t="s">
        <v>467</v>
      </c>
      <c r="C61" s="42"/>
      <c r="D61" s="42"/>
      <c r="E61" s="42"/>
      <c r="F61" s="42"/>
      <c r="G61" s="42"/>
      <c r="H61" s="42"/>
      <c r="I61" s="44"/>
    </row>
    <row r="62" spans="2:9" ht="23.25" x14ac:dyDescent="0.35">
      <c r="B62" s="39" t="s">
        <v>468</v>
      </c>
      <c r="C62" s="40"/>
      <c r="D62" s="40"/>
      <c r="E62" s="40"/>
      <c r="F62" s="40"/>
      <c r="G62" s="40"/>
      <c r="H62" s="40"/>
      <c r="I62" s="43"/>
    </row>
    <row r="63" spans="2:9" x14ac:dyDescent="0.25">
      <c r="B63" s="41" t="s">
        <v>469</v>
      </c>
      <c r="C63" s="42"/>
      <c r="D63" s="42"/>
      <c r="E63" s="42"/>
      <c r="F63" s="42"/>
      <c r="G63" s="42"/>
      <c r="H63" s="42"/>
      <c r="I63" s="44"/>
    </row>
    <row r="65" spans="2:9" x14ac:dyDescent="0.25">
      <c r="G65" s="23" t="s">
        <v>178</v>
      </c>
      <c r="H65" s="46" t="s">
        <v>340</v>
      </c>
      <c r="I65" s="46" t="s">
        <v>341</v>
      </c>
    </row>
    <row r="66" spans="2:9" ht="39" x14ac:dyDescent="0.25">
      <c r="C66">
        <f>COLUMN()</f>
        <v>3</v>
      </c>
      <c r="G66" s="24" t="s">
        <v>470</v>
      </c>
      <c r="H66" s="24">
        <v>8</v>
      </c>
      <c r="I66" s="48" t="s">
        <v>471</v>
      </c>
    </row>
    <row r="67" spans="2:9" x14ac:dyDescent="0.25">
      <c r="C67">
        <f>COLUMN(B30)</f>
        <v>2</v>
      </c>
      <c r="G67" s="24" t="s">
        <v>472</v>
      </c>
      <c r="H67" s="24">
        <v>2</v>
      </c>
      <c r="I67" s="48" t="s">
        <v>473</v>
      </c>
    </row>
    <row r="68" spans="2:9" ht="39" x14ac:dyDescent="0.25">
      <c r="C68">
        <f>ROW()</f>
        <v>68</v>
      </c>
      <c r="G68" s="24" t="s">
        <v>474</v>
      </c>
      <c r="H68" s="24">
        <v>66</v>
      </c>
      <c r="I68" s="48" t="s">
        <v>475</v>
      </c>
    </row>
    <row r="69" spans="2:9" x14ac:dyDescent="0.25">
      <c r="B69" s="166">
        <f>ROW(B30)</f>
        <v>30</v>
      </c>
      <c r="C69" s="166"/>
      <c r="G69" s="24" t="s">
        <v>476</v>
      </c>
      <c r="H69" s="24">
        <v>30</v>
      </c>
      <c r="I69" s="48" t="s">
        <v>477</v>
      </c>
    </row>
    <row r="73" spans="2:9" ht="23.25" x14ac:dyDescent="0.35">
      <c r="B73" s="39" t="s">
        <v>478</v>
      </c>
      <c r="C73" s="40"/>
      <c r="D73" s="40"/>
      <c r="E73" s="40"/>
      <c r="F73" s="40"/>
      <c r="G73" s="40"/>
      <c r="H73" s="40"/>
      <c r="I73" s="43"/>
    </row>
    <row r="74" spans="2:9" x14ac:dyDescent="0.25">
      <c r="B74" s="41" t="s">
        <v>479</v>
      </c>
      <c r="C74" s="42"/>
      <c r="D74" s="42"/>
      <c r="E74" s="42"/>
      <c r="F74" s="42"/>
      <c r="G74" s="42"/>
      <c r="H74" s="42"/>
      <c r="I74" s="44"/>
    </row>
    <row r="76" spans="2:9" ht="26.25" x14ac:dyDescent="0.25">
      <c r="B76" s="23" t="s">
        <v>480</v>
      </c>
      <c r="C76" s="46" t="s">
        <v>481</v>
      </c>
      <c r="G76" s="23" t="s">
        <v>178</v>
      </c>
      <c r="H76" s="46" t="s">
        <v>340</v>
      </c>
      <c r="I76" s="46" t="s">
        <v>341</v>
      </c>
    </row>
    <row r="77" spans="2:9" x14ac:dyDescent="0.25">
      <c r="B77" s="24" t="s">
        <v>345</v>
      </c>
      <c r="C77" s="24" t="s">
        <v>482</v>
      </c>
      <c r="E77" t="b">
        <f>EXACT(B77,C77)</f>
        <v>0</v>
      </c>
      <c r="G77" s="24" t="s">
        <v>483</v>
      </c>
      <c r="H77" s="24" t="b">
        <v>0</v>
      </c>
      <c r="I77" s="48" t="s">
        <v>484</v>
      </c>
    </row>
    <row r="78" spans="2:9" x14ac:dyDescent="0.25">
      <c r="B78" s="24" t="s">
        <v>345</v>
      </c>
      <c r="C78" s="24" t="s">
        <v>485</v>
      </c>
      <c r="E78" t="b">
        <f>EXACT(B78,C78)</f>
        <v>0</v>
      </c>
      <c r="G78" s="24" t="s">
        <v>486</v>
      </c>
      <c r="H78" s="24" t="b">
        <v>0</v>
      </c>
      <c r="I78" s="48" t="s">
        <v>484</v>
      </c>
    </row>
    <row r="79" spans="2:9" ht="26.25" x14ac:dyDescent="0.25">
      <c r="B79" s="24" t="s">
        <v>345</v>
      </c>
      <c r="C79" s="24" t="s">
        <v>487</v>
      </c>
      <c r="E79" t="b">
        <f>EXACT(B79,C79)</f>
        <v>0</v>
      </c>
      <c r="G79" s="24" t="s">
        <v>488</v>
      </c>
      <c r="H79" s="24" t="b">
        <v>0</v>
      </c>
      <c r="I79" s="48" t="s">
        <v>489</v>
      </c>
    </row>
    <row r="80" spans="2:9" x14ac:dyDescent="0.25">
      <c r="B80" s="24" t="s">
        <v>345</v>
      </c>
      <c r="C80" s="24" t="s">
        <v>345</v>
      </c>
      <c r="E80" t="b">
        <f>EXACT(B80,C80)</f>
        <v>1</v>
      </c>
      <c r="G80" s="24" t="s">
        <v>490</v>
      </c>
      <c r="H80" s="24" t="b">
        <v>1</v>
      </c>
      <c r="I80" s="48" t="s">
        <v>491</v>
      </c>
    </row>
    <row r="84" spans="2:9" ht="23.25" x14ac:dyDescent="0.35">
      <c r="B84" s="39" t="s">
        <v>492</v>
      </c>
      <c r="C84" s="40"/>
      <c r="D84" s="40"/>
      <c r="E84" s="40"/>
      <c r="F84" s="40"/>
      <c r="G84" s="40"/>
      <c r="H84" s="40"/>
      <c r="I84" s="43"/>
    </row>
    <row r="85" spans="2:9" x14ac:dyDescent="0.25">
      <c r="B85" s="41" t="s">
        <v>493</v>
      </c>
      <c r="C85" s="42"/>
      <c r="D85" s="42"/>
      <c r="E85" s="42"/>
      <c r="F85" s="42"/>
      <c r="G85" s="42"/>
      <c r="H85" s="42"/>
      <c r="I85" s="44"/>
    </row>
    <row r="87" spans="2:9" x14ac:dyDescent="0.25">
      <c r="B87" s="23" t="s">
        <v>174</v>
      </c>
      <c r="G87" s="23" t="s">
        <v>178</v>
      </c>
      <c r="H87" s="46" t="s">
        <v>340</v>
      </c>
      <c r="I87" s="46" t="s">
        <v>341</v>
      </c>
    </row>
    <row r="88" spans="2:9" ht="26.25" x14ac:dyDescent="0.25">
      <c r="B88" s="24">
        <f>SUM(5,10,15,50)</f>
        <v>80</v>
      </c>
      <c r="D88" t="str">
        <f ca="1">_xlfn.FORMULATEXT(B88)</f>
        <v>=SUM(5,10,15,50)</v>
      </c>
      <c r="G88" s="24" t="s">
        <v>494</v>
      </c>
      <c r="H88" s="24" t="s">
        <v>495</v>
      </c>
      <c r="I88" s="48" t="s">
        <v>496</v>
      </c>
    </row>
    <row r="89" spans="2:9" ht="26.25" x14ac:dyDescent="0.25">
      <c r="B89" s="31">
        <f ca="1">NOW()</f>
        <v>46312.447446064813</v>
      </c>
      <c r="D89" t="str">
        <f ca="1">_xlfn.FORMULATEXT(B89)</f>
        <v>=NOW()</v>
      </c>
      <c r="G89" s="24" t="s">
        <v>497</v>
      </c>
      <c r="H89" s="24" t="s">
        <v>498</v>
      </c>
      <c r="I89" s="48" t="s">
        <v>499</v>
      </c>
    </row>
    <row r="90" spans="2:9" ht="26.25" x14ac:dyDescent="0.25">
      <c r="B90" s="32">
        <f ca="1">TODAY()</f>
        <v>46312</v>
      </c>
      <c r="D90" t="str">
        <f ca="1">_xlfn.FORMULATEXT(B90)</f>
        <v>=TODAY()</v>
      </c>
      <c r="G90" s="24" t="s">
        <v>500</v>
      </c>
      <c r="H90" s="24" t="s">
        <v>501</v>
      </c>
      <c r="I90" s="48" t="s">
        <v>502</v>
      </c>
    </row>
    <row r="94" spans="2:9" ht="23.25" x14ac:dyDescent="0.35">
      <c r="B94" s="39" t="s">
        <v>503</v>
      </c>
      <c r="C94" s="40"/>
      <c r="D94" s="40"/>
      <c r="E94" s="40"/>
      <c r="F94" s="40"/>
      <c r="G94" s="40"/>
      <c r="H94" s="40"/>
      <c r="I94" s="43"/>
    </row>
    <row r="95" spans="2:9" x14ac:dyDescent="0.25">
      <c r="B95" s="41" t="s">
        <v>504</v>
      </c>
      <c r="C95" s="42"/>
      <c r="D95" s="42"/>
      <c r="E95" s="42"/>
      <c r="F95" s="42"/>
      <c r="G95" s="42"/>
      <c r="H95" s="42"/>
      <c r="I95" s="44"/>
    </row>
    <row r="96" spans="2:9" ht="23.25" x14ac:dyDescent="0.35">
      <c r="B96" s="39" t="s">
        <v>505</v>
      </c>
      <c r="C96" s="40"/>
      <c r="D96" s="40"/>
      <c r="E96" s="40"/>
      <c r="F96" s="40"/>
      <c r="G96" s="40"/>
      <c r="H96" s="40"/>
      <c r="I96" s="43"/>
    </row>
    <row r="97" spans="2:9" x14ac:dyDescent="0.25">
      <c r="B97" s="41" t="s">
        <v>506</v>
      </c>
      <c r="C97" s="42"/>
      <c r="D97" s="42"/>
      <c r="E97" s="42"/>
      <c r="F97" s="42"/>
      <c r="G97" s="42"/>
      <c r="H97" s="42"/>
      <c r="I97" s="44"/>
    </row>
    <row r="98" spans="2:9" ht="23.25" x14ac:dyDescent="0.35">
      <c r="B98" s="39" t="s">
        <v>507</v>
      </c>
      <c r="C98" s="40"/>
      <c r="D98" s="40"/>
      <c r="E98" s="40"/>
      <c r="F98" s="40"/>
      <c r="G98" s="40"/>
      <c r="H98" s="40"/>
      <c r="I98" s="43"/>
    </row>
    <row r="99" spans="2:9" x14ac:dyDescent="0.25">
      <c r="B99" s="41" t="s">
        <v>508</v>
      </c>
      <c r="C99" s="42"/>
      <c r="D99" s="42"/>
      <c r="E99" s="42"/>
      <c r="F99" s="42"/>
      <c r="G99" s="42"/>
      <c r="H99" s="42"/>
      <c r="I99" s="44"/>
    </row>
    <row r="102" spans="2:9" x14ac:dyDescent="0.25">
      <c r="B102" s="23" t="s">
        <v>280</v>
      </c>
      <c r="G102" s="23" t="s">
        <v>178</v>
      </c>
      <c r="H102" s="46" t="s">
        <v>509</v>
      </c>
      <c r="I102" s="46" t="s">
        <v>341</v>
      </c>
    </row>
    <row r="103" spans="2:9" ht="26.25" x14ac:dyDescent="0.25">
      <c r="B103" s="24" t="s">
        <v>447</v>
      </c>
      <c r="D103" t="str">
        <f>LEFT(B103,5)</f>
        <v>Excel</v>
      </c>
      <c r="G103" s="24" t="s">
        <v>510</v>
      </c>
      <c r="H103" s="24" t="s">
        <v>345</v>
      </c>
      <c r="I103" s="48" t="s">
        <v>511</v>
      </c>
    </row>
    <row r="104" spans="2:9" ht="26.25" x14ac:dyDescent="0.25">
      <c r="B104" s="24" t="s">
        <v>190</v>
      </c>
      <c r="D104" t="str">
        <f>LEFT(B103,30)</f>
        <v>Excel Dashboard</v>
      </c>
      <c r="G104" s="24" t="s">
        <v>512</v>
      </c>
      <c r="H104" s="24" t="s">
        <v>447</v>
      </c>
      <c r="I104" s="48" t="s">
        <v>513</v>
      </c>
    </row>
    <row r="105" spans="2:9" ht="26.25" x14ac:dyDescent="0.25">
      <c r="B105" s="24" t="s">
        <v>514</v>
      </c>
      <c r="D105" t="str">
        <f>MID(B103,7,25)</f>
        <v>Dashboard</v>
      </c>
      <c r="G105" s="24" t="s">
        <v>515</v>
      </c>
      <c r="H105" s="24" t="s">
        <v>516</v>
      </c>
      <c r="I105" s="48" t="s">
        <v>517</v>
      </c>
    </row>
    <row r="106" spans="2:9" ht="26.25" x14ac:dyDescent="0.25">
      <c r="D106" t="str">
        <f>MID(B103,50,5)</f>
        <v/>
      </c>
      <c r="G106" s="24" t="s">
        <v>518</v>
      </c>
      <c r="H106" s="24" t="s">
        <v>519</v>
      </c>
      <c r="I106" s="48" t="s">
        <v>520</v>
      </c>
    </row>
    <row r="107" spans="2:9" ht="26.25" x14ac:dyDescent="0.25">
      <c r="D107" t="str">
        <f>RIGHT(B103,25)</f>
        <v>Excel Dashboard</v>
      </c>
      <c r="G107" s="24" t="s">
        <v>521</v>
      </c>
      <c r="H107" s="24" t="s">
        <v>447</v>
      </c>
      <c r="I107" s="48" t="s">
        <v>513</v>
      </c>
    </row>
    <row r="108" spans="2:9" ht="26.25" x14ac:dyDescent="0.25">
      <c r="D108" t="str">
        <f>RIGHT(B105,5)</f>
        <v>Tools</v>
      </c>
      <c r="G108" s="24" t="s">
        <v>522</v>
      </c>
      <c r="H108" s="24" t="s">
        <v>523</v>
      </c>
      <c r="I108" s="48" t="s">
        <v>524</v>
      </c>
    </row>
    <row r="112" spans="2:9" ht="23.25" x14ac:dyDescent="0.35">
      <c r="B112" s="39" t="s">
        <v>525</v>
      </c>
      <c r="C112" s="40"/>
      <c r="D112" s="40"/>
      <c r="E112" s="40"/>
      <c r="F112" s="40"/>
      <c r="G112" s="40"/>
      <c r="H112" s="40"/>
      <c r="I112" s="43"/>
    </row>
    <row r="113" spans="2:9" x14ac:dyDescent="0.25">
      <c r="B113" s="41" t="s">
        <v>526</v>
      </c>
      <c r="C113" s="42"/>
      <c r="D113" s="42"/>
      <c r="E113" s="42"/>
      <c r="F113" s="42"/>
      <c r="G113" s="42"/>
      <c r="H113" s="42"/>
      <c r="I113" s="44"/>
    </row>
    <row r="114" spans="2:9" ht="23.25" x14ac:dyDescent="0.35">
      <c r="B114" s="39" t="s">
        <v>527</v>
      </c>
      <c r="C114" s="40"/>
      <c r="D114" s="40"/>
      <c r="E114" s="40"/>
      <c r="F114" s="40"/>
      <c r="G114" s="40"/>
      <c r="H114" s="40"/>
      <c r="I114" s="43"/>
    </row>
    <row r="115" spans="2:9" x14ac:dyDescent="0.25">
      <c r="B115" s="41" t="s">
        <v>528</v>
      </c>
      <c r="C115" s="42"/>
      <c r="D115" s="42"/>
      <c r="E115" s="42"/>
      <c r="F115" s="42"/>
      <c r="G115" s="42"/>
      <c r="H115" s="42"/>
      <c r="I115" s="44"/>
    </row>
    <row r="116" spans="2:9" ht="23.25" x14ac:dyDescent="0.35">
      <c r="B116" s="39" t="s">
        <v>529</v>
      </c>
      <c r="C116" s="40"/>
      <c r="D116" s="40"/>
      <c r="E116" s="40"/>
      <c r="F116" s="40"/>
      <c r="G116" s="40"/>
      <c r="H116" s="40"/>
      <c r="I116" s="43"/>
    </row>
    <row r="117" spans="2:9" x14ac:dyDescent="0.25">
      <c r="B117" s="41" t="s">
        <v>530</v>
      </c>
      <c r="C117" s="42"/>
      <c r="D117" s="42"/>
      <c r="E117" s="42"/>
      <c r="F117" s="42"/>
      <c r="G117" s="42"/>
      <c r="H117" s="42"/>
      <c r="I117" s="44"/>
    </row>
    <row r="119" spans="2:9" x14ac:dyDescent="0.25">
      <c r="B119" s="23" t="s">
        <v>280</v>
      </c>
      <c r="G119" s="23" t="s">
        <v>178</v>
      </c>
      <c r="H119" s="23" t="s">
        <v>340</v>
      </c>
      <c r="I119" s="23" t="s">
        <v>341</v>
      </c>
    </row>
    <row r="120" spans="2:9" x14ac:dyDescent="0.25">
      <c r="B120" s="24" t="s">
        <v>447</v>
      </c>
      <c r="D120" t="str">
        <f>LOWER(B120)</f>
        <v>excel dashboard</v>
      </c>
      <c r="G120" s="24" t="s">
        <v>531</v>
      </c>
      <c r="H120" s="24" t="s">
        <v>532</v>
      </c>
      <c r="I120" s="24" t="s">
        <v>533</v>
      </c>
    </row>
    <row r="121" spans="2:9" ht="26.25" x14ac:dyDescent="0.25">
      <c r="B121" s="24" t="s">
        <v>534</v>
      </c>
      <c r="D121" t="str">
        <f>PROPER(B121)</f>
        <v>Marissa Kawser</v>
      </c>
      <c r="G121" s="24" t="s">
        <v>535</v>
      </c>
      <c r="H121" s="24" t="s">
        <v>190</v>
      </c>
      <c r="I121" s="48" t="s">
        <v>536</v>
      </c>
    </row>
    <row r="122" spans="2:9" x14ac:dyDescent="0.25">
      <c r="B122" s="24" t="s">
        <v>514</v>
      </c>
      <c r="D122" t="str">
        <f>UPPER(B122)</f>
        <v>EXCEL BI TOOLS</v>
      </c>
      <c r="G122" s="24" t="s">
        <v>537</v>
      </c>
      <c r="H122" s="24" t="s">
        <v>538</v>
      </c>
      <c r="I122" s="24" t="s">
        <v>539</v>
      </c>
    </row>
    <row r="126" spans="2:9" ht="23.25" x14ac:dyDescent="0.35">
      <c r="B126" s="39" t="s">
        <v>540</v>
      </c>
      <c r="C126" s="40"/>
      <c r="D126" s="40"/>
      <c r="E126" s="40"/>
      <c r="F126" s="40"/>
      <c r="G126" s="40"/>
      <c r="H126" s="40"/>
      <c r="I126" s="43"/>
    </row>
    <row r="127" spans="2:9" x14ac:dyDescent="0.25">
      <c r="B127" s="41" t="s">
        <v>541</v>
      </c>
      <c r="C127" s="42"/>
      <c r="D127" s="42"/>
      <c r="E127" s="42"/>
      <c r="F127" s="42"/>
      <c r="G127" s="42"/>
      <c r="H127" s="42"/>
      <c r="I127" s="44"/>
    </row>
    <row r="129" spans="2:11" x14ac:dyDescent="0.25">
      <c r="G129" s="23" t="s">
        <v>178</v>
      </c>
      <c r="H129" s="23" t="s">
        <v>340</v>
      </c>
      <c r="I129" s="23" t="s">
        <v>341</v>
      </c>
    </row>
    <row r="130" spans="2:11" ht="26.25" x14ac:dyDescent="0.25">
      <c r="C130" t="str">
        <f>REPT("*-",3)</f>
        <v>*-*-*-</v>
      </c>
      <c r="G130" s="24" t="s">
        <v>542</v>
      </c>
      <c r="H130" s="24" t="s">
        <v>543</v>
      </c>
      <c r="I130" s="48" t="s">
        <v>544</v>
      </c>
    </row>
    <row r="131" spans="2:11" ht="26.25" x14ac:dyDescent="0.25">
      <c r="C131" t="str">
        <f>REPT("-",10)</f>
        <v>----------</v>
      </c>
      <c r="G131" s="24" t="s">
        <v>545</v>
      </c>
      <c r="H131" s="24" t="s">
        <v>546</v>
      </c>
      <c r="I131" s="48" t="s">
        <v>547</v>
      </c>
    </row>
    <row r="134" spans="2:11" ht="23.25" x14ac:dyDescent="0.35">
      <c r="B134" s="39" t="s">
        <v>548</v>
      </c>
      <c r="C134" s="40"/>
      <c r="D134" s="40"/>
      <c r="E134" s="40"/>
      <c r="F134" s="40"/>
      <c r="G134" s="40"/>
      <c r="H134" s="40"/>
      <c r="I134" s="43"/>
    </row>
    <row r="135" spans="2:11" x14ac:dyDescent="0.25">
      <c r="B135" s="41" t="s">
        <v>549</v>
      </c>
      <c r="C135" s="42"/>
      <c r="D135" s="42"/>
      <c r="E135" s="42"/>
      <c r="F135" s="42"/>
      <c r="G135" s="42"/>
      <c r="H135" s="42"/>
      <c r="I135" s="44"/>
    </row>
    <row r="137" spans="2:11" ht="15.75" x14ac:dyDescent="0.25">
      <c r="B137" s="60" t="s">
        <v>550</v>
      </c>
      <c r="C137" s="61"/>
      <c r="D137" s="61"/>
      <c r="E137" s="61"/>
      <c r="F137" s="61"/>
      <c r="G137" s="61"/>
      <c r="H137" s="61"/>
      <c r="I137" s="61"/>
      <c r="J137" s="61"/>
      <c r="K137" s="62"/>
    </row>
    <row r="138" spans="2:11" x14ac:dyDescent="0.25">
      <c r="B138" s="170" t="s">
        <v>551</v>
      </c>
      <c r="C138" s="171"/>
      <c r="D138" s="171"/>
      <c r="E138" s="171"/>
      <c r="F138" s="171"/>
      <c r="G138" s="171"/>
      <c r="H138" s="171"/>
      <c r="I138" s="171"/>
      <c r="J138" s="171"/>
      <c r="K138" s="172"/>
    </row>
    <row r="140" spans="2:11" x14ac:dyDescent="0.25">
      <c r="B140" s="23" t="s">
        <v>552</v>
      </c>
      <c r="G140" s="23" t="s">
        <v>178</v>
      </c>
      <c r="H140" s="23" t="s">
        <v>340</v>
      </c>
      <c r="I140" s="23" t="s">
        <v>341</v>
      </c>
    </row>
    <row r="141" spans="2:11" ht="26.25" x14ac:dyDescent="0.25">
      <c r="B141" s="24" t="s">
        <v>553</v>
      </c>
      <c r="D141">
        <f ca="1">_xlfn.SHEET("MATHEMATICAL")</f>
        <v>9</v>
      </c>
      <c r="G141" s="24" t="s">
        <v>554</v>
      </c>
      <c r="H141" s="24">
        <v>2</v>
      </c>
      <c r="I141" s="48" t="s">
        <v>555</v>
      </c>
    </row>
    <row r="142" spans="2:11" ht="26.25" x14ac:dyDescent="0.25">
      <c r="B142" s="24" t="s">
        <v>556</v>
      </c>
      <c r="D142">
        <f ca="1">_xlfn.SHEET()</f>
        <v>14</v>
      </c>
      <c r="G142" s="24" t="s">
        <v>557</v>
      </c>
      <c r="H142" s="24">
        <v>10</v>
      </c>
      <c r="I142" s="48" t="s">
        <v>558</v>
      </c>
    </row>
    <row r="143" spans="2:11" ht="26.25" x14ac:dyDescent="0.25">
      <c r="B143" s="24" t="s">
        <v>559</v>
      </c>
      <c r="D143">
        <f ca="1">_xlfn.SHEET(Sales_Data)</f>
        <v>12</v>
      </c>
      <c r="G143" s="24" t="s">
        <v>560</v>
      </c>
      <c r="H143" s="24">
        <v>8</v>
      </c>
      <c r="I143" s="48" t="s">
        <v>561</v>
      </c>
    </row>
    <row r="144" spans="2:11" ht="26.25" x14ac:dyDescent="0.25">
      <c r="D144">
        <f ca="1">_xlfn.SHEET("DATE &amp; TIME")</f>
        <v>11</v>
      </c>
      <c r="G144" s="24" t="s">
        <v>562</v>
      </c>
      <c r="H144" s="24">
        <v>9</v>
      </c>
      <c r="I144" s="48" t="s">
        <v>563</v>
      </c>
    </row>
    <row r="148" spans="2:11" ht="23.25" x14ac:dyDescent="0.35">
      <c r="B148" s="39" t="s">
        <v>564</v>
      </c>
      <c r="C148" s="40"/>
      <c r="D148" s="40"/>
      <c r="E148" s="40"/>
      <c r="F148" s="40"/>
      <c r="G148" s="40"/>
      <c r="H148" s="40"/>
      <c r="I148" s="43"/>
    </row>
    <row r="149" spans="2:11" x14ac:dyDescent="0.25">
      <c r="B149" s="41" t="s">
        <v>565</v>
      </c>
      <c r="C149" s="42"/>
      <c r="D149" s="42"/>
      <c r="E149" s="42"/>
      <c r="F149" s="42"/>
      <c r="G149" s="42"/>
      <c r="H149" s="42"/>
      <c r="I149" s="44"/>
    </row>
    <row r="151" spans="2:11" ht="15.75" x14ac:dyDescent="0.25">
      <c r="B151" s="60" t="s">
        <v>566</v>
      </c>
      <c r="C151" s="61"/>
      <c r="D151" s="61"/>
      <c r="E151" s="61"/>
      <c r="F151" s="61"/>
      <c r="G151" s="61"/>
      <c r="H151" s="61"/>
      <c r="I151" s="61"/>
      <c r="J151" s="61"/>
      <c r="K151" s="62"/>
    </row>
    <row r="152" spans="2:11" x14ac:dyDescent="0.25">
      <c r="B152" s="167" t="s">
        <v>567</v>
      </c>
      <c r="C152" s="168"/>
      <c r="D152" s="168"/>
      <c r="E152" s="168"/>
      <c r="F152" s="168"/>
      <c r="G152" s="168"/>
      <c r="H152" s="168"/>
      <c r="I152" s="168"/>
      <c r="J152" s="168"/>
      <c r="K152" s="169"/>
    </row>
    <row r="154" spans="2:11" x14ac:dyDescent="0.25">
      <c r="G154" s="23" t="s">
        <v>178</v>
      </c>
      <c r="H154" s="23" t="s">
        <v>340</v>
      </c>
      <c r="I154" s="23" t="s">
        <v>341</v>
      </c>
    </row>
    <row r="155" spans="2:11" ht="26.25" x14ac:dyDescent="0.25">
      <c r="C155">
        <f ca="1">_xlfn.SHEETS()</f>
        <v>43</v>
      </c>
      <c r="G155" s="24" t="s">
        <v>568</v>
      </c>
      <c r="H155" s="24">
        <v>12</v>
      </c>
      <c r="I155" s="48" t="s">
        <v>569</v>
      </c>
    </row>
    <row r="160" spans="2:11" ht="23.25" x14ac:dyDescent="0.35">
      <c r="B160" s="39" t="s">
        <v>570</v>
      </c>
      <c r="C160" s="40"/>
      <c r="D160" s="40"/>
      <c r="E160" s="40"/>
      <c r="F160" s="40"/>
      <c r="G160" s="40"/>
    </row>
    <row r="161" spans="2:7" x14ac:dyDescent="0.25">
      <c r="B161" s="41" t="s">
        <v>571</v>
      </c>
      <c r="C161" s="42"/>
      <c r="D161" s="42"/>
      <c r="E161" s="42"/>
      <c r="F161" s="42"/>
      <c r="G161" s="42"/>
    </row>
    <row r="163" spans="2:7" x14ac:dyDescent="0.25">
      <c r="B163" s="23" t="s">
        <v>572</v>
      </c>
    </row>
    <row r="164" spans="2:7" ht="15.75" x14ac:dyDescent="0.25">
      <c r="B164" s="67">
        <v>1</v>
      </c>
    </row>
    <row r="165" spans="2:7" ht="15.75" x14ac:dyDescent="0.25">
      <c r="B165" s="67">
        <v>2</v>
      </c>
    </row>
    <row r="166" spans="2:7" ht="15.75" x14ac:dyDescent="0.25">
      <c r="B166" s="67">
        <v>3</v>
      </c>
    </row>
    <row r="168" spans="2:7" ht="15.75" x14ac:dyDescent="0.25">
      <c r="B168" s="23" t="s">
        <v>573</v>
      </c>
      <c r="C168" s="68">
        <v>1</v>
      </c>
      <c r="D168" s="68">
        <v>2</v>
      </c>
      <c r="E168" s="68">
        <v>3</v>
      </c>
    </row>
    <row r="170" spans="2:7" x14ac:dyDescent="0.25">
      <c r="B170" s="23" t="s">
        <v>178</v>
      </c>
      <c r="C170" s="23" t="s">
        <v>340</v>
      </c>
      <c r="D170" s="23"/>
      <c r="E170" s="23"/>
      <c r="F170" s="23" t="s">
        <v>341</v>
      </c>
      <c r="G170" s="23"/>
    </row>
    <row r="171" spans="2:7" ht="15.75" x14ac:dyDescent="0.25">
      <c r="B171" s="24" t="s">
        <v>574</v>
      </c>
      <c r="C171" s="67">
        <v>1</v>
      </c>
      <c r="D171" s="69">
        <v>2</v>
      </c>
      <c r="E171" s="67">
        <v>3</v>
      </c>
      <c r="F171" s="167" t="s">
        <v>575</v>
      </c>
      <c r="G171" s="169"/>
    </row>
    <row r="172" spans="2:7" ht="15.75" x14ac:dyDescent="0.25">
      <c r="B172" s="24" t="s">
        <v>576</v>
      </c>
      <c r="C172" s="68">
        <v>1</v>
      </c>
      <c r="D172" s="47"/>
      <c r="E172" s="70"/>
      <c r="F172" s="167" t="s">
        <v>577</v>
      </c>
      <c r="G172" s="169"/>
    </row>
    <row r="173" spans="2:7" ht="15.75" x14ac:dyDescent="0.25">
      <c r="B173" s="24" t="s">
        <v>576</v>
      </c>
      <c r="C173" s="68">
        <v>2</v>
      </c>
      <c r="D173" s="71"/>
      <c r="F173" s="40"/>
      <c r="G173" s="72"/>
    </row>
    <row r="174" spans="2:7" ht="15.75" x14ac:dyDescent="0.25">
      <c r="B174" s="24" t="s">
        <v>576</v>
      </c>
      <c r="C174" s="68">
        <v>3</v>
      </c>
      <c r="D174" s="73"/>
      <c r="E174" s="74"/>
      <c r="F174" s="74"/>
      <c r="G174" s="75"/>
    </row>
    <row r="176" spans="2:7" x14ac:dyDescent="0.25">
      <c r="B176" s="53" cm="1">
        <f t="array" ref="B176:D176">TRANSPOSE(B164:B166)</f>
        <v>1</v>
      </c>
      <c r="C176">
        <v>2</v>
      </c>
      <c r="D176">
        <v>3</v>
      </c>
    </row>
    <row r="177" spans="2:9" x14ac:dyDescent="0.25">
      <c r="B177" cm="1">
        <f t="array" ref="B177:B179">TRANSPOSE(C168:E168)</f>
        <v>1</v>
      </c>
    </row>
    <row r="178" spans="2:9" x14ac:dyDescent="0.25">
      <c r="B178">
        <v>2</v>
      </c>
    </row>
    <row r="179" spans="2:9" x14ac:dyDescent="0.25">
      <c r="B179">
        <v>3</v>
      </c>
    </row>
    <row r="181" spans="2:9" ht="23.25" x14ac:dyDescent="0.35">
      <c r="B181" s="39" t="s">
        <v>578</v>
      </c>
      <c r="C181" s="40"/>
      <c r="D181" s="40"/>
      <c r="E181" s="40"/>
      <c r="F181" s="40"/>
      <c r="G181" s="40"/>
      <c r="H181" s="40"/>
      <c r="I181" s="43"/>
    </row>
    <row r="182" spans="2:9" x14ac:dyDescent="0.25">
      <c r="B182" s="41" t="s">
        <v>579</v>
      </c>
      <c r="C182" s="42"/>
      <c r="D182" s="42"/>
      <c r="E182" s="42"/>
      <c r="F182" s="42"/>
      <c r="G182" s="42"/>
      <c r="H182" s="42"/>
      <c r="I182" s="44"/>
    </row>
    <row r="184" spans="2:9" x14ac:dyDescent="0.25">
      <c r="B184" s="23" t="s">
        <v>280</v>
      </c>
      <c r="G184" s="23" t="s">
        <v>178</v>
      </c>
      <c r="H184" s="23" t="s">
        <v>340</v>
      </c>
      <c r="I184" s="23" t="s">
        <v>341</v>
      </c>
    </row>
    <row r="185" spans="2:9" ht="26.25" x14ac:dyDescent="0.25">
      <c r="B185" s="24" t="s">
        <v>228</v>
      </c>
      <c r="D185">
        <f>TYPE(B185)</f>
        <v>2</v>
      </c>
      <c r="G185" s="24" t="s">
        <v>580</v>
      </c>
      <c r="H185" s="24">
        <v>2</v>
      </c>
      <c r="I185" s="48" t="s">
        <v>581</v>
      </c>
    </row>
    <row r="186" spans="2:9" ht="26.25" x14ac:dyDescent="0.25">
      <c r="D186">
        <f>TYPE("Ms."&amp;B185)</f>
        <v>2</v>
      </c>
      <c r="G186" s="24" t="s">
        <v>582</v>
      </c>
      <c r="H186" s="24">
        <v>2</v>
      </c>
      <c r="I186" s="48" t="s">
        <v>583</v>
      </c>
    </row>
    <row r="187" spans="2:9" ht="26.25" x14ac:dyDescent="0.25">
      <c r="D187">
        <f>TYPE(100/0)</f>
        <v>16</v>
      </c>
      <c r="G187" s="24" t="s">
        <v>584</v>
      </c>
      <c r="H187" s="24">
        <v>16</v>
      </c>
      <c r="I187" s="48" t="s">
        <v>585</v>
      </c>
    </row>
    <row r="188" spans="2:9" ht="26.25" x14ac:dyDescent="0.25">
      <c r="D188">
        <f>TYPE({1,2,-3,4})</f>
        <v>64</v>
      </c>
      <c r="G188" s="24" t="s">
        <v>586</v>
      </c>
      <c r="H188" s="24">
        <v>64</v>
      </c>
      <c r="I188" s="48" t="s">
        <v>587</v>
      </c>
    </row>
    <row r="191" spans="2:9" ht="23.25" x14ac:dyDescent="0.35">
      <c r="B191" s="39" t="s">
        <v>588</v>
      </c>
      <c r="C191" s="40"/>
      <c r="D191" s="40"/>
      <c r="E191" s="40"/>
      <c r="F191" s="40"/>
      <c r="G191" s="40"/>
      <c r="H191" s="40"/>
      <c r="I191" s="43"/>
    </row>
    <row r="192" spans="2:9" x14ac:dyDescent="0.25">
      <c r="B192" s="41" t="s">
        <v>589</v>
      </c>
      <c r="C192" s="42"/>
      <c r="D192" s="42"/>
      <c r="E192" s="42"/>
      <c r="F192" s="42"/>
      <c r="G192" s="42"/>
      <c r="H192" s="42"/>
      <c r="I192" s="44"/>
    </row>
    <row r="194" spans="2:9" x14ac:dyDescent="0.25">
      <c r="B194" s="23" t="s">
        <v>280</v>
      </c>
      <c r="G194" s="23" t="s">
        <v>178</v>
      </c>
      <c r="H194" s="23" t="s">
        <v>340</v>
      </c>
      <c r="I194" s="23" t="s">
        <v>341</v>
      </c>
    </row>
    <row r="195" spans="2:9" x14ac:dyDescent="0.25">
      <c r="B195" s="54">
        <v>1000</v>
      </c>
      <c r="D195">
        <f>VALUE(B195)</f>
        <v>1000</v>
      </c>
      <c r="G195" s="24" t="s">
        <v>590</v>
      </c>
      <c r="H195" s="24">
        <v>1000</v>
      </c>
      <c r="I195" s="24" t="s">
        <v>591</v>
      </c>
    </row>
    <row r="196" spans="2:9" x14ac:dyDescent="0.25">
      <c r="B196" s="76">
        <v>0.11493055555555599</v>
      </c>
      <c r="D196">
        <f>VALUE(B196)</f>
        <v>0.11493055555555599</v>
      </c>
      <c r="G196" s="24" t="s">
        <v>592</v>
      </c>
      <c r="H196" s="24">
        <v>0.11493055555555599</v>
      </c>
      <c r="I196" s="24" t="s">
        <v>593</v>
      </c>
    </row>
  </sheetData>
  <mergeCells count="8">
    <mergeCell ref="B152:K152"/>
    <mergeCell ref="F171:G171"/>
    <mergeCell ref="F172:G172"/>
    <mergeCell ref="B8:C8"/>
    <mergeCell ref="B16:C16"/>
    <mergeCell ref="B27:C27"/>
    <mergeCell ref="B69:C69"/>
    <mergeCell ref="B138:K13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C37A-C1B1-445A-84B1-C4AECDB67217}">
  <sheetPr codeName="Sheet15"/>
  <dimension ref="B2:I41"/>
  <sheetViews>
    <sheetView workbookViewId="0">
      <selection activeCell="I41" sqref="I41"/>
    </sheetView>
  </sheetViews>
  <sheetFormatPr defaultColWidth="10.28515625" defaultRowHeight="24.75" customHeight="1" x14ac:dyDescent="0.25"/>
  <cols>
    <col min="7" max="7" width="22.42578125" bestFit="1" customWidth="1"/>
    <col min="8" max="8" width="5.85546875" bestFit="1" customWidth="1"/>
    <col min="9" max="9" width="66" bestFit="1" customWidth="1"/>
  </cols>
  <sheetData>
    <row r="2" spans="2:9" ht="24.75" customHeight="1" x14ac:dyDescent="0.35">
      <c r="B2" s="39" t="s">
        <v>594</v>
      </c>
      <c r="C2" s="40"/>
      <c r="D2" s="40"/>
      <c r="E2" s="40"/>
      <c r="F2" s="40"/>
      <c r="G2" s="40"/>
      <c r="H2" s="40"/>
      <c r="I2" s="43"/>
    </row>
    <row r="3" spans="2:9" ht="24.75" customHeight="1" x14ac:dyDescent="0.25">
      <c r="B3" s="41" t="s">
        <v>595</v>
      </c>
      <c r="C3" s="42"/>
      <c r="D3" s="42"/>
      <c r="E3" s="42"/>
      <c r="F3" s="42"/>
      <c r="G3" s="42"/>
      <c r="H3" s="42"/>
      <c r="I3" s="44"/>
    </row>
    <row r="4" spans="2:9" ht="24.75" customHeight="1" x14ac:dyDescent="0.25">
      <c r="B4" s="41" t="s">
        <v>596</v>
      </c>
      <c r="C4" s="42"/>
      <c r="D4" s="42"/>
      <c r="E4" s="42"/>
      <c r="F4" s="42"/>
      <c r="G4" s="42"/>
      <c r="H4" s="42"/>
      <c r="I4" s="44"/>
    </row>
    <row r="5" spans="2:9" ht="24.75" customHeight="1" x14ac:dyDescent="0.25">
      <c r="B5" s="53"/>
      <c r="C5" s="53"/>
      <c r="D5" s="53"/>
      <c r="E5" s="53"/>
      <c r="F5" s="53"/>
      <c r="G5" s="53"/>
      <c r="H5" s="53"/>
      <c r="I5" s="53"/>
    </row>
    <row r="6" spans="2:9" ht="24.75" customHeight="1" x14ac:dyDescent="0.25">
      <c r="B6" s="23" t="s">
        <v>280</v>
      </c>
      <c r="C6" s="53"/>
      <c r="D6" s="53"/>
      <c r="E6" s="53"/>
      <c r="F6" s="53"/>
      <c r="G6" s="23" t="s">
        <v>178</v>
      </c>
      <c r="H6" s="23" t="s">
        <v>340</v>
      </c>
      <c r="I6" s="23" t="s">
        <v>341</v>
      </c>
    </row>
    <row r="7" spans="2:9" ht="30.75" customHeight="1" x14ac:dyDescent="0.25">
      <c r="B7" s="24">
        <v>7</v>
      </c>
      <c r="C7" s="53"/>
      <c r="D7" s="53">
        <f>RANK(B8,B7:B11)</f>
        <v>2</v>
      </c>
      <c r="E7" s="53"/>
      <c r="F7" s="53"/>
      <c r="G7" s="24" t="s">
        <v>597</v>
      </c>
      <c r="H7" s="24">
        <v>2</v>
      </c>
      <c r="I7" s="48" t="s">
        <v>598</v>
      </c>
    </row>
    <row r="8" spans="2:9" ht="24.75" customHeight="1" x14ac:dyDescent="0.25">
      <c r="B8" s="24">
        <v>3.5</v>
      </c>
      <c r="C8" s="53"/>
      <c r="D8" s="53">
        <f>RANK(B9,B7:B11)</f>
        <v>2</v>
      </c>
      <c r="E8" s="53"/>
      <c r="F8" s="53"/>
      <c r="G8" s="24" t="s">
        <v>599</v>
      </c>
      <c r="H8" s="24">
        <v>2</v>
      </c>
      <c r="I8" s="48" t="s">
        <v>600</v>
      </c>
    </row>
    <row r="9" spans="2:9" ht="24.75" customHeight="1" x14ac:dyDescent="0.25">
      <c r="B9" s="24">
        <v>3.5</v>
      </c>
      <c r="C9" s="53"/>
      <c r="D9" s="53">
        <f>RANK(B10,B7:B11,1)</f>
        <v>1</v>
      </c>
      <c r="E9" s="53"/>
      <c r="F9" s="53"/>
      <c r="G9" s="24" t="s">
        <v>601</v>
      </c>
      <c r="H9" s="24">
        <v>1</v>
      </c>
      <c r="I9" s="48" t="s">
        <v>602</v>
      </c>
    </row>
    <row r="10" spans="2:9" ht="24.75" customHeight="1" x14ac:dyDescent="0.25">
      <c r="B10" s="24">
        <v>1</v>
      </c>
      <c r="C10" s="53"/>
      <c r="D10" s="53">
        <f>RANK(B10,B7:B11,0)</f>
        <v>5</v>
      </c>
      <c r="E10" s="53"/>
      <c r="F10" s="53"/>
      <c r="G10" s="24" t="s">
        <v>603</v>
      </c>
      <c r="H10" s="24">
        <v>5</v>
      </c>
      <c r="I10" s="48" t="s">
        <v>598</v>
      </c>
    </row>
    <row r="11" spans="2:9" ht="24.75" customHeight="1" x14ac:dyDescent="0.25">
      <c r="B11" s="24">
        <v>2</v>
      </c>
      <c r="C11" s="53"/>
      <c r="D11" s="53"/>
      <c r="E11" s="53"/>
      <c r="F11" s="53"/>
    </row>
    <row r="14" spans="2:9" ht="24.75" customHeight="1" x14ac:dyDescent="0.35">
      <c r="B14" s="39" t="s">
        <v>604</v>
      </c>
      <c r="C14" s="40"/>
      <c r="D14" s="40"/>
      <c r="E14" s="40"/>
      <c r="F14" s="40"/>
      <c r="G14" s="40"/>
      <c r="H14" s="40"/>
      <c r="I14" s="43"/>
    </row>
    <row r="15" spans="2:9" ht="24.75" customHeight="1" x14ac:dyDescent="0.25">
      <c r="B15" s="41" t="s">
        <v>605</v>
      </c>
      <c r="C15" s="42"/>
      <c r="D15" s="42"/>
      <c r="E15" s="42"/>
      <c r="F15" s="42"/>
      <c r="G15" s="42"/>
      <c r="H15" s="42"/>
      <c r="I15" s="44"/>
    </row>
    <row r="16" spans="2:9" ht="24.75" customHeight="1" x14ac:dyDescent="0.25">
      <c r="B16" s="53"/>
      <c r="C16" s="53"/>
      <c r="D16" s="53"/>
      <c r="E16" s="53"/>
      <c r="F16" s="53"/>
      <c r="G16" s="53"/>
      <c r="H16" s="53"/>
      <c r="I16" s="53"/>
    </row>
    <row r="17" spans="2:9" ht="24.75" customHeight="1" x14ac:dyDescent="0.25">
      <c r="B17" s="23" t="s">
        <v>280</v>
      </c>
      <c r="C17" s="53"/>
      <c r="D17" s="53"/>
      <c r="E17" s="53"/>
      <c r="F17" s="53"/>
      <c r="G17" s="23" t="s">
        <v>178</v>
      </c>
      <c r="H17" s="23" t="s">
        <v>340</v>
      </c>
      <c r="I17" s="23" t="s">
        <v>341</v>
      </c>
    </row>
    <row r="18" spans="2:9" ht="24.75" customHeight="1" x14ac:dyDescent="0.25">
      <c r="B18" s="24">
        <v>89</v>
      </c>
      <c r="C18" s="53"/>
      <c r="D18" s="53">
        <f>_xlfn.RANK.AVG(B19,B18:B25)</f>
        <v>4</v>
      </c>
      <c r="E18" s="53"/>
      <c r="F18" s="53"/>
      <c r="G18" s="24" t="s">
        <v>606</v>
      </c>
      <c r="H18" s="24">
        <v>4</v>
      </c>
      <c r="I18" s="48" t="s">
        <v>607</v>
      </c>
    </row>
    <row r="19" spans="2:9" ht="24.75" customHeight="1" x14ac:dyDescent="0.25">
      <c r="B19" s="24">
        <v>90</v>
      </c>
      <c r="C19" s="53"/>
      <c r="D19" s="53">
        <f>_xlfn.RANK.AVG(B24,B18:B25,1)</f>
        <v>1.5</v>
      </c>
      <c r="E19" s="53"/>
      <c r="F19" s="53"/>
      <c r="G19" s="24" t="s">
        <v>608</v>
      </c>
      <c r="H19" s="24">
        <v>1.5</v>
      </c>
      <c r="I19" s="48" t="s">
        <v>609</v>
      </c>
    </row>
    <row r="20" spans="2:9" ht="24.75" customHeight="1" x14ac:dyDescent="0.25">
      <c r="B20" s="24">
        <v>87</v>
      </c>
      <c r="C20" s="53"/>
      <c r="D20" s="53">
        <f>_xlfn.RANK.AVG(B25,B18:B25,1)</f>
        <v>7.5</v>
      </c>
      <c r="E20" s="53"/>
      <c r="F20" s="53"/>
      <c r="G20" s="24" t="s">
        <v>610</v>
      </c>
      <c r="H20" s="24">
        <v>7.5</v>
      </c>
      <c r="I20" s="48" t="s">
        <v>611</v>
      </c>
    </row>
    <row r="21" spans="2:9" ht="24.75" customHeight="1" x14ac:dyDescent="0.25">
      <c r="B21" s="24">
        <v>98</v>
      </c>
      <c r="C21" s="53"/>
      <c r="D21" s="53"/>
      <c r="E21" s="53"/>
      <c r="F21" s="53"/>
      <c r="G21" s="53"/>
      <c r="H21" s="53"/>
      <c r="I21" s="53"/>
    </row>
    <row r="22" spans="2:9" ht="24.75" customHeight="1" x14ac:dyDescent="0.25">
      <c r="B22" s="24">
        <v>96</v>
      </c>
      <c r="C22" s="53"/>
      <c r="D22" s="53"/>
      <c r="E22" s="53"/>
      <c r="F22" s="53"/>
      <c r="G22" s="53"/>
      <c r="H22" s="53"/>
      <c r="I22" s="53"/>
    </row>
    <row r="23" spans="2:9" ht="24.75" customHeight="1" x14ac:dyDescent="0.25">
      <c r="B23" s="24">
        <v>85</v>
      </c>
      <c r="C23" s="53"/>
      <c r="D23" s="53"/>
      <c r="E23" s="53"/>
      <c r="F23" s="53"/>
      <c r="G23" s="53"/>
      <c r="H23" s="53"/>
      <c r="I23" s="53"/>
    </row>
    <row r="24" spans="2:9" ht="24.75" customHeight="1" x14ac:dyDescent="0.25">
      <c r="B24" s="24">
        <v>85</v>
      </c>
      <c r="C24" s="53"/>
      <c r="D24" s="53"/>
      <c r="E24" s="53"/>
      <c r="F24" s="53"/>
      <c r="G24" s="53"/>
      <c r="H24" s="53"/>
      <c r="I24" s="53"/>
    </row>
    <row r="25" spans="2:9" ht="24.75" customHeight="1" x14ac:dyDescent="0.25">
      <c r="B25" s="24">
        <v>98</v>
      </c>
      <c r="C25" s="53"/>
      <c r="D25" s="53"/>
      <c r="E25" s="53"/>
      <c r="F25" s="53"/>
      <c r="G25" s="53"/>
      <c r="H25" s="53"/>
      <c r="I25" s="53"/>
    </row>
    <row r="28" spans="2:9" ht="24.75" customHeight="1" x14ac:dyDescent="0.35">
      <c r="B28" s="64" t="s">
        <v>612</v>
      </c>
      <c r="C28" s="53"/>
      <c r="D28" s="53"/>
      <c r="E28" s="53"/>
      <c r="F28" s="53"/>
      <c r="G28" s="53"/>
      <c r="H28" s="53"/>
      <c r="I28" s="53"/>
    </row>
    <row r="29" spans="2:9" ht="24.75" customHeight="1" x14ac:dyDescent="0.25">
      <c r="B29" s="63" t="s">
        <v>613</v>
      </c>
      <c r="C29" s="63"/>
      <c r="D29" s="63"/>
      <c r="E29" s="63"/>
      <c r="F29" s="63"/>
      <c r="G29" s="63"/>
      <c r="H29" s="63"/>
      <c r="I29" s="63"/>
    </row>
    <row r="30" spans="2:9" ht="24.75" customHeight="1" x14ac:dyDescent="0.25">
      <c r="B30" s="53"/>
      <c r="C30" s="53"/>
      <c r="D30" s="53"/>
      <c r="E30" s="53"/>
      <c r="F30" s="53"/>
      <c r="G30" s="53"/>
      <c r="H30" s="53"/>
      <c r="I30" s="53"/>
    </row>
    <row r="31" spans="2:9" ht="24.75" customHeight="1" x14ac:dyDescent="0.25">
      <c r="B31" s="23" t="s">
        <v>280</v>
      </c>
      <c r="C31" s="53"/>
      <c r="D31" s="53"/>
      <c r="E31" s="53"/>
      <c r="F31" s="53"/>
      <c r="G31" s="23" t="s">
        <v>178</v>
      </c>
      <c r="H31" s="23" t="s">
        <v>340</v>
      </c>
      <c r="I31" s="23" t="s">
        <v>341</v>
      </c>
    </row>
    <row r="32" spans="2:9" ht="24.75" customHeight="1" x14ac:dyDescent="0.25">
      <c r="B32" s="24">
        <v>89</v>
      </c>
      <c r="C32" s="53"/>
      <c r="D32" s="53">
        <f>_xlfn.RANK.EQ(B33,B32:B39)</f>
        <v>4</v>
      </c>
      <c r="E32" s="53"/>
      <c r="F32" s="53"/>
      <c r="G32" s="24" t="s">
        <v>614</v>
      </c>
      <c r="H32" s="24">
        <v>4</v>
      </c>
      <c r="I32" s="48" t="s">
        <v>607</v>
      </c>
    </row>
    <row r="33" spans="2:9" ht="24.75" customHeight="1" x14ac:dyDescent="0.25">
      <c r="B33" s="24">
        <v>90</v>
      </c>
      <c r="C33" s="53"/>
      <c r="D33" s="53">
        <f>_xlfn.RANK.EQ(B38,B32:B39,1)</f>
        <v>1</v>
      </c>
      <c r="E33" s="53"/>
      <c r="F33" s="53"/>
      <c r="G33" s="24" t="s">
        <v>615</v>
      </c>
      <c r="H33" s="24">
        <v>1</v>
      </c>
      <c r="I33" s="48" t="s">
        <v>616</v>
      </c>
    </row>
    <row r="34" spans="2:9" ht="24.75" customHeight="1" x14ac:dyDescent="0.25">
      <c r="B34" s="24">
        <v>87</v>
      </c>
      <c r="C34" s="53"/>
      <c r="D34" s="53">
        <f>_xlfn.RANK.EQ(B39,B32:B39,1)</f>
        <v>7</v>
      </c>
      <c r="E34" s="53"/>
      <c r="F34" s="53"/>
      <c r="G34" s="24" t="s">
        <v>617</v>
      </c>
      <c r="H34" s="24">
        <v>7</v>
      </c>
      <c r="I34" s="48" t="s">
        <v>618</v>
      </c>
    </row>
    <row r="35" spans="2:9" ht="24.75" customHeight="1" x14ac:dyDescent="0.25">
      <c r="B35" s="24">
        <v>98</v>
      </c>
      <c r="C35" s="53"/>
      <c r="D35" s="53"/>
      <c r="E35" s="53"/>
      <c r="F35" s="53"/>
      <c r="G35" s="24"/>
      <c r="H35" s="24">
        <v>7</v>
      </c>
      <c r="I35" s="48" t="s">
        <v>618</v>
      </c>
    </row>
    <row r="36" spans="2:9" ht="24.75" customHeight="1" x14ac:dyDescent="0.25">
      <c r="B36" s="24">
        <v>96</v>
      </c>
      <c r="C36" s="53"/>
      <c r="D36" s="53"/>
      <c r="E36" s="53"/>
      <c r="F36" s="53"/>
    </row>
    <row r="37" spans="2:9" ht="24.75" customHeight="1" x14ac:dyDescent="0.25">
      <c r="B37" s="24">
        <v>85</v>
      </c>
      <c r="C37" s="53"/>
      <c r="D37" s="53"/>
      <c r="E37" s="53"/>
      <c r="F37" s="53"/>
      <c r="G37" s="53"/>
      <c r="H37" s="53"/>
      <c r="I37" s="53"/>
    </row>
    <row r="38" spans="2:9" ht="24.75" customHeight="1" x14ac:dyDescent="0.25">
      <c r="B38" s="24">
        <v>85</v>
      </c>
      <c r="C38" s="53"/>
      <c r="D38" s="53"/>
      <c r="E38" s="53"/>
      <c r="F38" s="53"/>
      <c r="G38" s="53"/>
      <c r="H38" s="53"/>
      <c r="I38" s="53"/>
    </row>
    <row r="39" spans="2:9" ht="24.75" customHeight="1" x14ac:dyDescent="0.25">
      <c r="B39" s="24">
        <v>98</v>
      </c>
      <c r="C39" s="53"/>
    </row>
    <row r="41" spans="2:9" 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C109-C659-4C4B-B729-91AE825B9E29}">
  <sheetPr codeName="Sheet16"/>
  <dimension ref="B2:H174"/>
  <sheetViews>
    <sheetView topLeftCell="A93" zoomScale="82" zoomScaleNormal="82" workbookViewId="0">
      <selection activeCell="F96" sqref="F96"/>
    </sheetView>
  </sheetViews>
  <sheetFormatPr defaultColWidth="13.28515625" defaultRowHeight="33" customHeight="1" x14ac:dyDescent="0.25"/>
  <cols>
    <col min="6" max="6" width="65.7109375" bestFit="1" customWidth="1"/>
    <col min="7" max="7" width="20.42578125" bestFit="1" customWidth="1"/>
    <col min="8" max="8" width="67" customWidth="1"/>
  </cols>
  <sheetData>
    <row r="2" spans="2:8" ht="33" customHeight="1" x14ac:dyDescent="0.35">
      <c r="B2" s="39" t="s">
        <v>619</v>
      </c>
      <c r="C2" s="40"/>
      <c r="D2" s="40"/>
      <c r="E2" s="40"/>
      <c r="F2" s="40"/>
      <c r="G2" s="45"/>
      <c r="H2" s="43"/>
    </row>
    <row r="3" spans="2:8" ht="33" customHeight="1" x14ac:dyDescent="0.25">
      <c r="B3" s="41" t="s">
        <v>620</v>
      </c>
      <c r="C3" s="42"/>
      <c r="D3" s="42"/>
      <c r="E3" s="42"/>
      <c r="F3" s="42"/>
      <c r="G3" s="42"/>
      <c r="H3" s="44"/>
    </row>
    <row r="5" spans="2:8" ht="33" customHeight="1" x14ac:dyDescent="0.25">
      <c r="B5" s="23" t="s">
        <v>1</v>
      </c>
      <c r="C5" s="23" t="s">
        <v>226</v>
      </c>
      <c r="F5" s="23" t="s">
        <v>178</v>
      </c>
      <c r="G5" s="23" t="s">
        <v>340</v>
      </c>
      <c r="H5" s="23" t="s">
        <v>341</v>
      </c>
    </row>
    <row r="6" spans="2:8" ht="33" customHeight="1" x14ac:dyDescent="0.25">
      <c r="B6" s="24" t="s">
        <v>16</v>
      </c>
      <c r="C6" s="24">
        <v>500</v>
      </c>
      <c r="F6" s="24" t="s">
        <v>621</v>
      </c>
      <c r="G6" s="24">
        <v>267.5</v>
      </c>
      <c r="H6" s="24" t="s">
        <v>622</v>
      </c>
    </row>
    <row r="7" spans="2:8" ht="33" customHeight="1" x14ac:dyDescent="0.25">
      <c r="B7" s="24" t="s">
        <v>20</v>
      </c>
      <c r="C7" s="24">
        <v>50</v>
      </c>
      <c r="F7" s="24" t="s">
        <v>623</v>
      </c>
      <c r="G7" s="24">
        <v>62.5</v>
      </c>
      <c r="H7" s="24" t="s">
        <v>624</v>
      </c>
    </row>
    <row r="8" spans="2:8" ht="33" customHeight="1" x14ac:dyDescent="0.25">
      <c r="B8" s="24" t="s">
        <v>8</v>
      </c>
      <c r="C8" s="24">
        <v>100</v>
      </c>
      <c r="F8" s="24" t="s">
        <v>625</v>
      </c>
      <c r="G8" s="24">
        <v>55</v>
      </c>
      <c r="H8" s="48" t="s">
        <v>626</v>
      </c>
    </row>
    <row r="9" spans="2:8" ht="33" customHeight="1" x14ac:dyDescent="0.25">
      <c r="B9" s="24" t="s">
        <v>12</v>
      </c>
      <c r="C9" s="24">
        <v>25</v>
      </c>
      <c r="F9" s="24" t="s">
        <v>627</v>
      </c>
      <c r="G9" s="24">
        <v>35</v>
      </c>
      <c r="H9" s="24" t="s">
        <v>628</v>
      </c>
    </row>
    <row r="10" spans="2:8" ht="33" customHeight="1" x14ac:dyDescent="0.25">
      <c r="B10" s="24" t="s">
        <v>629</v>
      </c>
      <c r="C10" s="24">
        <v>200</v>
      </c>
      <c r="F10" s="24" t="s">
        <v>630</v>
      </c>
      <c r="G10" s="24">
        <v>58.75</v>
      </c>
      <c r="H10" s="24" t="s">
        <v>631</v>
      </c>
    </row>
    <row r="11" spans="2:8" ht="33" customHeight="1" x14ac:dyDescent="0.25">
      <c r="B11" s="24" t="s">
        <v>632</v>
      </c>
      <c r="C11" s="24">
        <v>30</v>
      </c>
      <c r="F11" s="24" t="s">
        <v>633</v>
      </c>
      <c r="G11" s="24">
        <v>75</v>
      </c>
      <c r="H11" s="24" t="s">
        <v>634</v>
      </c>
    </row>
    <row r="12" spans="2:8" ht="33" customHeight="1" x14ac:dyDescent="0.25">
      <c r="B12" s="24" t="s">
        <v>16</v>
      </c>
      <c r="C12" s="24">
        <v>35</v>
      </c>
      <c r="F12" s="24" t="s">
        <v>635</v>
      </c>
      <c r="G12" s="24">
        <v>110</v>
      </c>
      <c r="H12" s="24" t="s">
        <v>636</v>
      </c>
    </row>
    <row r="13" spans="2:8" ht="33" customHeight="1" x14ac:dyDescent="0.25">
      <c r="B13" s="24" t="s">
        <v>20</v>
      </c>
      <c r="C13" s="24">
        <v>50</v>
      </c>
      <c r="F13" s="24" t="s">
        <v>637</v>
      </c>
      <c r="G13" s="24">
        <v>77.5</v>
      </c>
      <c r="H13" s="24" t="s">
        <v>638</v>
      </c>
    </row>
    <row r="14" spans="2:8" ht="33" customHeight="1" x14ac:dyDescent="0.25">
      <c r="B14" s="24" t="s">
        <v>12</v>
      </c>
      <c r="C14" s="24">
        <v>15</v>
      </c>
    </row>
    <row r="15" spans="2:8" ht="33" customHeight="1" x14ac:dyDescent="0.25">
      <c r="B15" s="24" t="s">
        <v>8</v>
      </c>
      <c r="C15" s="24">
        <v>25</v>
      </c>
      <c r="F15">
        <f>AVERAGEIF(B6:B27,"East",C6:C27)</f>
        <v>267.5</v>
      </c>
    </row>
    <row r="16" spans="2:8" ht="33" customHeight="1" x14ac:dyDescent="0.25">
      <c r="B16" s="24" t="s">
        <v>639</v>
      </c>
      <c r="C16" s="24">
        <v>40</v>
      </c>
      <c r="F16">
        <f>AVERAGEIF(B6:B27,"North",C6:C27)</f>
        <v>62.5</v>
      </c>
    </row>
    <row r="17" spans="2:8" ht="33" customHeight="1" x14ac:dyDescent="0.25">
      <c r="B17" s="24">
        <v>5</v>
      </c>
      <c r="C17" s="24">
        <v>50</v>
      </c>
      <c r="F17" s="24">
        <f>AVERAGEIF(B6:B27,"North*",C6:C27)</f>
        <v>55</v>
      </c>
    </row>
    <row r="18" spans="2:8" ht="33" customHeight="1" x14ac:dyDescent="0.25">
      <c r="B18" s="24">
        <v>5</v>
      </c>
      <c r="C18" s="24">
        <v>100</v>
      </c>
      <c r="F18" s="24">
        <f>AVERAGEIF(B6:B27,"*New Office",C6:C27)</f>
        <v>35</v>
      </c>
    </row>
    <row r="19" spans="2:8" ht="33" customHeight="1" x14ac:dyDescent="0.25">
      <c r="B19" s="24">
        <v>2</v>
      </c>
      <c r="C19" s="24">
        <v>200</v>
      </c>
      <c r="F19" s="24">
        <f>AVERAGEIF(B6:B27,"&gt;=4",C6:C27)</f>
        <v>58.75</v>
      </c>
    </row>
    <row r="20" spans="2:8" ht="33" customHeight="1" x14ac:dyDescent="0.25">
      <c r="B20" s="24">
        <v>4</v>
      </c>
      <c r="C20" s="24">
        <v>35</v>
      </c>
      <c r="F20" s="24">
        <f>AVERAGEIF(B6:B27,5,C6:C27)</f>
        <v>75</v>
      </c>
    </row>
    <row r="21" spans="2:8" ht="33" customHeight="1" x14ac:dyDescent="0.25">
      <c r="B21" s="24">
        <v>2</v>
      </c>
      <c r="C21" s="24">
        <v>45</v>
      </c>
      <c r="F21" s="24">
        <f>AVERAGEIF(B6:B27,TRUE,C6:C27)</f>
        <v>110</v>
      </c>
    </row>
    <row r="22" spans="2:8" ht="33" customHeight="1" x14ac:dyDescent="0.25">
      <c r="B22" s="24">
        <v>4</v>
      </c>
      <c r="C22" s="24">
        <v>50</v>
      </c>
      <c r="F22" s="24">
        <f>AVERAGEIF(B6:B27,FALSE,C6:C27)</f>
        <v>77.5</v>
      </c>
    </row>
    <row r="23" spans="2:8" ht="33" customHeight="1" x14ac:dyDescent="0.25">
      <c r="B23" s="24" t="b">
        <v>1</v>
      </c>
      <c r="C23" s="24">
        <v>90</v>
      </c>
    </row>
    <row r="24" spans="2:8" ht="33" customHeight="1" x14ac:dyDescent="0.25">
      <c r="B24" s="24" t="b">
        <v>0</v>
      </c>
      <c r="C24" s="24">
        <v>100</v>
      </c>
    </row>
    <row r="25" spans="2:8" ht="33" customHeight="1" x14ac:dyDescent="0.25">
      <c r="B25" s="24" t="b">
        <v>1</v>
      </c>
      <c r="C25" s="24">
        <v>125</v>
      </c>
    </row>
    <row r="26" spans="2:8" ht="33" customHeight="1" x14ac:dyDescent="0.25">
      <c r="B26" s="24" t="b">
        <v>1</v>
      </c>
      <c r="C26" s="24">
        <v>115</v>
      </c>
    </row>
    <row r="27" spans="2:8" ht="33" customHeight="1" x14ac:dyDescent="0.25">
      <c r="B27" s="24" t="b">
        <v>0</v>
      </c>
      <c r="C27" s="24">
        <v>55</v>
      </c>
    </row>
    <row r="30" spans="2:8" ht="33" customHeight="1" x14ac:dyDescent="0.35">
      <c r="B30" s="39"/>
      <c r="C30" s="40"/>
      <c r="D30" s="40" t="s">
        <v>640</v>
      </c>
      <c r="E30" s="40"/>
      <c r="F30" s="40"/>
      <c r="G30" s="45"/>
      <c r="H30" s="43"/>
    </row>
    <row r="31" spans="2:8" ht="33" customHeight="1" x14ac:dyDescent="0.25">
      <c r="B31" s="41" t="s">
        <v>641</v>
      </c>
      <c r="C31" s="42"/>
      <c r="D31" s="42"/>
      <c r="E31" s="42"/>
      <c r="F31" s="42"/>
      <c r="G31" s="42"/>
      <c r="H31" s="44"/>
    </row>
    <row r="33" spans="2:8" ht="33" customHeight="1" x14ac:dyDescent="0.25">
      <c r="B33" s="23" t="s">
        <v>1</v>
      </c>
      <c r="C33" s="23" t="s">
        <v>226</v>
      </c>
      <c r="F33" s="23" t="s">
        <v>178</v>
      </c>
      <c r="G33" s="23" t="s">
        <v>340</v>
      </c>
      <c r="H33" s="23" t="s">
        <v>341</v>
      </c>
    </row>
    <row r="34" spans="2:8" ht="33" customHeight="1" x14ac:dyDescent="0.25">
      <c r="B34" s="24" t="s">
        <v>16</v>
      </c>
      <c r="C34" s="24">
        <v>500</v>
      </c>
      <c r="F34" s="24" t="s">
        <v>642</v>
      </c>
      <c r="G34" s="24">
        <v>535</v>
      </c>
      <c r="H34" s="24" t="s">
        <v>643</v>
      </c>
    </row>
    <row r="35" spans="2:8" ht="33" customHeight="1" x14ac:dyDescent="0.25">
      <c r="B35" s="24" t="s">
        <v>20</v>
      </c>
      <c r="C35" s="24">
        <v>50</v>
      </c>
      <c r="F35" s="24" t="s">
        <v>644</v>
      </c>
      <c r="G35" s="24">
        <v>125</v>
      </c>
      <c r="H35" s="24" t="s">
        <v>645</v>
      </c>
    </row>
    <row r="36" spans="2:8" ht="33" customHeight="1" x14ac:dyDescent="0.25">
      <c r="B36" s="24" t="s">
        <v>8</v>
      </c>
      <c r="C36" s="24">
        <v>100</v>
      </c>
      <c r="F36" s="24" t="s">
        <v>646</v>
      </c>
      <c r="G36" s="24">
        <v>165</v>
      </c>
      <c r="H36" s="24" t="s">
        <v>647</v>
      </c>
    </row>
    <row r="37" spans="2:8" ht="33" customHeight="1" x14ac:dyDescent="0.25">
      <c r="B37" s="24" t="s">
        <v>12</v>
      </c>
      <c r="C37" s="24">
        <v>25</v>
      </c>
      <c r="F37" s="24" t="s">
        <v>648</v>
      </c>
      <c r="G37" s="24">
        <v>70</v>
      </c>
      <c r="H37" s="24" t="s">
        <v>649</v>
      </c>
    </row>
    <row r="38" spans="2:8" ht="33" customHeight="1" x14ac:dyDescent="0.25">
      <c r="B38" s="24" t="s">
        <v>629</v>
      </c>
      <c r="C38" s="24">
        <v>200</v>
      </c>
      <c r="F38" s="24" t="s">
        <v>650</v>
      </c>
      <c r="G38" s="24">
        <v>235</v>
      </c>
      <c r="H38" s="24" t="s">
        <v>651</v>
      </c>
    </row>
    <row r="39" spans="2:8" ht="33" customHeight="1" x14ac:dyDescent="0.25">
      <c r="B39" s="24" t="s">
        <v>632</v>
      </c>
      <c r="C39" s="24">
        <v>30</v>
      </c>
      <c r="F39" s="24" t="s">
        <v>652</v>
      </c>
      <c r="G39" s="24">
        <v>150</v>
      </c>
      <c r="H39" s="24" t="s">
        <v>653</v>
      </c>
    </row>
    <row r="40" spans="2:8" ht="33" customHeight="1" x14ac:dyDescent="0.25">
      <c r="B40" s="24" t="s">
        <v>16</v>
      </c>
      <c r="C40" s="24">
        <v>35</v>
      </c>
      <c r="F40" s="24" t="s">
        <v>654</v>
      </c>
      <c r="G40" s="24">
        <v>330</v>
      </c>
      <c r="H40" s="24" t="s">
        <v>655</v>
      </c>
    </row>
    <row r="41" spans="2:8" ht="33" customHeight="1" x14ac:dyDescent="0.25">
      <c r="B41" s="24" t="s">
        <v>20</v>
      </c>
      <c r="C41" s="24">
        <v>50</v>
      </c>
      <c r="F41" s="24" t="s">
        <v>656</v>
      </c>
      <c r="G41" s="24">
        <v>155</v>
      </c>
      <c r="H41" s="24" t="s">
        <v>657</v>
      </c>
    </row>
    <row r="42" spans="2:8" ht="33" customHeight="1" x14ac:dyDescent="0.25">
      <c r="B42" s="24" t="s">
        <v>12</v>
      </c>
      <c r="C42" s="24">
        <v>15</v>
      </c>
    </row>
    <row r="43" spans="2:8" ht="33" customHeight="1" x14ac:dyDescent="0.25">
      <c r="B43" s="24" t="s">
        <v>8</v>
      </c>
      <c r="C43" s="24">
        <v>25</v>
      </c>
      <c r="F43" s="24">
        <f>SUMIF(B36:B57,"East",C36:C57)</f>
        <v>35</v>
      </c>
    </row>
    <row r="44" spans="2:8" ht="33" customHeight="1" x14ac:dyDescent="0.25">
      <c r="B44" s="24" t="s">
        <v>639</v>
      </c>
      <c r="C44" s="24">
        <v>40</v>
      </c>
      <c r="F44" s="24">
        <f>SUMIF(B36:B57,"North",C36:C57)</f>
        <v>125</v>
      </c>
    </row>
    <row r="45" spans="2:8" ht="33" customHeight="1" x14ac:dyDescent="0.25">
      <c r="B45" s="24">
        <v>5</v>
      </c>
      <c r="C45" s="24">
        <v>50</v>
      </c>
      <c r="F45" s="24">
        <f>SUMIF(B36:B57,"North*",C36:C57)</f>
        <v>165</v>
      </c>
    </row>
    <row r="46" spans="2:8" ht="33" customHeight="1" x14ac:dyDescent="0.25">
      <c r="B46" s="24">
        <v>5</v>
      </c>
      <c r="C46" s="24">
        <v>100</v>
      </c>
      <c r="F46" s="24">
        <f>SUMIF(B36:B57,"*New Office",C36:C57)</f>
        <v>70</v>
      </c>
    </row>
    <row r="47" spans="2:8" ht="33" customHeight="1" x14ac:dyDescent="0.25">
      <c r="B47" s="24">
        <v>2</v>
      </c>
      <c r="C47" s="24">
        <v>200</v>
      </c>
      <c r="F47" s="24">
        <f>SUMIF(B36:B57,"&gt;=4",C36:C57)</f>
        <v>235</v>
      </c>
    </row>
    <row r="48" spans="2:8" ht="33" customHeight="1" x14ac:dyDescent="0.25">
      <c r="B48" s="24">
        <v>4</v>
      </c>
      <c r="C48" s="24">
        <v>35</v>
      </c>
      <c r="F48" s="24">
        <f>SUMIF(B36:B57,5,C36:C57)</f>
        <v>150</v>
      </c>
    </row>
    <row r="49" spans="2:8" ht="33" customHeight="1" x14ac:dyDescent="0.25">
      <c r="B49" s="24">
        <v>2</v>
      </c>
      <c r="C49" s="24">
        <v>45</v>
      </c>
      <c r="F49" s="24">
        <f>SUMIF(B36:B57,TRUE,C36:C57)</f>
        <v>330</v>
      </c>
    </row>
    <row r="50" spans="2:8" ht="33" customHeight="1" x14ac:dyDescent="0.25">
      <c r="B50" s="24">
        <v>4</v>
      </c>
      <c r="C50" s="24">
        <v>50</v>
      </c>
      <c r="F50" s="24">
        <f>SUMIF(B36:B57,FALSE,C36:C57)</f>
        <v>155</v>
      </c>
    </row>
    <row r="51" spans="2:8" ht="33" customHeight="1" x14ac:dyDescent="0.25">
      <c r="B51" s="24" t="b">
        <v>1</v>
      </c>
      <c r="C51" s="24">
        <v>90</v>
      </c>
    </row>
    <row r="52" spans="2:8" ht="33" customHeight="1" x14ac:dyDescent="0.25">
      <c r="B52" s="24" t="b">
        <v>0</v>
      </c>
      <c r="C52" s="24">
        <v>100</v>
      </c>
    </row>
    <row r="53" spans="2:8" ht="33" customHeight="1" x14ac:dyDescent="0.25">
      <c r="B53" s="24" t="b">
        <v>1</v>
      </c>
      <c r="C53" s="24">
        <v>125</v>
      </c>
    </row>
    <row r="54" spans="2:8" ht="33" customHeight="1" x14ac:dyDescent="0.25">
      <c r="B54" s="24" t="b">
        <v>1</v>
      </c>
      <c r="C54" s="24">
        <v>115</v>
      </c>
    </row>
    <row r="55" spans="2:8" ht="33" customHeight="1" x14ac:dyDescent="0.25">
      <c r="B55" s="24" t="b">
        <v>0</v>
      </c>
      <c r="C55" s="24">
        <v>55</v>
      </c>
    </row>
    <row r="58" spans="2:8" ht="33" customHeight="1" x14ac:dyDescent="0.35">
      <c r="B58" s="39" t="s">
        <v>658</v>
      </c>
      <c r="C58" s="40"/>
      <c r="D58" s="40"/>
      <c r="E58" s="40"/>
      <c r="F58" s="40"/>
      <c r="G58" s="45"/>
      <c r="H58" s="43"/>
    </row>
    <row r="59" spans="2:8" ht="33" customHeight="1" x14ac:dyDescent="0.25">
      <c r="B59" s="41" t="s">
        <v>659</v>
      </c>
      <c r="C59" s="42"/>
      <c r="D59" s="42"/>
      <c r="E59" s="42"/>
      <c r="F59" s="42"/>
      <c r="G59" s="42"/>
      <c r="H59" s="44"/>
    </row>
    <row r="61" spans="2:8" ht="33" customHeight="1" x14ac:dyDescent="0.25">
      <c r="B61" s="23" t="s">
        <v>1</v>
      </c>
      <c r="C61" s="23" t="s">
        <v>226</v>
      </c>
      <c r="F61" s="23" t="s">
        <v>178</v>
      </c>
      <c r="G61" s="23" t="s">
        <v>340</v>
      </c>
      <c r="H61" s="23" t="s">
        <v>341</v>
      </c>
    </row>
    <row r="62" spans="2:8" ht="33" customHeight="1" x14ac:dyDescent="0.25">
      <c r="B62" s="24" t="s">
        <v>16</v>
      </c>
      <c r="C62" s="24">
        <v>500</v>
      </c>
      <c r="F62" s="24" t="s">
        <v>660</v>
      </c>
      <c r="G62" s="24">
        <v>2</v>
      </c>
      <c r="H62" s="24" t="s">
        <v>661</v>
      </c>
    </row>
    <row r="63" spans="2:8" ht="33" customHeight="1" x14ac:dyDescent="0.25">
      <c r="B63" s="24" t="s">
        <v>20</v>
      </c>
      <c r="C63" s="24">
        <v>50</v>
      </c>
      <c r="F63" s="24" t="s">
        <v>662</v>
      </c>
      <c r="G63" s="24">
        <v>2</v>
      </c>
      <c r="H63" s="24" t="s">
        <v>663</v>
      </c>
    </row>
    <row r="64" spans="2:8" ht="33" customHeight="1" x14ac:dyDescent="0.25">
      <c r="B64" s="24" t="s">
        <v>8</v>
      </c>
      <c r="C64" s="24">
        <v>100</v>
      </c>
      <c r="F64" s="24" t="s">
        <v>664</v>
      </c>
      <c r="G64" s="24">
        <v>8</v>
      </c>
      <c r="H64" s="24" t="s">
        <v>665</v>
      </c>
    </row>
    <row r="65" spans="2:8" ht="33" customHeight="1" x14ac:dyDescent="0.25">
      <c r="B65" s="24" t="s">
        <v>12</v>
      </c>
      <c r="C65" s="24">
        <v>25</v>
      </c>
      <c r="F65" s="24">
        <f>COUNTIF(C66:C87,"&lt;="&amp;C6)</f>
        <v>18</v>
      </c>
      <c r="G65" s="24">
        <v>17</v>
      </c>
      <c r="H65" s="48" t="s">
        <v>666</v>
      </c>
    </row>
    <row r="66" spans="2:8" ht="33" customHeight="1" x14ac:dyDescent="0.25">
      <c r="B66" s="24" t="s">
        <v>629</v>
      </c>
      <c r="C66" s="24">
        <v>200</v>
      </c>
      <c r="F66" s="24" t="s">
        <v>667</v>
      </c>
      <c r="G66" s="24">
        <v>3</v>
      </c>
      <c r="H66" s="24" t="s">
        <v>668</v>
      </c>
    </row>
    <row r="67" spans="2:8" ht="33" customHeight="1" x14ac:dyDescent="0.25">
      <c r="B67" s="24" t="s">
        <v>632</v>
      </c>
      <c r="C67" s="24">
        <v>30</v>
      </c>
      <c r="F67" s="24" t="s">
        <v>669</v>
      </c>
      <c r="G67" s="24">
        <v>2</v>
      </c>
      <c r="H67" s="48" t="s">
        <v>670</v>
      </c>
    </row>
    <row r="68" spans="2:8" ht="33" customHeight="1" x14ac:dyDescent="0.25">
      <c r="B68" s="24" t="s">
        <v>16</v>
      </c>
      <c r="C68" s="24">
        <v>35</v>
      </c>
    </row>
    <row r="69" spans="2:8" ht="33" customHeight="1" x14ac:dyDescent="0.25">
      <c r="B69" s="24" t="s">
        <v>20</v>
      </c>
      <c r="C69" s="24">
        <v>50</v>
      </c>
      <c r="F69" s="24">
        <f>COUNTIF(B62:B83,"East")</f>
        <v>2</v>
      </c>
    </row>
    <row r="70" spans="2:8" ht="33" customHeight="1" x14ac:dyDescent="0.25">
      <c r="B70" s="24" t="s">
        <v>12</v>
      </c>
      <c r="C70" s="24">
        <v>15</v>
      </c>
      <c r="F70" s="24">
        <f>COUNTIF(B62:B83,"North")</f>
        <v>2</v>
      </c>
    </row>
    <row r="71" spans="2:8" ht="33" customHeight="1" x14ac:dyDescent="0.25">
      <c r="B71" s="24" t="s">
        <v>8</v>
      </c>
      <c r="C71" s="24">
        <v>25</v>
      </c>
      <c r="F71" s="24">
        <f>COUNTIF(C62:C83,"&gt;=100")</f>
        <v>8</v>
      </c>
    </row>
    <row r="72" spans="2:8" ht="33" customHeight="1" x14ac:dyDescent="0.25">
      <c r="B72" s="24" t="s">
        <v>639</v>
      </c>
      <c r="C72" s="24">
        <v>40</v>
      </c>
      <c r="F72" s="24">
        <f>COUNTIF(C62:C83,"&lt;="&amp;C64)</f>
        <v>17</v>
      </c>
    </row>
    <row r="73" spans="2:8" ht="33" customHeight="1" x14ac:dyDescent="0.25">
      <c r="B73" s="24">
        <v>5</v>
      </c>
      <c r="C73" s="24">
        <v>50</v>
      </c>
      <c r="F73" s="24">
        <f>COUNTIF(B62:B83,"No*")</f>
        <v>3</v>
      </c>
    </row>
    <row r="74" spans="2:8" ht="33" customHeight="1" x14ac:dyDescent="0.25">
      <c r="B74" s="24">
        <v>5</v>
      </c>
      <c r="C74" s="24">
        <v>100</v>
      </c>
      <c r="F74" s="24">
        <f>COUNTIF(B62:B83,"Ea??")</f>
        <v>2</v>
      </c>
    </row>
    <row r="75" spans="2:8" ht="33" customHeight="1" x14ac:dyDescent="0.25">
      <c r="B75" s="24">
        <v>2</v>
      </c>
      <c r="C75" s="24">
        <v>200</v>
      </c>
    </row>
    <row r="76" spans="2:8" ht="33" customHeight="1" x14ac:dyDescent="0.25">
      <c r="B76" s="24">
        <v>4</v>
      </c>
      <c r="C76" s="24">
        <v>35</v>
      </c>
    </row>
    <row r="77" spans="2:8" ht="33" customHeight="1" x14ac:dyDescent="0.25">
      <c r="B77" s="24">
        <v>2</v>
      </c>
      <c r="C77" s="24">
        <v>45</v>
      </c>
    </row>
    <row r="78" spans="2:8" ht="33" customHeight="1" x14ac:dyDescent="0.25">
      <c r="B78" s="24">
        <v>4</v>
      </c>
      <c r="C78" s="24">
        <v>50</v>
      </c>
    </row>
    <row r="79" spans="2:8" ht="33" customHeight="1" x14ac:dyDescent="0.25">
      <c r="B79" s="24" t="b">
        <v>1</v>
      </c>
      <c r="C79" s="24">
        <v>90</v>
      </c>
    </row>
    <row r="80" spans="2:8" ht="33" customHeight="1" x14ac:dyDescent="0.25">
      <c r="B80" s="24" t="b">
        <v>0</v>
      </c>
      <c r="C80" s="24">
        <v>100</v>
      </c>
    </row>
    <row r="81" spans="2:8" ht="33" customHeight="1" x14ac:dyDescent="0.25">
      <c r="B81" s="24" t="b">
        <v>1</v>
      </c>
      <c r="C81" s="24">
        <v>125</v>
      </c>
    </row>
    <row r="82" spans="2:8" ht="33" customHeight="1" x14ac:dyDescent="0.25">
      <c r="B82" s="24" t="b">
        <v>1</v>
      </c>
      <c r="C82" s="24">
        <v>115</v>
      </c>
    </row>
    <row r="83" spans="2:8" ht="33" customHeight="1" x14ac:dyDescent="0.25">
      <c r="B83" s="24" t="b">
        <v>0</v>
      </c>
      <c r="C83" s="24">
        <v>55</v>
      </c>
    </row>
    <row r="86" spans="2:8" ht="33" customHeight="1" x14ac:dyDescent="0.35">
      <c r="B86" s="39" t="s">
        <v>671</v>
      </c>
      <c r="C86" s="40"/>
      <c r="D86" s="40"/>
      <c r="E86" s="40"/>
      <c r="F86" s="40"/>
      <c r="G86" s="45"/>
      <c r="H86" s="43"/>
    </row>
    <row r="87" spans="2:8" ht="33" customHeight="1" x14ac:dyDescent="0.25">
      <c r="B87" s="41" t="s">
        <v>672</v>
      </c>
      <c r="C87" s="42"/>
      <c r="D87" s="42"/>
      <c r="E87" s="42"/>
      <c r="F87" s="42"/>
      <c r="G87" s="42"/>
      <c r="H87" s="44"/>
    </row>
    <row r="89" spans="2:8" ht="33" customHeight="1" x14ac:dyDescent="0.25">
      <c r="B89" s="23" t="s">
        <v>673</v>
      </c>
      <c r="C89" s="23" t="s">
        <v>224</v>
      </c>
      <c r="D89" s="23" t="s">
        <v>674</v>
      </c>
      <c r="F89" s="23" t="s">
        <v>178</v>
      </c>
      <c r="G89" s="23" t="s">
        <v>340</v>
      </c>
      <c r="H89" s="23" t="s">
        <v>341</v>
      </c>
    </row>
    <row r="90" spans="2:8" ht="33" customHeight="1" x14ac:dyDescent="0.25">
      <c r="B90" s="24" t="s">
        <v>177</v>
      </c>
      <c r="C90" s="24" t="s">
        <v>675</v>
      </c>
      <c r="D90" s="24">
        <v>10</v>
      </c>
      <c r="F90" s="24" t="s">
        <v>676</v>
      </c>
      <c r="G90" s="24">
        <v>13.333333333333334</v>
      </c>
      <c r="H90" s="24" t="s">
        <v>677</v>
      </c>
    </row>
    <row r="91" spans="2:8" ht="33" customHeight="1" x14ac:dyDescent="0.25">
      <c r="B91" s="24" t="s">
        <v>171</v>
      </c>
      <c r="C91" s="24" t="s">
        <v>227</v>
      </c>
      <c r="D91" s="24">
        <v>4</v>
      </c>
      <c r="F91" s="24" t="s">
        <v>678</v>
      </c>
      <c r="G91" s="24" t="e">
        <v>#DIV/0!</v>
      </c>
      <c r="H91" s="48" t="s">
        <v>679</v>
      </c>
    </row>
    <row r="92" spans="2:8" ht="33" customHeight="1" x14ac:dyDescent="0.25">
      <c r="B92" s="24" t="s">
        <v>177</v>
      </c>
      <c r="C92" s="24" t="s">
        <v>228</v>
      </c>
      <c r="D92" s="24">
        <v>12</v>
      </c>
      <c r="F92" s="24" t="s">
        <v>680</v>
      </c>
      <c r="G92" s="24">
        <v>17</v>
      </c>
      <c r="H92" s="24" t="s">
        <v>681</v>
      </c>
    </row>
    <row r="93" spans="2:8" ht="33" customHeight="1" x14ac:dyDescent="0.25">
      <c r="B93" s="24" t="s">
        <v>682</v>
      </c>
      <c r="C93" s="24" t="s">
        <v>229</v>
      </c>
      <c r="D93" s="24">
        <v>5</v>
      </c>
    </row>
    <row r="94" spans="2:8" ht="33" customHeight="1" x14ac:dyDescent="0.25">
      <c r="B94" s="24" t="s">
        <v>230</v>
      </c>
      <c r="C94" s="24" t="s">
        <v>683</v>
      </c>
      <c r="D94" s="24">
        <v>13</v>
      </c>
      <c r="F94">
        <f>AVERAGEIFS(D90:D102,B90:B102,"Apple",C90:C102,"Tom")</f>
        <v>13.333333333333334</v>
      </c>
    </row>
    <row r="95" spans="2:8" ht="33" customHeight="1" x14ac:dyDescent="0.25">
      <c r="B95" s="24" t="s">
        <v>177</v>
      </c>
      <c r="C95" s="24" t="s">
        <v>675</v>
      </c>
      <c r="D95" s="24">
        <v>15</v>
      </c>
      <c r="F95" t="e">
        <f>AVERAGEIFS(D90:D102,B90:B102,"Banana",C90:C102,"Marissa")</f>
        <v>#DIV/0!</v>
      </c>
    </row>
    <row r="96" spans="2:8" ht="33" customHeight="1" x14ac:dyDescent="0.25">
      <c r="B96" s="24" t="s">
        <v>230</v>
      </c>
      <c r="C96" s="24" t="s">
        <v>227</v>
      </c>
      <c r="D96" s="24">
        <v>14</v>
      </c>
      <c r="F96">
        <f>AVERAGEIFS(D90:D102,B90:B102,"Carrot",C90:C102,"Marissa")</f>
        <v>17</v>
      </c>
    </row>
    <row r="97" spans="2:8" ht="33" customHeight="1" x14ac:dyDescent="0.25">
      <c r="B97" s="24" t="s">
        <v>682</v>
      </c>
      <c r="C97" s="24" t="s">
        <v>229</v>
      </c>
      <c r="D97" s="24">
        <v>12</v>
      </c>
    </row>
    <row r="98" spans="2:8" ht="33" customHeight="1" x14ac:dyDescent="0.25">
      <c r="B98" s="24" t="s">
        <v>171</v>
      </c>
      <c r="C98" s="24" t="s">
        <v>227</v>
      </c>
      <c r="D98" s="24">
        <v>8</v>
      </c>
    </row>
    <row r="99" spans="2:8" ht="33" customHeight="1" x14ac:dyDescent="0.25">
      <c r="B99" s="24" t="s">
        <v>682</v>
      </c>
      <c r="C99" s="24" t="s">
        <v>228</v>
      </c>
      <c r="D99" s="24">
        <v>9</v>
      </c>
    </row>
    <row r="100" spans="2:8" ht="33" customHeight="1" x14ac:dyDescent="0.25">
      <c r="B100" s="24" t="s">
        <v>177</v>
      </c>
      <c r="C100" s="24" t="s">
        <v>675</v>
      </c>
      <c r="D100" s="24">
        <v>15</v>
      </c>
    </row>
    <row r="101" spans="2:8" ht="33" customHeight="1" x14ac:dyDescent="0.25">
      <c r="B101" s="24" t="s">
        <v>230</v>
      </c>
      <c r="C101" s="24" t="s">
        <v>227</v>
      </c>
      <c r="D101" s="24">
        <v>20</v>
      </c>
    </row>
    <row r="102" spans="2:8" ht="33" customHeight="1" x14ac:dyDescent="0.25">
      <c r="B102" s="24" t="s">
        <v>682</v>
      </c>
      <c r="C102" s="24" t="s">
        <v>228</v>
      </c>
      <c r="D102" s="24">
        <v>25</v>
      </c>
    </row>
    <row r="104" spans="2:8" ht="33" customHeight="1" x14ac:dyDescent="0.25">
      <c r="B104" s="66"/>
      <c r="C104" s="66"/>
      <c r="D104" s="66"/>
      <c r="E104" s="66"/>
      <c r="F104" s="66"/>
      <c r="G104" s="66"/>
      <c r="H104" s="66"/>
    </row>
    <row r="105" spans="2:8" ht="33" customHeight="1" x14ac:dyDescent="0.35">
      <c r="B105" s="65" t="s">
        <v>684</v>
      </c>
      <c r="C105" s="77"/>
      <c r="D105" s="77"/>
      <c r="E105" s="77"/>
      <c r="F105" s="77"/>
      <c r="G105" s="77"/>
      <c r="H105" s="80"/>
    </row>
    <row r="106" spans="2:8" ht="33" customHeight="1" x14ac:dyDescent="0.25">
      <c r="B106" s="41" t="s">
        <v>685</v>
      </c>
      <c r="C106" s="42"/>
      <c r="D106" s="42"/>
      <c r="E106" s="42"/>
      <c r="F106" s="42"/>
      <c r="G106" s="42"/>
      <c r="H106" s="44"/>
    </row>
    <row r="108" spans="2:8" ht="33" customHeight="1" x14ac:dyDescent="0.25">
      <c r="B108" s="23" t="s">
        <v>673</v>
      </c>
      <c r="C108" s="23" t="s">
        <v>224</v>
      </c>
      <c r="D108" s="23" t="s">
        <v>674</v>
      </c>
      <c r="F108" s="23" t="s">
        <v>178</v>
      </c>
      <c r="G108" s="23" t="s">
        <v>340</v>
      </c>
      <c r="H108" s="23" t="s">
        <v>341</v>
      </c>
    </row>
    <row r="109" spans="2:8" ht="33" customHeight="1" x14ac:dyDescent="0.25">
      <c r="B109" s="24" t="s">
        <v>177</v>
      </c>
      <c r="C109" s="24" t="s">
        <v>675</v>
      </c>
      <c r="D109" s="24">
        <v>10</v>
      </c>
      <c r="F109" s="24" t="s">
        <v>686</v>
      </c>
      <c r="G109" s="24">
        <v>40</v>
      </c>
      <c r="H109" s="24" t="s">
        <v>687</v>
      </c>
    </row>
    <row r="110" spans="2:8" ht="33" customHeight="1" x14ac:dyDescent="0.25">
      <c r="B110" s="24" t="s">
        <v>171</v>
      </c>
      <c r="C110" s="24" t="s">
        <v>227</v>
      </c>
      <c r="D110" s="24">
        <v>4</v>
      </c>
      <c r="F110" s="24" t="s">
        <v>688</v>
      </c>
      <c r="G110" s="24">
        <v>0</v>
      </c>
      <c r="H110" s="48" t="s">
        <v>689</v>
      </c>
    </row>
    <row r="111" spans="2:8" ht="33" customHeight="1" x14ac:dyDescent="0.25">
      <c r="B111" s="24" t="s">
        <v>177</v>
      </c>
      <c r="C111" s="24" t="s">
        <v>228</v>
      </c>
      <c r="D111" s="24">
        <v>12</v>
      </c>
      <c r="F111" s="24" t="s">
        <v>690</v>
      </c>
      <c r="G111" s="24">
        <v>34</v>
      </c>
      <c r="H111" s="24" t="s">
        <v>691</v>
      </c>
    </row>
    <row r="112" spans="2:8" ht="33" customHeight="1" x14ac:dyDescent="0.25">
      <c r="B112" s="24" t="s">
        <v>682</v>
      </c>
      <c r="C112" s="24" t="s">
        <v>229</v>
      </c>
      <c r="D112" s="24">
        <v>5</v>
      </c>
    </row>
    <row r="113" spans="2:8" ht="33" customHeight="1" x14ac:dyDescent="0.25">
      <c r="B113" s="24" t="s">
        <v>230</v>
      </c>
      <c r="C113" s="24" t="s">
        <v>683</v>
      </c>
      <c r="D113" s="24">
        <v>13</v>
      </c>
      <c r="F113">
        <f>SUMIFS(D109:D121,B109:B121,"Apple",C109:C121,"Tom")</f>
        <v>40</v>
      </c>
    </row>
    <row r="114" spans="2:8" ht="33" customHeight="1" x14ac:dyDescent="0.25">
      <c r="B114" s="24" t="s">
        <v>177</v>
      </c>
      <c r="C114" s="24" t="s">
        <v>675</v>
      </c>
      <c r="D114" s="24">
        <v>15</v>
      </c>
      <c r="F114">
        <f>SUMIFS(D109:D121,B109:B121,"Banana",C109:C121,"Marissa")</f>
        <v>0</v>
      </c>
    </row>
    <row r="115" spans="2:8" ht="33" customHeight="1" x14ac:dyDescent="0.25">
      <c r="B115" s="24" t="s">
        <v>230</v>
      </c>
      <c r="C115" s="24" t="s">
        <v>227</v>
      </c>
      <c r="D115" s="24">
        <v>14</v>
      </c>
      <c r="F115" t="s">
        <v>172</v>
      </c>
    </row>
    <row r="116" spans="2:8" ht="33" customHeight="1" x14ac:dyDescent="0.25">
      <c r="B116" s="24" t="s">
        <v>682</v>
      </c>
      <c r="C116" s="24" t="s">
        <v>229</v>
      </c>
      <c r="D116" s="24">
        <v>12</v>
      </c>
    </row>
    <row r="117" spans="2:8" ht="33" customHeight="1" x14ac:dyDescent="0.25">
      <c r="B117" s="24" t="s">
        <v>171</v>
      </c>
      <c r="C117" s="24" t="s">
        <v>227</v>
      </c>
      <c r="D117" s="24">
        <v>8</v>
      </c>
    </row>
    <row r="118" spans="2:8" ht="33" customHeight="1" x14ac:dyDescent="0.25">
      <c r="B118" s="24" t="s">
        <v>682</v>
      </c>
      <c r="C118" s="24" t="s">
        <v>228</v>
      </c>
      <c r="D118" s="24">
        <v>9</v>
      </c>
    </row>
    <row r="119" spans="2:8" ht="33" customHeight="1" x14ac:dyDescent="0.25">
      <c r="B119" s="24" t="s">
        <v>177</v>
      </c>
      <c r="C119" s="24" t="s">
        <v>675</v>
      </c>
      <c r="D119" s="24">
        <v>15</v>
      </c>
    </row>
    <row r="120" spans="2:8" ht="33" customHeight="1" x14ac:dyDescent="0.25">
      <c r="B120" s="24" t="s">
        <v>230</v>
      </c>
      <c r="C120" s="24" t="s">
        <v>227</v>
      </c>
      <c r="D120" s="24">
        <v>20</v>
      </c>
    </row>
    <row r="121" spans="2:8" ht="33" customHeight="1" x14ac:dyDescent="0.25">
      <c r="B121" s="24" t="s">
        <v>682</v>
      </c>
      <c r="C121" s="24" t="s">
        <v>228</v>
      </c>
      <c r="D121" s="24">
        <v>25</v>
      </c>
    </row>
    <row r="124" spans="2:8" ht="33" customHeight="1" x14ac:dyDescent="0.35">
      <c r="B124" s="39" t="s">
        <v>692</v>
      </c>
      <c r="C124" s="40"/>
      <c r="D124" s="40"/>
      <c r="E124" s="40"/>
      <c r="F124" s="40"/>
      <c r="G124" s="45"/>
      <c r="H124" s="43"/>
    </row>
    <row r="125" spans="2:8" ht="33" customHeight="1" x14ac:dyDescent="0.25">
      <c r="B125" s="41" t="s">
        <v>693</v>
      </c>
      <c r="C125" s="42"/>
      <c r="D125" s="42"/>
      <c r="E125" s="42"/>
      <c r="F125" s="42"/>
      <c r="G125" s="42"/>
      <c r="H125" s="44"/>
    </row>
    <row r="127" spans="2:8" ht="33" customHeight="1" x14ac:dyDescent="0.25">
      <c r="B127" s="23" t="s">
        <v>673</v>
      </c>
      <c r="C127" s="23" t="s">
        <v>224</v>
      </c>
      <c r="D127" s="23" t="s">
        <v>674</v>
      </c>
      <c r="F127" s="23" t="s">
        <v>178</v>
      </c>
      <c r="G127" s="23" t="s">
        <v>340</v>
      </c>
      <c r="H127" s="23" t="s">
        <v>341</v>
      </c>
    </row>
    <row r="128" spans="2:8" ht="33" customHeight="1" x14ac:dyDescent="0.25">
      <c r="B128" s="24" t="s">
        <v>177</v>
      </c>
      <c r="C128" s="24" t="s">
        <v>675</v>
      </c>
      <c r="D128" s="24">
        <v>10</v>
      </c>
      <c r="F128" s="24" t="s">
        <v>694</v>
      </c>
      <c r="G128" s="24">
        <v>9</v>
      </c>
      <c r="H128" s="48" t="s">
        <v>695</v>
      </c>
    </row>
    <row r="129" spans="2:8" ht="33" customHeight="1" x14ac:dyDescent="0.25">
      <c r="B129" s="24" t="s">
        <v>171</v>
      </c>
      <c r="C129" s="24" t="s">
        <v>227</v>
      </c>
      <c r="D129" s="24">
        <v>4</v>
      </c>
      <c r="F129" s="24" t="s">
        <v>696</v>
      </c>
      <c r="G129" s="24">
        <v>3</v>
      </c>
      <c r="H129" s="48" t="s">
        <v>697</v>
      </c>
    </row>
    <row r="130" spans="2:8" ht="33" customHeight="1" x14ac:dyDescent="0.25">
      <c r="B130" s="24" t="s">
        <v>177</v>
      </c>
      <c r="C130" s="24" t="s">
        <v>228</v>
      </c>
      <c r="D130" s="24">
        <v>12</v>
      </c>
      <c r="F130" s="24" t="s">
        <v>698</v>
      </c>
      <c r="G130" s="24">
        <v>2</v>
      </c>
      <c r="H130" s="48" t="s">
        <v>699</v>
      </c>
    </row>
    <row r="131" spans="2:8" ht="33" customHeight="1" x14ac:dyDescent="0.25">
      <c r="B131" s="24" t="s">
        <v>682</v>
      </c>
      <c r="C131" s="24" t="s">
        <v>229</v>
      </c>
      <c r="D131" s="24">
        <v>5</v>
      </c>
    </row>
    <row r="132" spans="2:8" ht="33" customHeight="1" x14ac:dyDescent="0.25">
      <c r="B132" s="24" t="s">
        <v>230</v>
      </c>
      <c r="C132" s="24" t="s">
        <v>683</v>
      </c>
      <c r="D132" s="24">
        <v>13</v>
      </c>
      <c r="F132" s="24">
        <f>COUNTIFS(D128:D140,"&gt;=10",D128:D140,"&lt;=25")</f>
        <v>9</v>
      </c>
    </row>
    <row r="133" spans="2:8" ht="33" customHeight="1" x14ac:dyDescent="0.25">
      <c r="B133" s="24" t="s">
        <v>177</v>
      </c>
      <c r="C133" s="24" t="s">
        <v>675</v>
      </c>
      <c r="D133" s="24">
        <v>15</v>
      </c>
      <c r="F133" s="24">
        <f>COUNTIFS(B128:B140,"Apple",C128:C140,"Tom")</f>
        <v>3</v>
      </c>
    </row>
    <row r="134" spans="2:8" ht="33" customHeight="1" x14ac:dyDescent="0.25">
      <c r="B134" s="24" t="s">
        <v>230</v>
      </c>
      <c r="C134" s="24" t="s">
        <v>227</v>
      </c>
      <c r="D134" s="24">
        <v>14</v>
      </c>
      <c r="F134" s="24">
        <f>COUNTIFS(D128:D140,"&gt;="&amp;D128,C128:C140,"Marissa")</f>
        <v>2</v>
      </c>
    </row>
    <row r="135" spans="2:8" ht="33" customHeight="1" x14ac:dyDescent="0.25">
      <c r="B135" s="24" t="s">
        <v>682</v>
      </c>
      <c r="C135" s="24" t="s">
        <v>229</v>
      </c>
      <c r="D135" s="24">
        <v>12</v>
      </c>
    </row>
    <row r="136" spans="2:8" ht="33" customHeight="1" x14ac:dyDescent="0.25">
      <c r="B136" s="24" t="s">
        <v>171</v>
      </c>
      <c r="C136" s="24" t="s">
        <v>227</v>
      </c>
      <c r="D136" s="24">
        <v>8</v>
      </c>
    </row>
    <row r="137" spans="2:8" ht="33" customHeight="1" x14ac:dyDescent="0.25">
      <c r="B137" s="24" t="s">
        <v>682</v>
      </c>
      <c r="C137" s="24" t="s">
        <v>228</v>
      </c>
      <c r="D137" s="24">
        <v>9</v>
      </c>
    </row>
    <row r="138" spans="2:8" ht="33" customHeight="1" x14ac:dyDescent="0.25">
      <c r="B138" s="24" t="s">
        <v>177</v>
      </c>
      <c r="C138" s="24" t="s">
        <v>675</v>
      </c>
      <c r="D138" s="24">
        <v>15</v>
      </c>
    </row>
    <row r="139" spans="2:8" ht="33" customHeight="1" x14ac:dyDescent="0.25">
      <c r="B139" s="24" t="s">
        <v>230</v>
      </c>
      <c r="C139" s="24" t="s">
        <v>227</v>
      </c>
      <c r="D139" s="24">
        <v>20</v>
      </c>
    </row>
    <row r="140" spans="2:8" ht="33" customHeight="1" x14ac:dyDescent="0.25">
      <c r="B140" s="24" t="s">
        <v>682</v>
      </c>
      <c r="C140" s="24" t="s">
        <v>228</v>
      </c>
      <c r="D140" s="24">
        <v>25</v>
      </c>
    </row>
    <row r="143" spans="2:8" ht="33" customHeight="1" x14ac:dyDescent="0.35">
      <c r="B143" s="39" t="s">
        <v>700</v>
      </c>
      <c r="C143" s="40"/>
      <c r="D143" s="40"/>
      <c r="E143" s="40"/>
      <c r="F143" s="40"/>
      <c r="G143" s="45"/>
      <c r="H143" s="43"/>
    </row>
    <row r="144" spans="2:8" ht="33" customHeight="1" x14ac:dyDescent="0.25">
      <c r="B144" s="41" t="s">
        <v>701</v>
      </c>
      <c r="C144" s="42"/>
      <c r="D144" s="42"/>
      <c r="E144" s="42"/>
      <c r="F144" s="42"/>
      <c r="G144" s="42"/>
      <c r="H144" s="44"/>
    </row>
    <row r="146" spans="2:8" ht="33" customHeight="1" x14ac:dyDescent="0.25">
      <c r="B146" s="23" t="s">
        <v>702</v>
      </c>
      <c r="C146" s="23" t="s">
        <v>703</v>
      </c>
      <c r="D146" s="23"/>
      <c r="F146" s="23" t="s">
        <v>178</v>
      </c>
      <c r="G146" s="23" t="s">
        <v>340</v>
      </c>
      <c r="H146" s="23" t="s">
        <v>341</v>
      </c>
    </row>
    <row r="147" spans="2:8" ht="33" customHeight="1" x14ac:dyDescent="0.25">
      <c r="B147" s="24">
        <v>1500</v>
      </c>
      <c r="C147" s="24">
        <v>900</v>
      </c>
      <c r="D147" s="24"/>
      <c r="F147" s="24" t="s">
        <v>704</v>
      </c>
      <c r="G147" s="24" t="s">
        <v>705</v>
      </c>
      <c r="H147" s="48" t="s">
        <v>706</v>
      </c>
    </row>
    <row r="148" spans="2:8" ht="33" customHeight="1" x14ac:dyDescent="0.25">
      <c r="B148" s="24">
        <v>500</v>
      </c>
      <c r="C148" s="24">
        <v>900</v>
      </c>
      <c r="D148" s="24"/>
      <c r="F148" s="24" t="s">
        <v>707</v>
      </c>
      <c r="G148" s="24" t="s">
        <v>708</v>
      </c>
      <c r="H148" s="48" t="s">
        <v>709</v>
      </c>
    </row>
    <row r="149" spans="2:8" ht="33" customHeight="1" x14ac:dyDescent="0.25">
      <c r="B149" s="24">
        <v>525</v>
      </c>
      <c r="C149" s="24">
        <v>925</v>
      </c>
      <c r="D149" s="24"/>
    </row>
    <row r="150" spans="2:8" ht="33" customHeight="1" x14ac:dyDescent="0.25">
      <c r="F150" s="24" t="str">
        <f>IF(B147&gt;C147,"Over Budget","OK")</f>
        <v>Over Budget</v>
      </c>
    </row>
    <row r="151" spans="2:8" ht="33" customHeight="1" x14ac:dyDescent="0.25">
      <c r="B151" s="166"/>
      <c r="C151" s="166"/>
      <c r="F151" s="24" t="str">
        <f>IF(B148&gt;C148,"Over Budget",IF(B149&lt;C149,"Budget OK","Not OK"))</f>
        <v>Budget OK</v>
      </c>
    </row>
    <row r="153" spans="2:8" ht="33" customHeight="1" x14ac:dyDescent="0.35">
      <c r="B153" s="39" t="s">
        <v>710</v>
      </c>
      <c r="C153" s="40"/>
      <c r="D153" s="40"/>
      <c r="E153" s="40"/>
      <c r="F153" s="40"/>
      <c r="G153" s="45"/>
      <c r="H153" s="43"/>
    </row>
    <row r="154" spans="2:8" ht="33" customHeight="1" x14ac:dyDescent="0.25">
      <c r="B154" s="41" t="s">
        <v>711</v>
      </c>
      <c r="C154" s="42"/>
      <c r="D154" s="42"/>
      <c r="E154" s="42"/>
      <c r="F154" s="42"/>
      <c r="G154" s="42"/>
      <c r="H154" s="44"/>
    </row>
    <row r="156" spans="2:8" ht="33" customHeight="1" x14ac:dyDescent="0.25">
      <c r="B156" s="23" t="s">
        <v>712</v>
      </c>
      <c r="C156" s="23" t="s">
        <v>713</v>
      </c>
      <c r="F156" s="23" t="s">
        <v>178</v>
      </c>
      <c r="G156" s="23" t="s">
        <v>340</v>
      </c>
      <c r="H156" s="23" t="s">
        <v>341</v>
      </c>
    </row>
    <row r="157" spans="2:8" ht="33" customHeight="1" x14ac:dyDescent="0.25">
      <c r="B157" s="24">
        <v>210</v>
      </c>
      <c r="C157" s="24">
        <v>35</v>
      </c>
      <c r="F157" s="24" t="s">
        <v>714</v>
      </c>
      <c r="G157" s="24">
        <v>6</v>
      </c>
      <c r="H157" s="48" t="s">
        <v>715</v>
      </c>
    </row>
    <row r="158" spans="2:8" ht="33" customHeight="1" x14ac:dyDescent="0.25">
      <c r="B158" s="24">
        <v>55</v>
      </c>
      <c r="C158" s="24">
        <v>0</v>
      </c>
      <c r="F158" s="24" t="s">
        <v>716</v>
      </c>
      <c r="G158" s="24" t="s">
        <v>717</v>
      </c>
      <c r="H158" s="78" t="s">
        <v>718</v>
      </c>
    </row>
    <row r="159" spans="2:8" ht="33" customHeight="1" x14ac:dyDescent="0.25">
      <c r="B159" s="24"/>
      <c r="C159" s="24">
        <v>25</v>
      </c>
      <c r="F159" s="24" t="s">
        <v>719</v>
      </c>
      <c r="G159" s="24">
        <v>0</v>
      </c>
      <c r="H159" s="48" t="s">
        <v>720</v>
      </c>
    </row>
    <row r="161" spans="2:8" ht="33" customHeight="1" x14ac:dyDescent="0.25">
      <c r="F161" s="24">
        <f>IFERROR(B157/C157,"Error in Calculations?")</f>
        <v>6</v>
      </c>
    </row>
    <row r="162" spans="2:8" ht="33" customHeight="1" x14ac:dyDescent="0.25">
      <c r="F162" s="24" t="str">
        <f>IFERROR(B158/C158,"Error in Calculations?")</f>
        <v>Error in Calculations?</v>
      </c>
    </row>
    <row r="163" spans="2:8" ht="33" customHeight="1" x14ac:dyDescent="0.25">
      <c r="F163" s="24">
        <f>IFERROR(B159/C159,"Error in Calculations?")</f>
        <v>0</v>
      </c>
    </row>
    <row r="166" spans="2:8" ht="33" customHeight="1" x14ac:dyDescent="0.35">
      <c r="B166" s="39" t="s">
        <v>721</v>
      </c>
      <c r="C166" s="40"/>
      <c r="D166" s="40"/>
      <c r="E166" s="40"/>
      <c r="F166" s="40"/>
      <c r="G166" s="45"/>
      <c r="H166" s="43"/>
    </row>
    <row r="167" spans="2:8" ht="33" customHeight="1" x14ac:dyDescent="0.25">
      <c r="B167" s="41" t="s">
        <v>722</v>
      </c>
      <c r="C167" s="42"/>
      <c r="D167" s="42"/>
      <c r="E167" s="42"/>
      <c r="F167" s="42"/>
      <c r="G167" s="42"/>
      <c r="H167" s="44"/>
    </row>
    <row r="169" spans="2:8" ht="33" customHeight="1" x14ac:dyDescent="0.25">
      <c r="B169" s="23" t="s">
        <v>723</v>
      </c>
      <c r="C169" s="23" t="s">
        <v>724</v>
      </c>
      <c r="F169" s="23" t="s">
        <v>178</v>
      </c>
      <c r="G169" s="23" t="s">
        <v>340</v>
      </c>
      <c r="H169" s="23" t="s">
        <v>341</v>
      </c>
    </row>
    <row r="170" spans="2:8" ht="33" customHeight="1" x14ac:dyDescent="0.25">
      <c r="B170" s="79" t="s">
        <v>725</v>
      </c>
      <c r="C170" s="24">
        <v>1219</v>
      </c>
      <c r="F170" s="24" t="s">
        <v>726</v>
      </c>
      <c r="G170" s="24" t="s">
        <v>727</v>
      </c>
      <c r="H170" s="48" t="s">
        <v>728</v>
      </c>
    </row>
    <row r="171" spans="2:8" ht="33" customHeight="1" x14ac:dyDescent="0.25">
      <c r="B171" s="79" t="s">
        <v>729</v>
      </c>
      <c r="C171" s="24">
        <v>1217</v>
      </c>
    </row>
    <row r="172" spans="2:8" ht="33" customHeight="1" x14ac:dyDescent="0.25">
      <c r="B172" s="79" t="s">
        <v>730</v>
      </c>
      <c r="C172" s="24">
        <v>1203</v>
      </c>
      <c r="F172" s="24" t="str">
        <f>_xlfn.IFNA(VLOOKUP("marissa",B170:C174,2,FALSE),"Code is Not Found")</f>
        <v>Code is Not Found</v>
      </c>
    </row>
    <row r="173" spans="2:8" ht="33" customHeight="1" x14ac:dyDescent="0.25">
      <c r="B173" s="79" t="s">
        <v>731</v>
      </c>
      <c r="C173" s="24">
        <v>1200</v>
      </c>
      <c r="F173" t="s">
        <v>412</v>
      </c>
    </row>
    <row r="174" spans="2:8" ht="33" customHeight="1" x14ac:dyDescent="0.25">
      <c r="B174" s="79" t="s">
        <v>732</v>
      </c>
      <c r="C174" s="24">
        <v>1000</v>
      </c>
    </row>
  </sheetData>
  <mergeCells count="1">
    <mergeCell ref="B151:C15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D0E6-C15A-460C-BFE8-8F042FEF73C7}">
  <sheetPr codeName="Sheet17"/>
  <dimension ref="B2:J48"/>
  <sheetViews>
    <sheetView topLeftCell="A35" workbookViewId="0">
      <selection activeCell="E45" sqref="E45"/>
    </sheetView>
  </sheetViews>
  <sheetFormatPr defaultColWidth="10.28515625" defaultRowHeight="21.75" customHeight="1" x14ac:dyDescent="0.25"/>
  <cols>
    <col min="2" max="2" width="34" customWidth="1"/>
    <col min="3" max="3" width="10.140625" bestFit="1" customWidth="1"/>
    <col min="4" max="4" width="9.7109375" bestFit="1" customWidth="1"/>
    <col min="5" max="5" width="10.42578125" bestFit="1" customWidth="1"/>
    <col min="6" max="6" width="18.85546875" customWidth="1"/>
    <col min="8" max="8" width="37.42578125" customWidth="1"/>
    <col min="9" max="9" width="17.28515625" customWidth="1"/>
    <col min="10" max="10" width="46.7109375" customWidth="1"/>
  </cols>
  <sheetData>
    <row r="2" spans="2:10" ht="21.75" customHeight="1" x14ac:dyDescent="0.35">
      <c r="B2" s="39" t="s">
        <v>733</v>
      </c>
      <c r="C2" s="40"/>
      <c r="D2" s="40"/>
      <c r="E2" s="40"/>
      <c r="F2" s="40"/>
      <c r="G2" s="40"/>
      <c r="H2" s="40"/>
      <c r="I2" s="40"/>
      <c r="J2" s="81"/>
    </row>
    <row r="3" spans="2:10" ht="15" x14ac:dyDescent="0.25">
      <c r="B3" s="41" t="s">
        <v>734</v>
      </c>
      <c r="C3" s="42"/>
      <c r="D3" s="42"/>
      <c r="E3" s="42"/>
      <c r="F3" s="42"/>
      <c r="G3" s="42"/>
      <c r="H3" s="42"/>
      <c r="I3" s="42"/>
      <c r="J3" s="44"/>
    </row>
    <row r="5" spans="2:10" ht="39" x14ac:dyDescent="0.25">
      <c r="B5" s="23" t="s">
        <v>673</v>
      </c>
      <c r="C5" s="46" t="s">
        <v>735</v>
      </c>
      <c r="D5" s="46" t="s">
        <v>736</v>
      </c>
      <c r="E5" s="46" t="s">
        <v>737</v>
      </c>
    </row>
    <row r="6" spans="2:10" ht="15" x14ac:dyDescent="0.25">
      <c r="B6" s="24" t="s">
        <v>177</v>
      </c>
      <c r="C6" s="24">
        <v>35</v>
      </c>
      <c r="D6" s="24">
        <v>45</v>
      </c>
      <c r="E6" s="24">
        <v>25</v>
      </c>
      <c r="G6" s="82">
        <f>MATCH(41,C6:C9,1)</f>
        <v>3</v>
      </c>
    </row>
    <row r="7" spans="2:10" ht="15" x14ac:dyDescent="0.25">
      <c r="B7" s="24" t="s">
        <v>171</v>
      </c>
      <c r="C7" s="24">
        <v>38</v>
      </c>
      <c r="D7" s="24">
        <v>40</v>
      </c>
      <c r="E7" s="24">
        <v>30</v>
      </c>
      <c r="G7" s="82" t="e">
        <f>MATCH(41,C6:C9,0)</f>
        <v>#N/A</v>
      </c>
    </row>
    <row r="8" spans="2:10" ht="21.75" customHeight="1" x14ac:dyDescent="0.25">
      <c r="B8" s="24" t="s">
        <v>230</v>
      </c>
      <c r="C8" s="24">
        <v>40</v>
      </c>
      <c r="D8" s="24">
        <v>38</v>
      </c>
      <c r="E8" s="24">
        <v>28</v>
      </c>
      <c r="G8" s="82" t="e">
        <f>MATCH(41,C6:C9,-1)</f>
        <v>#N/A</v>
      </c>
    </row>
    <row r="9" spans="2:10" ht="15" x14ac:dyDescent="0.25">
      <c r="B9" s="24" t="s">
        <v>362</v>
      </c>
      <c r="C9" s="24">
        <v>45</v>
      </c>
      <c r="D9" s="24">
        <v>35</v>
      </c>
      <c r="E9" s="24">
        <v>15</v>
      </c>
      <c r="G9">
        <f>MATCH(41,D6:D9,-1)</f>
        <v>1</v>
      </c>
    </row>
    <row r="10" spans="2:10" ht="15" x14ac:dyDescent="0.25">
      <c r="G10">
        <f>MATCH(28,E6:E9,0)</f>
        <v>3</v>
      </c>
    </row>
    <row r="11" spans="2:10" ht="37.5" customHeight="1" x14ac:dyDescent="0.25"/>
    <row r="12" spans="2:10" ht="15" x14ac:dyDescent="0.25"/>
    <row r="13" spans="2:10" ht="23.25" x14ac:dyDescent="0.35">
      <c r="B13" s="39" t="s">
        <v>738</v>
      </c>
      <c r="C13" s="40"/>
      <c r="D13" s="40"/>
      <c r="E13" s="40"/>
      <c r="F13" s="40"/>
      <c r="G13" s="40"/>
      <c r="H13" s="24"/>
    </row>
    <row r="14" spans="2:10" ht="15" x14ac:dyDescent="0.25">
      <c r="B14" s="41" t="s">
        <v>739</v>
      </c>
      <c r="C14" s="42"/>
      <c r="D14" s="42"/>
      <c r="E14" s="42"/>
      <c r="F14" s="42"/>
      <c r="G14" s="42"/>
      <c r="H14" s="28"/>
    </row>
    <row r="15" spans="2:10" ht="15" x14ac:dyDescent="0.25"/>
    <row r="16" spans="2:10" ht="21.75" customHeight="1" x14ac:dyDescent="0.25">
      <c r="B16" s="23" t="s">
        <v>740</v>
      </c>
      <c r="C16" s="46" t="s">
        <v>741</v>
      </c>
      <c r="D16" s="46" t="s">
        <v>742</v>
      </c>
      <c r="E16" s="46" t="s">
        <v>743</v>
      </c>
    </row>
    <row r="17" spans="2:9" ht="21.75" customHeight="1" x14ac:dyDescent="0.25">
      <c r="B17" s="24" t="s">
        <v>744</v>
      </c>
      <c r="C17" s="24">
        <v>10</v>
      </c>
      <c r="D17" s="24">
        <v>200</v>
      </c>
      <c r="E17" s="24" t="s">
        <v>745</v>
      </c>
      <c r="F17">
        <f>LOOKUP("A003",B17:B22,D17:D22)</f>
        <v>300</v>
      </c>
    </row>
    <row r="18" spans="2:9" ht="21.75" customHeight="1" x14ac:dyDescent="0.25">
      <c r="B18" s="24" t="s">
        <v>746</v>
      </c>
      <c r="C18" s="24">
        <v>20</v>
      </c>
      <c r="D18" s="24">
        <v>500</v>
      </c>
      <c r="E18" s="24" t="s">
        <v>745</v>
      </c>
      <c r="F18">
        <f>LOOKUP(20,C17:C22,D17:D22)</f>
        <v>500</v>
      </c>
    </row>
    <row r="19" spans="2:9" ht="21.75" customHeight="1" x14ac:dyDescent="0.25">
      <c r="B19" s="24" t="s">
        <v>747</v>
      </c>
      <c r="C19" s="24">
        <v>30</v>
      </c>
      <c r="D19" s="24">
        <v>300</v>
      </c>
      <c r="E19" s="24" t="s">
        <v>745</v>
      </c>
      <c r="F19">
        <f>LOOKUP(25,C17:C22,D17:D22)</f>
        <v>500</v>
      </c>
    </row>
    <row r="20" spans="2:9" ht="21.75" customHeight="1" x14ac:dyDescent="0.25">
      <c r="B20" s="24" t="s">
        <v>748</v>
      </c>
      <c r="C20" s="24">
        <v>40</v>
      </c>
      <c r="D20" s="24">
        <v>150</v>
      </c>
      <c r="E20" s="24" t="s">
        <v>745</v>
      </c>
      <c r="F20" t="e">
        <f>LOOKUP(5,C17:C22,D17:D22)</f>
        <v>#N/A</v>
      </c>
    </row>
    <row r="21" spans="2:9" ht="21.75" customHeight="1" x14ac:dyDescent="0.25">
      <c r="B21" s="24" t="s">
        <v>749</v>
      </c>
      <c r="C21" s="24">
        <v>50</v>
      </c>
      <c r="D21" s="24">
        <v>225</v>
      </c>
      <c r="E21" s="24"/>
    </row>
    <row r="22" spans="2:9" ht="21.75" customHeight="1" x14ac:dyDescent="0.25">
      <c r="B22" s="24" t="s">
        <v>750</v>
      </c>
      <c r="C22" s="24">
        <v>60</v>
      </c>
      <c r="D22" s="24">
        <v>525</v>
      </c>
      <c r="E22" s="24"/>
    </row>
    <row r="25" spans="2:9" ht="21.75" customHeight="1" x14ac:dyDescent="0.35">
      <c r="B25" s="39" t="s">
        <v>751</v>
      </c>
      <c r="C25" s="40"/>
      <c r="D25" s="24"/>
      <c r="E25" s="24"/>
      <c r="F25" s="24"/>
      <c r="G25" s="24"/>
      <c r="H25" s="24"/>
      <c r="I25" s="24"/>
    </row>
    <row r="26" spans="2:9" ht="21.75" customHeight="1" x14ac:dyDescent="0.25">
      <c r="B26" s="41" t="s">
        <v>752</v>
      </c>
      <c r="C26" s="42"/>
      <c r="D26" s="28"/>
      <c r="E26" s="28"/>
      <c r="F26" s="28"/>
      <c r="G26" s="28"/>
      <c r="H26" s="28"/>
      <c r="I26" s="28"/>
    </row>
    <row r="28" spans="2:9" ht="21.75" customHeight="1" x14ac:dyDescent="0.25">
      <c r="B28" s="23" t="s">
        <v>297</v>
      </c>
      <c r="C28" s="23" t="s">
        <v>753</v>
      </c>
      <c r="D28" s="46" t="s">
        <v>754</v>
      </c>
      <c r="E28" s="46" t="s">
        <v>755</v>
      </c>
    </row>
    <row r="29" spans="2:9" ht="21.75" customHeight="1" x14ac:dyDescent="0.25">
      <c r="B29" s="24" t="s">
        <v>756</v>
      </c>
      <c r="C29" s="24">
        <v>4</v>
      </c>
      <c r="D29" s="24">
        <v>7</v>
      </c>
      <c r="E29" s="24">
        <v>9</v>
      </c>
      <c r="F29">
        <f>HLOOKUP("Axles",B28:E31,2,TRUE)</f>
        <v>4</v>
      </c>
    </row>
    <row r="30" spans="2:9" ht="21.75" customHeight="1" x14ac:dyDescent="0.25">
      <c r="B30" s="24" t="s">
        <v>757</v>
      </c>
      <c r="C30" s="24">
        <v>5</v>
      </c>
      <c r="D30" s="24">
        <v>8</v>
      </c>
      <c r="E30" s="24">
        <v>10</v>
      </c>
      <c r="F30">
        <f>HLOOKUP("Bearings",C28:E31,3,FALSE)</f>
        <v>8</v>
      </c>
    </row>
    <row r="31" spans="2:9" ht="21.75" customHeight="1" x14ac:dyDescent="0.25">
      <c r="B31" s="24" t="s">
        <v>758</v>
      </c>
      <c r="C31" s="24">
        <v>6</v>
      </c>
      <c r="D31" s="24">
        <v>9</v>
      </c>
      <c r="E31" s="24">
        <v>11</v>
      </c>
      <c r="F31">
        <f>HLOOKUP("B",B28:E31,3,TRUE)</f>
        <v>5</v>
      </c>
    </row>
    <row r="34" spans="2:10" ht="21.75" customHeight="1" x14ac:dyDescent="0.35">
      <c r="B34" s="39" t="s">
        <v>759</v>
      </c>
      <c r="C34" s="40"/>
      <c r="D34" s="40"/>
      <c r="E34" s="40"/>
      <c r="F34" s="40"/>
      <c r="G34" s="40"/>
      <c r="H34" s="40"/>
      <c r="I34" s="40"/>
      <c r="J34" s="81"/>
    </row>
    <row r="35" spans="2:10" ht="21.75" customHeight="1" x14ac:dyDescent="0.25">
      <c r="B35" s="41" t="s">
        <v>760</v>
      </c>
      <c r="C35" s="42"/>
      <c r="D35" s="42"/>
      <c r="E35" s="42"/>
      <c r="F35" s="42"/>
      <c r="G35" s="42"/>
      <c r="H35" s="42"/>
      <c r="I35" s="42"/>
      <c r="J35" s="44"/>
    </row>
    <row r="37" spans="2:10" ht="21.75" customHeight="1" x14ac:dyDescent="0.25">
      <c r="B37" s="23" t="s">
        <v>761</v>
      </c>
      <c r="C37" s="23" t="s">
        <v>762</v>
      </c>
      <c r="D37" s="23" t="s">
        <v>763</v>
      </c>
      <c r="E37" s="23" t="s">
        <v>764</v>
      </c>
      <c r="F37" s="23" t="s">
        <v>765</v>
      </c>
      <c r="H37" s="23" t="s">
        <v>178</v>
      </c>
      <c r="I37" s="46" t="s">
        <v>340</v>
      </c>
      <c r="J37" s="46" t="s">
        <v>341</v>
      </c>
    </row>
    <row r="38" spans="2:10" ht="21.75" customHeight="1" x14ac:dyDescent="0.25">
      <c r="B38" s="23" t="s">
        <v>761</v>
      </c>
      <c r="C38" s="24" t="s">
        <v>766</v>
      </c>
      <c r="D38" s="24" t="s">
        <v>767</v>
      </c>
      <c r="E38" s="24" t="s">
        <v>768</v>
      </c>
      <c r="F38" s="32">
        <v>25062</v>
      </c>
      <c r="G38" s="49"/>
      <c r="H38" s="24" t="str">
        <f ca="1">_xlfn.FORMULATEXT(I38)</f>
        <v>=VLOOKUP("Leal",C38:F43,3,FALSE)</v>
      </c>
      <c r="I38" s="24" t="str">
        <f>VLOOKUP("Leal",C38:F43,3,FALSE)</f>
        <v>Sales Rep.</v>
      </c>
      <c r="J38" s="48" t="s">
        <v>769</v>
      </c>
    </row>
    <row r="39" spans="2:10" ht="21.75" customHeight="1" x14ac:dyDescent="0.25">
      <c r="B39" s="24">
        <v>105</v>
      </c>
      <c r="C39" s="24" t="s">
        <v>770</v>
      </c>
      <c r="D39" s="24" t="s">
        <v>771</v>
      </c>
      <c r="E39" s="24" t="s">
        <v>772</v>
      </c>
      <c r="F39" s="32">
        <v>19043</v>
      </c>
      <c r="H39" s="24" t="str">
        <f ca="1">_xlfn.FORMULATEXT(I39)</f>
        <v>=VLOOKUP(111,B38:F43,5,FALSE)</v>
      </c>
      <c r="I39" s="32">
        <f>VLOOKUP(111,B38:F43,5,FALSE)</f>
        <v>21447</v>
      </c>
      <c r="J39" s="48" t="s">
        <v>773</v>
      </c>
    </row>
    <row r="40" spans="2:10" ht="21.75" customHeight="1" x14ac:dyDescent="0.25">
      <c r="B40" s="24">
        <v>108</v>
      </c>
      <c r="C40" s="24" t="s">
        <v>774</v>
      </c>
      <c r="D40" s="24" t="s">
        <v>775</v>
      </c>
      <c r="E40" s="24" t="s">
        <v>768</v>
      </c>
      <c r="F40" s="32">
        <v>23253</v>
      </c>
      <c r="H40" s="24" t="str">
        <f t="shared" ref="H40:H41" ca="1" si="0">_xlfn.FORMULATEXT(I40)</f>
        <v>=VLOOKUP(110,B38:F43,4,FALSE)</v>
      </c>
      <c r="I40" s="24" t="e">
        <f>VLOOKUP(110,B38:F43,4,FALSE)</f>
        <v>#N/A</v>
      </c>
      <c r="J40" s="48" t="s">
        <v>776</v>
      </c>
    </row>
    <row r="41" spans="2:10" ht="21.75" customHeight="1" x14ac:dyDescent="0.25">
      <c r="B41" s="24">
        <v>111</v>
      </c>
      <c r="C41" s="24" t="s">
        <v>777</v>
      </c>
      <c r="D41" s="24" t="s">
        <v>778</v>
      </c>
      <c r="E41" s="24" t="s">
        <v>5</v>
      </c>
      <c r="F41" s="32">
        <v>21447</v>
      </c>
      <c r="H41" s="24" t="str">
        <f t="shared" ca="1" si="0"/>
        <v>=VLOOKUP(114,B38:F43,4,TRUE)</v>
      </c>
      <c r="I41" s="24" t="str">
        <f>VLOOKUP(114,B38:F43,4,TRUE)</f>
        <v>Manager</v>
      </c>
      <c r="J41" s="48" t="s">
        <v>779</v>
      </c>
    </row>
    <row r="42" spans="2:10" ht="21.75" customHeight="1" x14ac:dyDescent="0.25">
      <c r="B42" s="24">
        <v>115</v>
      </c>
      <c r="C42" s="24" t="s">
        <v>780</v>
      </c>
      <c r="D42" s="24" t="s">
        <v>781</v>
      </c>
      <c r="E42" s="24" t="s">
        <v>782</v>
      </c>
      <c r="F42" s="32">
        <v>20182</v>
      </c>
      <c r="G42" s="49"/>
    </row>
    <row r="43" spans="2:10" ht="21.75" customHeight="1" x14ac:dyDescent="0.25">
      <c r="B43" s="24">
        <v>120</v>
      </c>
      <c r="C43" s="24" t="s">
        <v>783</v>
      </c>
      <c r="D43" s="24" t="s">
        <v>784</v>
      </c>
      <c r="E43" s="24" t="s">
        <v>768</v>
      </c>
      <c r="F43" s="32">
        <v>23049</v>
      </c>
      <c r="G43" s="49"/>
    </row>
    <row r="45" spans="2:10" ht="21.75" customHeight="1" x14ac:dyDescent="0.25">
      <c r="B45" t="str">
        <f>VLOOKUP("Leal",C38:F43,3,FALSE)</f>
        <v>Sales Rep.</v>
      </c>
      <c r="E45" s="49" t="s">
        <v>459</v>
      </c>
    </row>
    <row r="46" spans="2:10" ht="21.75" customHeight="1" x14ac:dyDescent="0.25">
      <c r="B46" s="49">
        <f>VLOOKUP(111,B38:F43,5,FALSE)</f>
        <v>21447</v>
      </c>
    </row>
    <row r="47" spans="2:10" ht="21.75" customHeight="1" x14ac:dyDescent="0.25">
      <c r="B47" t="e">
        <f>VLOOKUP(110,B38:F43,4,FALSE)</f>
        <v>#N/A</v>
      </c>
    </row>
    <row r="48" spans="2:10" ht="21.75" customHeight="1" x14ac:dyDescent="0.25">
      <c r="B48" t="str">
        <f>VLOOKUP(114,B38:F43,4,TRUE)</f>
        <v>Manager</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2678-EE3F-460C-AAB2-9CFCAD0351E3}">
  <sheetPr codeName="Sheet18"/>
  <dimension ref="A1:K25"/>
  <sheetViews>
    <sheetView workbookViewId="0">
      <selection activeCell="F6" sqref="F6"/>
    </sheetView>
  </sheetViews>
  <sheetFormatPr defaultRowHeight="20.25" customHeight="1" x14ac:dyDescent="0.25"/>
  <cols>
    <col min="1" max="1" width="5.28515625" bestFit="1" customWidth="1"/>
    <col min="2" max="2" width="14.85546875" customWidth="1"/>
    <col min="3" max="3" width="15.7109375" customWidth="1"/>
    <col min="4" max="4" width="10.85546875" customWidth="1"/>
    <col min="5" max="5" width="7" bestFit="1" customWidth="1"/>
    <col min="6" max="6" width="13.140625" customWidth="1"/>
    <col min="7" max="7" width="10.85546875" customWidth="1"/>
    <col min="8" max="8" width="17" customWidth="1"/>
    <col min="9" max="9" width="19.85546875" customWidth="1"/>
    <col min="10" max="10" width="12.42578125" customWidth="1"/>
  </cols>
  <sheetData>
    <row r="1" spans="1:11" ht="20.25" customHeight="1" x14ac:dyDescent="0.25">
      <c r="A1" s="174" t="s">
        <v>785</v>
      </c>
      <c r="B1" s="174"/>
      <c r="C1" s="174"/>
      <c r="D1" s="174"/>
      <c r="E1" s="174"/>
      <c r="F1" s="174"/>
    </row>
    <row r="3" spans="1:11" ht="20.25" customHeight="1" x14ac:dyDescent="0.25">
      <c r="A3" s="175" t="s">
        <v>786</v>
      </c>
      <c r="B3" s="175"/>
      <c r="C3" s="175"/>
      <c r="D3" s="175"/>
      <c r="E3" s="175"/>
      <c r="F3" s="175"/>
    </row>
    <row r="4" spans="1:11" ht="32.25" customHeight="1" x14ac:dyDescent="0.25">
      <c r="A4" s="86" t="s">
        <v>787</v>
      </c>
      <c r="B4" s="86" t="s">
        <v>107</v>
      </c>
      <c r="C4" s="86" t="s">
        <v>110</v>
      </c>
      <c r="D4" s="86" t="s">
        <v>788</v>
      </c>
      <c r="E4" s="86" t="s">
        <v>789</v>
      </c>
      <c r="F4" s="86" t="s">
        <v>790</v>
      </c>
      <c r="G4" s="86" t="s">
        <v>804</v>
      </c>
      <c r="H4" s="86" t="s">
        <v>805</v>
      </c>
      <c r="I4" s="86" t="s">
        <v>806</v>
      </c>
      <c r="J4" s="86" t="s">
        <v>807</v>
      </c>
      <c r="K4" s="86" t="s">
        <v>808</v>
      </c>
    </row>
    <row r="5" spans="1:11" ht="20.25" customHeight="1" x14ac:dyDescent="0.25">
      <c r="A5" s="87">
        <v>1</v>
      </c>
      <c r="B5" s="87" t="s">
        <v>791</v>
      </c>
      <c r="C5" s="87" t="s">
        <v>792</v>
      </c>
      <c r="D5" s="87">
        <v>92</v>
      </c>
      <c r="E5" s="87" t="str">
        <f>IF(D5&gt;=40,"PASS","FAIL")</f>
        <v>PASS</v>
      </c>
      <c r="F5" s="87" t="str">
        <f>IF(D5&gt;=90,"A+",IF(D5&gt;=75,"A",IF(D5&gt;=60,"B",IF(D5&gt;=40,"C",IF(D5&lt;40,"F")))))</f>
        <v>A+</v>
      </c>
      <c r="G5" s="89" t="str">
        <f>IF(D5&gt;=85,"MERIT","NO MERIT")</f>
        <v>MERIT</v>
      </c>
      <c r="H5" s="89" t="str">
        <f>IF(D5&lt;40,"RE - EXAM","CLEARED")</f>
        <v>CLEARED</v>
      </c>
      <c r="I5" s="89" t="str">
        <f>IF(D5&gt;=90,"EXCELLENT",IF(D5&gt;=70,"GOOD",IF(D5&gt;=40,"AVERAGE",IF(D5&lt;40,"NEED IMPROVEMENT"))))</f>
        <v>EXCELLENT</v>
      </c>
      <c r="J5" s="90">
        <f>D5/100</f>
        <v>0.92</v>
      </c>
      <c r="K5" s="89" t="str">
        <f>IF(D5=MAX($D$5:$D$16),"TOPPER","-")</f>
        <v>-</v>
      </c>
    </row>
    <row r="6" spans="1:11" ht="20.25" customHeight="1" x14ac:dyDescent="0.25">
      <c r="A6" s="88">
        <v>2</v>
      </c>
      <c r="B6" s="88" t="s">
        <v>793</v>
      </c>
      <c r="C6" s="88" t="s">
        <v>792</v>
      </c>
      <c r="D6" s="88">
        <v>38</v>
      </c>
      <c r="E6" s="87" t="str">
        <f t="shared" ref="E6:E16" si="0">IF(D6&gt;=40,"PASS","FAIL")</f>
        <v>FAIL</v>
      </c>
      <c r="F6" s="87" t="str">
        <f t="shared" ref="F6:F16" si="1">IF(D6&gt;=90,"A+",IF(D6&gt;=75,"A",IF(D6&gt;=60,"B",IF(D6&gt;=40,"C",IF(D6&lt;40,"F")))))</f>
        <v>F</v>
      </c>
      <c r="G6" s="89" t="str">
        <f t="shared" ref="G6:G16" si="2">IF(D6&gt;=85,"MERIT","NO MERIT")</f>
        <v>NO MERIT</v>
      </c>
      <c r="H6" s="89" t="str">
        <f t="shared" ref="H6:H16" si="3">IF(D6&lt;40,"RE - EXAM","CLEARED")</f>
        <v>RE - EXAM</v>
      </c>
      <c r="I6" s="89" t="str">
        <f t="shared" ref="I6:I16" si="4">IF(D6&gt;=90,"EXCELLENT",IF(D6&gt;=70,"GOOD",IF(D6&gt;=40,"AVERAGE",IF(D6&lt;40,"NEED IMPROVEMENT"))))</f>
        <v>NEED IMPROVEMENT</v>
      </c>
      <c r="J6" s="90">
        <f t="shared" ref="J6:J16" si="5">D6/100</f>
        <v>0.38</v>
      </c>
      <c r="K6" s="89" t="str">
        <f t="shared" ref="K6:K16" si="6">IF(D6=MAX($D$5:$D$16),"TOPPER","-")</f>
        <v>-</v>
      </c>
    </row>
    <row r="7" spans="1:11" ht="20.25" customHeight="1" x14ac:dyDescent="0.25">
      <c r="A7" s="87">
        <v>3</v>
      </c>
      <c r="B7" s="87" t="s">
        <v>115</v>
      </c>
      <c r="C7" s="87" t="s">
        <v>792</v>
      </c>
      <c r="D7" s="87">
        <v>67</v>
      </c>
      <c r="E7" s="87" t="str">
        <f t="shared" si="0"/>
        <v>PASS</v>
      </c>
      <c r="F7" s="87" t="str">
        <f t="shared" si="1"/>
        <v>B</v>
      </c>
      <c r="G7" s="89" t="str">
        <f t="shared" si="2"/>
        <v>NO MERIT</v>
      </c>
      <c r="H7" s="89" t="str">
        <f t="shared" si="3"/>
        <v>CLEARED</v>
      </c>
      <c r="I7" s="89" t="str">
        <f t="shared" si="4"/>
        <v>AVERAGE</v>
      </c>
      <c r="J7" s="90">
        <f t="shared" si="5"/>
        <v>0.67</v>
      </c>
      <c r="K7" s="89" t="str">
        <f t="shared" si="6"/>
        <v>-</v>
      </c>
    </row>
    <row r="8" spans="1:11" ht="20.25" customHeight="1" x14ac:dyDescent="0.25">
      <c r="A8" s="88">
        <v>4</v>
      </c>
      <c r="B8" s="88" t="s">
        <v>794</v>
      </c>
      <c r="C8" s="88" t="s">
        <v>792</v>
      </c>
      <c r="D8" s="88">
        <v>45</v>
      </c>
      <c r="E8" s="87" t="str">
        <f t="shared" si="0"/>
        <v>PASS</v>
      </c>
      <c r="F8" s="87" t="str">
        <f t="shared" si="1"/>
        <v>C</v>
      </c>
      <c r="G8" s="89" t="str">
        <f t="shared" si="2"/>
        <v>NO MERIT</v>
      </c>
      <c r="H8" s="89" t="str">
        <f t="shared" si="3"/>
        <v>CLEARED</v>
      </c>
      <c r="I8" s="89" t="str">
        <f t="shared" si="4"/>
        <v>AVERAGE</v>
      </c>
      <c r="J8" s="90">
        <f t="shared" si="5"/>
        <v>0.45</v>
      </c>
      <c r="K8" s="89" t="str">
        <f t="shared" si="6"/>
        <v>-</v>
      </c>
    </row>
    <row r="9" spans="1:11" ht="20.25" customHeight="1" x14ac:dyDescent="0.25">
      <c r="A9" s="87">
        <v>5</v>
      </c>
      <c r="B9" s="87" t="s">
        <v>120</v>
      </c>
      <c r="C9" s="87" t="s">
        <v>792</v>
      </c>
      <c r="D9" s="87">
        <v>81</v>
      </c>
      <c r="E9" s="87" t="str">
        <f t="shared" si="0"/>
        <v>PASS</v>
      </c>
      <c r="F9" s="87" t="str">
        <f t="shared" si="1"/>
        <v>A</v>
      </c>
      <c r="G9" s="89" t="str">
        <f t="shared" si="2"/>
        <v>NO MERIT</v>
      </c>
      <c r="H9" s="89" t="str">
        <f t="shared" si="3"/>
        <v>CLEARED</v>
      </c>
      <c r="I9" s="89" t="str">
        <f t="shared" si="4"/>
        <v>GOOD</v>
      </c>
      <c r="J9" s="90">
        <f t="shared" si="5"/>
        <v>0.81</v>
      </c>
      <c r="K9" s="89" t="str">
        <f t="shared" si="6"/>
        <v>-</v>
      </c>
    </row>
    <row r="10" spans="1:11" ht="20.25" customHeight="1" x14ac:dyDescent="0.25">
      <c r="A10" s="88">
        <v>6</v>
      </c>
      <c r="B10" s="88" t="s">
        <v>122</v>
      </c>
      <c r="C10" s="88" t="s">
        <v>792</v>
      </c>
      <c r="D10" s="88">
        <v>29</v>
      </c>
      <c r="E10" s="87" t="str">
        <f t="shared" si="0"/>
        <v>FAIL</v>
      </c>
      <c r="F10" s="87" t="str">
        <f t="shared" si="1"/>
        <v>F</v>
      </c>
      <c r="G10" s="89" t="str">
        <f t="shared" si="2"/>
        <v>NO MERIT</v>
      </c>
      <c r="H10" s="89" t="str">
        <f t="shared" si="3"/>
        <v>RE - EXAM</v>
      </c>
      <c r="I10" s="89" t="str">
        <f t="shared" si="4"/>
        <v>NEED IMPROVEMENT</v>
      </c>
      <c r="J10" s="90" t="str">
        <f>IFERROR(D10/0,"CHECK DATA")</f>
        <v>CHECK DATA</v>
      </c>
      <c r="K10" s="89" t="str">
        <f t="shared" si="6"/>
        <v>-</v>
      </c>
    </row>
    <row r="11" spans="1:11" ht="20.25" customHeight="1" x14ac:dyDescent="0.25">
      <c r="A11" s="87">
        <v>7</v>
      </c>
      <c r="B11" s="87" t="s">
        <v>795</v>
      </c>
      <c r="C11" s="87" t="s">
        <v>792</v>
      </c>
      <c r="D11" s="87">
        <v>58</v>
      </c>
      <c r="E11" s="87" t="str">
        <f t="shared" si="0"/>
        <v>PASS</v>
      </c>
      <c r="F11" s="87" t="str">
        <f t="shared" si="1"/>
        <v>C</v>
      </c>
      <c r="G11" s="89" t="str">
        <f t="shared" si="2"/>
        <v>NO MERIT</v>
      </c>
      <c r="H11" s="89" t="str">
        <f t="shared" si="3"/>
        <v>CLEARED</v>
      </c>
      <c r="I11" s="89" t="str">
        <f t="shared" si="4"/>
        <v>AVERAGE</v>
      </c>
      <c r="J11" s="90">
        <f t="shared" si="5"/>
        <v>0.57999999999999996</v>
      </c>
      <c r="K11" s="89" t="str">
        <f t="shared" si="6"/>
        <v>-</v>
      </c>
    </row>
    <row r="12" spans="1:11" ht="20.25" customHeight="1" x14ac:dyDescent="0.25">
      <c r="A12" s="88">
        <v>8</v>
      </c>
      <c r="B12" s="88" t="s">
        <v>112</v>
      </c>
      <c r="C12" s="88" t="s">
        <v>792</v>
      </c>
      <c r="D12" s="88">
        <v>96</v>
      </c>
      <c r="E12" s="87" t="str">
        <f t="shared" si="0"/>
        <v>PASS</v>
      </c>
      <c r="F12" s="87" t="str">
        <f t="shared" si="1"/>
        <v>A+</v>
      </c>
      <c r="G12" s="89" t="str">
        <f t="shared" si="2"/>
        <v>MERIT</v>
      </c>
      <c r="H12" s="89" t="str">
        <f t="shared" si="3"/>
        <v>CLEARED</v>
      </c>
      <c r="I12" s="89" t="str">
        <f t="shared" si="4"/>
        <v>EXCELLENT</v>
      </c>
      <c r="J12" s="90">
        <f t="shared" si="5"/>
        <v>0.96</v>
      </c>
      <c r="K12" s="89" t="str">
        <f t="shared" si="6"/>
        <v>TOPPER</v>
      </c>
    </row>
    <row r="13" spans="1:11" ht="20.25" customHeight="1" x14ac:dyDescent="0.25">
      <c r="A13" s="87">
        <v>9</v>
      </c>
      <c r="B13" s="87" t="s">
        <v>117</v>
      </c>
      <c r="C13" s="87" t="s">
        <v>792</v>
      </c>
      <c r="D13" s="87">
        <v>40</v>
      </c>
      <c r="E13" s="87" t="str">
        <f t="shared" si="0"/>
        <v>PASS</v>
      </c>
      <c r="F13" s="87" t="str">
        <f t="shared" si="1"/>
        <v>C</v>
      </c>
      <c r="G13" s="89" t="str">
        <f t="shared" si="2"/>
        <v>NO MERIT</v>
      </c>
      <c r="H13" s="89" t="str">
        <f t="shared" si="3"/>
        <v>CLEARED</v>
      </c>
      <c r="I13" s="89" t="str">
        <f t="shared" si="4"/>
        <v>AVERAGE</v>
      </c>
      <c r="J13" s="90">
        <f t="shared" si="5"/>
        <v>0.4</v>
      </c>
      <c r="K13" s="89" t="str">
        <f t="shared" si="6"/>
        <v>-</v>
      </c>
    </row>
    <row r="14" spans="1:11" ht="20.25" customHeight="1" x14ac:dyDescent="0.25">
      <c r="A14" s="88">
        <v>10</v>
      </c>
      <c r="B14" s="88" t="s">
        <v>121</v>
      </c>
      <c r="C14" s="88" t="s">
        <v>792</v>
      </c>
      <c r="D14" s="88">
        <v>73</v>
      </c>
      <c r="E14" s="87" t="str">
        <f t="shared" si="0"/>
        <v>PASS</v>
      </c>
      <c r="F14" s="87" t="str">
        <f t="shared" si="1"/>
        <v>B</v>
      </c>
      <c r="G14" s="89" t="str">
        <f t="shared" si="2"/>
        <v>NO MERIT</v>
      </c>
      <c r="H14" s="89" t="str">
        <f t="shared" si="3"/>
        <v>CLEARED</v>
      </c>
      <c r="I14" s="89" t="str">
        <f t="shared" si="4"/>
        <v>GOOD</v>
      </c>
      <c r="J14" s="90">
        <f t="shared" si="5"/>
        <v>0.73</v>
      </c>
      <c r="K14" s="89" t="str">
        <f t="shared" si="6"/>
        <v>-</v>
      </c>
    </row>
    <row r="15" spans="1:11" ht="20.25" customHeight="1" x14ac:dyDescent="0.25">
      <c r="A15" s="87">
        <v>11</v>
      </c>
      <c r="B15" s="87" t="s">
        <v>123</v>
      </c>
      <c r="C15" s="87" t="s">
        <v>792</v>
      </c>
      <c r="D15" s="87">
        <v>88</v>
      </c>
      <c r="E15" s="87" t="str">
        <f t="shared" si="0"/>
        <v>PASS</v>
      </c>
      <c r="F15" s="87" t="str">
        <f t="shared" si="1"/>
        <v>A</v>
      </c>
      <c r="G15" s="89" t="str">
        <f t="shared" si="2"/>
        <v>MERIT</v>
      </c>
      <c r="H15" s="89" t="str">
        <f t="shared" si="3"/>
        <v>CLEARED</v>
      </c>
      <c r="I15" s="89" t="str">
        <f t="shared" si="4"/>
        <v>GOOD</v>
      </c>
      <c r="J15" s="90">
        <f t="shared" si="5"/>
        <v>0.88</v>
      </c>
      <c r="K15" s="89" t="str">
        <f t="shared" si="6"/>
        <v>-</v>
      </c>
    </row>
    <row r="16" spans="1:11" ht="20.25" customHeight="1" x14ac:dyDescent="0.25">
      <c r="A16" s="88">
        <v>12</v>
      </c>
      <c r="B16" s="88" t="s">
        <v>124</v>
      </c>
      <c r="C16" s="88" t="s">
        <v>792</v>
      </c>
      <c r="D16" s="88">
        <v>34</v>
      </c>
      <c r="E16" s="87" t="str">
        <f t="shared" si="0"/>
        <v>FAIL</v>
      </c>
      <c r="F16" s="87" t="str">
        <f t="shared" si="1"/>
        <v>F</v>
      </c>
      <c r="G16" s="89" t="str">
        <f t="shared" si="2"/>
        <v>NO MERIT</v>
      </c>
      <c r="H16" s="89" t="str">
        <f t="shared" si="3"/>
        <v>RE - EXAM</v>
      </c>
      <c r="I16" s="89" t="str">
        <f t="shared" si="4"/>
        <v>NEED IMPROVEMENT</v>
      </c>
      <c r="J16" s="90">
        <f t="shared" si="5"/>
        <v>0.34</v>
      </c>
      <c r="K16" s="89" t="str">
        <f t="shared" si="6"/>
        <v>-</v>
      </c>
    </row>
    <row r="18" spans="1:6" ht="20.25" customHeight="1" x14ac:dyDescent="0.25">
      <c r="A18" s="176" t="s">
        <v>796</v>
      </c>
      <c r="B18" s="176"/>
      <c r="C18" s="176"/>
      <c r="D18" s="176"/>
      <c r="E18" s="176"/>
      <c r="F18" s="176"/>
    </row>
    <row r="19" spans="1:6" ht="45.75" customHeight="1" x14ac:dyDescent="0.25">
      <c r="A19" s="173" t="s">
        <v>797</v>
      </c>
      <c r="B19" s="173"/>
      <c r="C19" s="173"/>
      <c r="D19" s="173"/>
      <c r="E19" s="173"/>
      <c r="F19" s="173"/>
    </row>
    <row r="20" spans="1:6" ht="43.5" customHeight="1" x14ac:dyDescent="0.25">
      <c r="A20" s="173" t="s">
        <v>798</v>
      </c>
      <c r="B20" s="173"/>
      <c r="C20" s="173"/>
      <c r="D20" s="173"/>
      <c r="E20" s="173"/>
      <c r="F20" s="173"/>
    </row>
    <row r="21" spans="1:6" ht="42" customHeight="1" x14ac:dyDescent="0.25">
      <c r="A21" s="173" t="s">
        <v>799</v>
      </c>
      <c r="B21" s="173"/>
      <c r="C21" s="173"/>
      <c r="D21" s="173"/>
      <c r="E21" s="173"/>
      <c r="F21" s="173"/>
    </row>
    <row r="22" spans="1:6" ht="48" customHeight="1" x14ac:dyDescent="0.25">
      <c r="A22" s="173" t="s">
        <v>800</v>
      </c>
      <c r="B22" s="173"/>
      <c r="C22" s="173"/>
      <c r="D22" s="173"/>
      <c r="E22" s="173"/>
      <c r="F22" s="173"/>
    </row>
    <row r="23" spans="1:6" ht="42.75" customHeight="1" x14ac:dyDescent="0.25">
      <c r="A23" s="173" t="s">
        <v>801</v>
      </c>
      <c r="B23" s="173"/>
      <c r="C23" s="173"/>
      <c r="D23" s="173"/>
      <c r="E23" s="173"/>
      <c r="F23" s="173"/>
    </row>
    <row r="24" spans="1:6" ht="52.5" customHeight="1" x14ac:dyDescent="0.25">
      <c r="A24" s="173" t="s">
        <v>802</v>
      </c>
      <c r="B24" s="173"/>
      <c r="C24" s="173"/>
      <c r="D24" s="173"/>
      <c r="E24" s="173"/>
      <c r="F24" s="173"/>
    </row>
    <row r="25" spans="1:6" ht="40.5" customHeight="1" x14ac:dyDescent="0.25">
      <c r="A25" s="173" t="s">
        <v>803</v>
      </c>
      <c r="B25" s="173"/>
      <c r="C25" s="173"/>
      <c r="D25" s="173"/>
      <c r="E25" s="173"/>
      <c r="F25" s="173"/>
    </row>
  </sheetData>
  <mergeCells count="10">
    <mergeCell ref="A22:F22"/>
    <mergeCell ref="A23:F23"/>
    <mergeCell ref="A24:F24"/>
    <mergeCell ref="A25:F25"/>
    <mergeCell ref="A1:F1"/>
    <mergeCell ref="A3:F3"/>
    <mergeCell ref="A18:F18"/>
    <mergeCell ref="A19:F19"/>
    <mergeCell ref="A20:F20"/>
    <mergeCell ref="A21:F2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A520-5398-47D6-95E7-0F4BE756B746}">
  <sheetPr codeName="Sheet19"/>
  <dimension ref="A1:T26"/>
  <sheetViews>
    <sheetView topLeftCell="A4" zoomScale="86" zoomScaleNormal="86" workbookViewId="0">
      <selection activeCell="I6" sqref="I6:I13"/>
    </sheetView>
  </sheetViews>
  <sheetFormatPr defaultColWidth="20.85546875" defaultRowHeight="29.25" customHeight="1" x14ac:dyDescent="0.25"/>
  <cols>
    <col min="1" max="1" width="17.85546875" customWidth="1"/>
    <col min="2" max="2" width="16" customWidth="1"/>
    <col min="3" max="3" width="14.85546875" customWidth="1"/>
    <col min="4" max="4" width="13.5703125" customWidth="1"/>
    <col min="5" max="5" width="12.28515625" customWidth="1"/>
    <col min="6" max="10" width="10.85546875" customWidth="1"/>
    <col min="11" max="11" width="9.28515625" customWidth="1"/>
    <col min="12" max="12" width="14.7109375" customWidth="1"/>
    <col min="13" max="13" width="16.140625" customWidth="1"/>
    <col min="15" max="15" width="12.42578125" customWidth="1"/>
  </cols>
  <sheetData>
    <row r="1" spans="1:20" ht="29.25" customHeight="1" x14ac:dyDescent="0.25">
      <c r="A1" s="174" t="s">
        <v>809</v>
      </c>
      <c r="B1" s="174"/>
      <c r="C1" s="174"/>
      <c r="D1" s="174"/>
      <c r="E1" s="174"/>
      <c r="F1" s="174"/>
      <c r="G1" s="174"/>
      <c r="H1" s="83"/>
      <c r="I1" s="83"/>
      <c r="J1" s="83"/>
    </row>
    <row r="3" spans="1:20" ht="29.25" customHeight="1" x14ac:dyDescent="0.25">
      <c r="A3" s="175" t="s">
        <v>810</v>
      </c>
      <c r="B3" s="175"/>
      <c r="C3" s="175"/>
      <c r="D3" s="175"/>
      <c r="E3" s="175"/>
      <c r="F3" s="175"/>
      <c r="G3" s="175"/>
      <c r="H3" s="84"/>
      <c r="I3" s="84"/>
      <c r="J3" s="84"/>
    </row>
    <row r="4" spans="1:20" ht="29.25" customHeight="1" x14ac:dyDescent="0.25">
      <c r="A4" s="1" t="s">
        <v>811</v>
      </c>
      <c r="B4" s="1" t="s">
        <v>1</v>
      </c>
      <c r="C4" s="1" t="s">
        <v>812</v>
      </c>
      <c r="D4" s="1" t="s">
        <v>813</v>
      </c>
      <c r="E4" s="1" t="s">
        <v>814</v>
      </c>
      <c r="F4" s="1" t="s">
        <v>815</v>
      </c>
      <c r="G4" s="1" t="s">
        <v>816</v>
      </c>
      <c r="H4" s="4" t="s">
        <v>839</v>
      </c>
      <c r="I4" s="4" t="s">
        <v>841</v>
      </c>
      <c r="J4" s="4" t="s">
        <v>840</v>
      </c>
      <c r="K4" s="4" t="s">
        <v>831</v>
      </c>
      <c r="L4" s="4" t="s">
        <v>832</v>
      </c>
      <c r="M4" s="4" t="s">
        <v>833</v>
      </c>
      <c r="N4" s="4" t="s">
        <v>834</v>
      </c>
      <c r="O4" s="4" t="s">
        <v>835</v>
      </c>
      <c r="P4" s="4" t="s">
        <v>836</v>
      </c>
      <c r="Q4" s="4" t="s">
        <v>837</v>
      </c>
      <c r="R4" s="4" t="s">
        <v>270</v>
      </c>
      <c r="S4" s="4" t="s">
        <v>271</v>
      </c>
      <c r="T4" s="4" t="s">
        <v>838</v>
      </c>
    </row>
    <row r="5" spans="1:20" ht="29.25" customHeight="1" x14ac:dyDescent="0.25">
      <c r="A5" s="2" t="s">
        <v>149</v>
      </c>
      <c r="B5" s="2" t="s">
        <v>8</v>
      </c>
      <c r="C5" s="2">
        <v>45000</v>
      </c>
      <c r="D5" s="2">
        <v>52000</v>
      </c>
      <c r="E5" s="2">
        <v>48500</v>
      </c>
      <c r="F5" s="2">
        <v>101</v>
      </c>
      <c r="G5" s="2">
        <f>SUM(C5:E5)</f>
        <v>145500</v>
      </c>
      <c r="H5" s="91" t="str" cm="1">
        <f t="array" ref="H5:H14">IF(MOD(F5:F14,2)=0,"EVEN","ODD")</f>
        <v>ODD</v>
      </c>
      <c r="I5" s="91">
        <f>SQRT(MAX(G5:G14))</f>
        <v>460.97722286464438</v>
      </c>
      <c r="J5" s="91" cm="1">
        <f t="array" ref="J5:J14">POWER(G5:G14,1.05^2)</f>
        <v>492103.49574956833</v>
      </c>
      <c r="K5">
        <f>SUMIF(B5:B14,"North",C5:C14)</f>
        <v>134000</v>
      </c>
      <c r="L5">
        <f>SUMIFS(D5:D14,B5:B14,"SOUTH",C5:C14,"&gt;45000")</f>
        <v>109000</v>
      </c>
      <c r="M5">
        <f>AVERAGE(C5:E5)</f>
        <v>48500</v>
      </c>
      <c r="N5">
        <f>AVERAGEIF(B5:B14,"EAST",E5:E14)</f>
        <v>58750</v>
      </c>
      <c r="O5" cm="1">
        <f t="array" ref="O5:O14">ROUND(G5:G14,-2)</f>
        <v>145500</v>
      </c>
      <c r="P5" cm="1">
        <f t="array" ref="P5:P14">ROUNDUP(D5:D14,-3)</f>
        <v>52000</v>
      </c>
      <c r="Q5" cm="1">
        <f t="array" ref="Q5:Q14">ROUNDDOWN(C5:C14,-3)</f>
        <v>45000</v>
      </c>
      <c r="R5">
        <f>MAX(G5:G14)</f>
        <v>212500</v>
      </c>
      <c r="S5">
        <f>MIN(G5:G14)</f>
        <v>118500</v>
      </c>
      <c r="T5" t="str">
        <f>INDEX(A5:A14,MATCH(MAX(G5:G14),G5:G14,0))</f>
        <v>Farah Khan</v>
      </c>
    </row>
    <row r="6" spans="1:20" ht="29.25" customHeight="1" x14ac:dyDescent="0.25">
      <c r="A6" s="3" t="s">
        <v>159</v>
      </c>
      <c r="B6" s="3" t="s">
        <v>12</v>
      </c>
      <c r="C6" s="3">
        <v>62000</v>
      </c>
      <c r="D6" s="3">
        <v>58000</v>
      </c>
      <c r="E6" s="3">
        <v>61000</v>
      </c>
      <c r="F6" s="3">
        <v>102</v>
      </c>
      <c r="G6" s="2">
        <f t="shared" ref="G6:G14" si="0">SUM(C6:E6)</f>
        <v>181000</v>
      </c>
      <c r="H6" s="91" t="str">
        <v>EVEN</v>
      </c>
      <c r="I6" s="91" t="s">
        <v>172</v>
      </c>
      <c r="J6" s="91">
        <v>626023.48919148289</v>
      </c>
      <c r="M6">
        <f t="shared" ref="M6:M14" si="1">AVERAGE(C6:E6)</f>
        <v>60333.333333333336</v>
      </c>
      <c r="O6">
        <v>181000</v>
      </c>
      <c r="P6">
        <v>58000</v>
      </c>
      <c r="Q6">
        <v>62000</v>
      </c>
    </row>
    <row r="7" spans="1:20" ht="29.25" customHeight="1" x14ac:dyDescent="0.25">
      <c r="A7" s="2" t="s">
        <v>164</v>
      </c>
      <c r="B7" s="2" t="s">
        <v>8</v>
      </c>
      <c r="C7" s="2">
        <v>38000</v>
      </c>
      <c r="D7" s="2">
        <v>41000</v>
      </c>
      <c r="E7" s="2">
        <v>39500</v>
      </c>
      <c r="F7" s="2">
        <v>103</v>
      </c>
      <c r="G7" s="2">
        <f t="shared" si="0"/>
        <v>118500</v>
      </c>
      <c r="H7" s="91" t="str">
        <v>ODD</v>
      </c>
      <c r="I7" s="91"/>
      <c r="J7" s="91">
        <v>392441.09719887248</v>
      </c>
      <c r="M7">
        <f t="shared" si="1"/>
        <v>39500</v>
      </c>
      <c r="O7">
        <v>118500</v>
      </c>
      <c r="P7">
        <v>41000</v>
      </c>
      <c r="Q7">
        <v>38000</v>
      </c>
    </row>
    <row r="8" spans="1:20" ht="29.25" customHeight="1" x14ac:dyDescent="0.25">
      <c r="A8" s="3" t="s">
        <v>21</v>
      </c>
      <c r="B8" s="3" t="s">
        <v>16</v>
      </c>
      <c r="C8" s="3">
        <v>71000</v>
      </c>
      <c r="D8" s="3">
        <v>68000</v>
      </c>
      <c r="E8" s="3">
        <v>73500</v>
      </c>
      <c r="F8" s="3">
        <v>104</v>
      </c>
      <c r="G8" s="2">
        <f t="shared" si="0"/>
        <v>212500</v>
      </c>
      <c r="H8" s="91" t="str">
        <v>EVEN</v>
      </c>
      <c r="I8" s="91"/>
      <c r="J8" s="91">
        <v>747159.33202162222</v>
      </c>
      <c r="M8">
        <f t="shared" si="1"/>
        <v>70833.333333333328</v>
      </c>
      <c r="O8">
        <v>212500</v>
      </c>
      <c r="P8">
        <v>68000</v>
      </c>
      <c r="Q8">
        <v>71000</v>
      </c>
    </row>
    <row r="9" spans="1:20" ht="29.25" customHeight="1" x14ac:dyDescent="0.25">
      <c r="A9" s="2" t="s">
        <v>143</v>
      </c>
      <c r="B9" s="2" t="s">
        <v>20</v>
      </c>
      <c r="C9" s="2">
        <v>55000</v>
      </c>
      <c r="D9" s="2">
        <v>49000</v>
      </c>
      <c r="E9" s="2">
        <v>52500</v>
      </c>
      <c r="F9" s="2">
        <v>105</v>
      </c>
      <c r="G9" s="2">
        <f t="shared" si="0"/>
        <v>156500</v>
      </c>
      <c r="H9" s="91" t="str">
        <v>ODD</v>
      </c>
      <c r="I9" s="91"/>
      <c r="J9" s="91">
        <v>533276.0284330108</v>
      </c>
      <c r="M9">
        <f t="shared" si="1"/>
        <v>52166.666666666664</v>
      </c>
      <c r="O9">
        <v>156500</v>
      </c>
      <c r="P9">
        <v>49000</v>
      </c>
      <c r="Q9">
        <v>55000</v>
      </c>
    </row>
    <row r="10" spans="1:20" ht="29.25" customHeight="1" x14ac:dyDescent="0.25">
      <c r="A10" s="3" t="s">
        <v>152</v>
      </c>
      <c r="B10" s="3" t="s">
        <v>12</v>
      </c>
      <c r="C10" s="3">
        <v>48000</v>
      </c>
      <c r="D10" s="3">
        <v>51000</v>
      </c>
      <c r="E10" s="3">
        <v>47000</v>
      </c>
      <c r="F10" s="3">
        <v>106</v>
      </c>
      <c r="G10" s="2">
        <f t="shared" si="0"/>
        <v>146000</v>
      </c>
      <c r="H10" s="91" t="str">
        <v>EVEN</v>
      </c>
      <c r="I10" s="91"/>
      <c r="J10" s="91">
        <v>493968.23649576469</v>
      </c>
      <c r="M10">
        <f t="shared" si="1"/>
        <v>48666.666666666664</v>
      </c>
      <c r="O10">
        <v>146000</v>
      </c>
      <c r="P10">
        <v>51000</v>
      </c>
      <c r="Q10">
        <v>48000</v>
      </c>
    </row>
    <row r="11" spans="1:20" ht="29.25" customHeight="1" x14ac:dyDescent="0.25">
      <c r="A11" s="2" t="s">
        <v>817</v>
      </c>
      <c r="B11" s="2" t="s">
        <v>16</v>
      </c>
      <c r="C11" s="2">
        <v>39000</v>
      </c>
      <c r="D11" s="2">
        <v>42500</v>
      </c>
      <c r="E11" s="2">
        <v>44000</v>
      </c>
      <c r="F11" s="2">
        <v>107</v>
      </c>
      <c r="G11" s="2">
        <f t="shared" si="0"/>
        <v>125500</v>
      </c>
      <c r="H11" s="91" t="str">
        <v>ODD</v>
      </c>
      <c r="I11" s="91"/>
      <c r="J11" s="91">
        <v>418075.49025758088</v>
      </c>
      <c r="M11">
        <f t="shared" si="1"/>
        <v>41833.333333333336</v>
      </c>
      <c r="O11">
        <v>125500</v>
      </c>
      <c r="P11">
        <v>43000</v>
      </c>
      <c r="Q11">
        <v>39000</v>
      </c>
    </row>
    <row r="12" spans="1:20" ht="29.25" customHeight="1" x14ac:dyDescent="0.25">
      <c r="A12" s="3" t="s">
        <v>818</v>
      </c>
      <c r="B12" s="3" t="s">
        <v>20</v>
      </c>
      <c r="C12" s="3">
        <v>66000</v>
      </c>
      <c r="D12" s="3">
        <v>64000</v>
      </c>
      <c r="E12" s="3">
        <v>69000</v>
      </c>
      <c r="F12" s="3">
        <v>108</v>
      </c>
      <c r="G12" s="2">
        <f t="shared" si="0"/>
        <v>199000</v>
      </c>
      <c r="H12" s="91" t="str">
        <v>EVEN</v>
      </c>
      <c r="I12" s="91"/>
      <c r="J12" s="91">
        <v>695001.1396547266</v>
      </c>
      <c r="M12">
        <f t="shared" si="1"/>
        <v>66333.333333333328</v>
      </c>
      <c r="O12">
        <v>199000</v>
      </c>
      <c r="P12">
        <v>64000</v>
      </c>
      <c r="Q12">
        <v>66000</v>
      </c>
    </row>
    <row r="13" spans="1:20" ht="29.25" customHeight="1" x14ac:dyDescent="0.25">
      <c r="A13" s="2" t="s">
        <v>819</v>
      </c>
      <c r="B13" s="2" t="s">
        <v>8</v>
      </c>
      <c r="C13" s="2">
        <v>51000</v>
      </c>
      <c r="D13" s="2">
        <v>53500</v>
      </c>
      <c r="E13" s="2">
        <v>50000</v>
      </c>
      <c r="F13" s="2">
        <v>109</v>
      </c>
      <c r="G13" s="2">
        <f t="shared" si="0"/>
        <v>154500</v>
      </c>
      <c r="H13" s="91" t="str">
        <v>ODD</v>
      </c>
      <c r="I13" s="91"/>
      <c r="J13" s="91">
        <v>525767.39878820337</v>
      </c>
      <c r="M13">
        <f t="shared" si="1"/>
        <v>51500</v>
      </c>
      <c r="O13">
        <v>154500</v>
      </c>
      <c r="P13">
        <v>54000</v>
      </c>
      <c r="Q13">
        <v>51000</v>
      </c>
    </row>
    <row r="14" spans="1:20" ht="29.25" customHeight="1" x14ac:dyDescent="0.25">
      <c r="A14" s="3" t="s">
        <v>820</v>
      </c>
      <c r="B14" s="3" t="s">
        <v>12</v>
      </c>
      <c r="C14" s="3">
        <v>44000</v>
      </c>
      <c r="D14" s="3">
        <v>46500</v>
      </c>
      <c r="E14" s="3">
        <v>48000</v>
      </c>
      <c r="F14" s="3">
        <v>110</v>
      </c>
      <c r="G14" s="2">
        <f t="shared" si="0"/>
        <v>138500</v>
      </c>
      <c r="H14" s="91" t="str">
        <v>EVEN</v>
      </c>
      <c r="I14" s="91"/>
      <c r="J14" s="91">
        <v>466067.02306336688</v>
      </c>
      <c r="M14">
        <f t="shared" si="1"/>
        <v>46166.666666666664</v>
      </c>
      <c r="O14">
        <v>138500</v>
      </c>
      <c r="P14">
        <v>47000</v>
      </c>
      <c r="Q14">
        <v>44000</v>
      </c>
    </row>
    <row r="16" spans="1:20" ht="29.25" customHeight="1" x14ac:dyDescent="0.25">
      <c r="A16" s="176" t="s">
        <v>796</v>
      </c>
      <c r="B16" s="176"/>
      <c r="C16" s="176"/>
      <c r="D16" s="176"/>
      <c r="E16" s="176"/>
      <c r="F16" s="176"/>
      <c r="G16" s="176"/>
      <c r="H16" s="85"/>
      <c r="I16" s="85"/>
      <c r="J16" s="85"/>
    </row>
    <row r="17" spans="1:10" ht="29.25" customHeight="1" x14ac:dyDescent="0.25">
      <c r="A17" s="173" t="s">
        <v>821</v>
      </c>
      <c r="B17" s="173"/>
      <c r="C17" s="173"/>
      <c r="D17" s="173"/>
      <c r="E17" s="173"/>
      <c r="F17" s="173"/>
      <c r="G17" s="173"/>
      <c r="H17" s="92"/>
      <c r="I17" s="92"/>
      <c r="J17" s="92"/>
    </row>
    <row r="18" spans="1:10" ht="29.25" customHeight="1" x14ac:dyDescent="0.25">
      <c r="A18" s="173" t="s">
        <v>822</v>
      </c>
      <c r="B18" s="173"/>
      <c r="C18" s="173"/>
      <c r="D18" s="173"/>
      <c r="E18" s="173"/>
      <c r="F18" s="173"/>
      <c r="G18" s="173"/>
      <c r="H18" s="92"/>
      <c r="I18" s="92"/>
      <c r="J18" s="92"/>
    </row>
    <row r="19" spans="1:10" ht="29.25" customHeight="1" x14ac:dyDescent="0.25">
      <c r="A19" s="173" t="s">
        <v>823</v>
      </c>
      <c r="B19" s="173"/>
      <c r="C19" s="173"/>
      <c r="D19" s="173"/>
      <c r="E19" s="173"/>
      <c r="F19" s="173"/>
      <c r="G19" s="173"/>
      <c r="H19" s="92"/>
      <c r="I19" s="92"/>
      <c r="J19" s="92"/>
    </row>
    <row r="20" spans="1:10" ht="29.25" customHeight="1" x14ac:dyDescent="0.25">
      <c r="A20" s="173" t="s">
        <v>824</v>
      </c>
      <c r="B20" s="173"/>
      <c r="C20" s="173"/>
      <c r="D20" s="173"/>
      <c r="E20" s="173"/>
      <c r="F20" s="173"/>
      <c r="G20" s="173"/>
      <c r="H20" s="92"/>
      <c r="I20" s="92"/>
      <c r="J20" s="92"/>
    </row>
    <row r="21" spans="1:10" ht="29.25" customHeight="1" x14ac:dyDescent="0.25">
      <c r="A21" s="173" t="s">
        <v>825</v>
      </c>
      <c r="B21" s="173"/>
      <c r="C21" s="173"/>
      <c r="D21" s="173"/>
      <c r="E21" s="173"/>
      <c r="F21" s="173"/>
      <c r="G21" s="173"/>
      <c r="H21" s="92"/>
      <c r="I21" s="92"/>
      <c r="J21" s="92"/>
    </row>
    <row r="22" spans="1:10" ht="29.25" customHeight="1" x14ac:dyDescent="0.25">
      <c r="A22" s="173" t="s">
        <v>826</v>
      </c>
      <c r="B22" s="173"/>
      <c r="C22" s="173"/>
      <c r="D22" s="173"/>
      <c r="E22" s="173"/>
      <c r="F22" s="173"/>
      <c r="G22" s="173"/>
      <c r="H22" s="92"/>
      <c r="I22" s="92"/>
      <c r="J22" s="92"/>
    </row>
    <row r="23" spans="1:10" ht="29.25" customHeight="1" x14ac:dyDescent="0.25">
      <c r="A23" s="173" t="s">
        <v>827</v>
      </c>
      <c r="B23" s="173"/>
      <c r="C23" s="173"/>
      <c r="D23" s="173"/>
      <c r="E23" s="173"/>
      <c r="F23" s="173"/>
      <c r="G23" s="173"/>
      <c r="H23" s="92"/>
      <c r="I23" s="92"/>
      <c r="J23" s="92"/>
    </row>
    <row r="24" spans="1:10" ht="29.25" customHeight="1" x14ac:dyDescent="0.25">
      <c r="A24" s="173" t="s">
        <v>828</v>
      </c>
      <c r="B24" s="173"/>
      <c r="C24" s="173"/>
      <c r="D24" s="173"/>
      <c r="E24" s="173"/>
      <c r="F24" s="173"/>
      <c r="G24" s="173"/>
      <c r="H24" s="92"/>
      <c r="I24" s="92"/>
      <c r="J24" s="92"/>
    </row>
    <row r="25" spans="1:10" ht="29.25" customHeight="1" x14ac:dyDescent="0.25">
      <c r="A25" s="173" t="s">
        <v>829</v>
      </c>
      <c r="B25" s="173"/>
      <c r="C25" s="173"/>
      <c r="D25" s="173"/>
      <c r="E25" s="173"/>
      <c r="F25" s="173"/>
      <c r="G25" s="173"/>
      <c r="H25" s="92"/>
      <c r="I25" s="92"/>
      <c r="J25" s="92"/>
    </row>
    <row r="26" spans="1:10" ht="29.25" customHeight="1" x14ac:dyDescent="0.25">
      <c r="A26" s="173" t="s">
        <v>830</v>
      </c>
      <c r="B26" s="173"/>
      <c r="C26" s="173"/>
      <c r="D26" s="173"/>
      <c r="E26" s="173"/>
      <c r="F26" s="173"/>
      <c r="G26" s="173"/>
      <c r="H26" s="92"/>
      <c r="I26" s="92"/>
      <c r="J26" s="92"/>
    </row>
  </sheetData>
  <mergeCells count="13">
    <mergeCell ref="A26:G26"/>
    <mergeCell ref="A20:G20"/>
    <mergeCell ref="A21:G21"/>
    <mergeCell ref="A22:G22"/>
    <mergeCell ref="A23:G23"/>
    <mergeCell ref="A24:G24"/>
    <mergeCell ref="A25:G25"/>
    <mergeCell ref="A19:G19"/>
    <mergeCell ref="A1:G1"/>
    <mergeCell ref="A3:G3"/>
    <mergeCell ref="A16:G16"/>
    <mergeCell ref="A17:G17"/>
    <mergeCell ref="A18:G18"/>
  </mergeCells>
  <pageMargins left="0.7" right="0.7" top="0.75" bottom="0.75" header="0.3" footer="0.3"/>
  <ignoredErrors>
    <ignoredError sqref="G5:G14 M6:N7 M5 M9:N14 M8"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BBCC-46B7-4EC0-BC99-30E3DFE20E55}">
  <sheetPr codeName="Sheet20"/>
  <dimension ref="A1:L22"/>
  <sheetViews>
    <sheetView zoomScale="78" zoomScaleNormal="78" workbookViewId="0">
      <selection activeCell="A4" sqref="A4:L14"/>
    </sheetView>
  </sheetViews>
  <sheetFormatPr defaultColWidth="18.7109375" defaultRowHeight="29.25" customHeight="1" x14ac:dyDescent="0.25"/>
  <cols>
    <col min="1" max="1" width="14.28515625" customWidth="1"/>
    <col min="2" max="2" width="16.140625" customWidth="1"/>
    <col min="3" max="3" width="7.85546875" customWidth="1"/>
    <col min="4" max="4" width="14.85546875" customWidth="1"/>
    <col min="5" max="5" width="13" customWidth="1"/>
    <col min="6" max="6" width="12" customWidth="1"/>
    <col min="7" max="7" width="17.42578125" customWidth="1"/>
    <col min="8" max="8" width="14.7109375" customWidth="1"/>
    <col min="9" max="9" width="16.140625" customWidth="1"/>
    <col min="10" max="10" width="16" customWidth="1"/>
    <col min="11" max="11" width="20.7109375" customWidth="1"/>
    <col min="12" max="12" width="21.28515625" customWidth="1"/>
  </cols>
  <sheetData>
    <row r="1" spans="1:12" ht="29.25" customHeight="1" x14ac:dyDescent="0.25">
      <c r="A1" s="174" t="s">
        <v>842</v>
      </c>
      <c r="B1" s="174"/>
      <c r="C1" s="174"/>
      <c r="D1" s="174"/>
      <c r="E1" s="174"/>
      <c r="F1" s="174"/>
    </row>
    <row r="3" spans="1:12" ht="29.25" customHeight="1" x14ac:dyDescent="0.25">
      <c r="A3" s="175" t="s">
        <v>843</v>
      </c>
      <c r="B3" s="175"/>
      <c r="C3" s="175"/>
      <c r="D3" s="175"/>
      <c r="E3" s="175"/>
      <c r="F3" s="175"/>
    </row>
    <row r="4" spans="1:12" ht="29.25" customHeight="1" x14ac:dyDescent="0.25">
      <c r="A4" s="86" t="s">
        <v>844</v>
      </c>
      <c r="B4" s="86" t="s">
        <v>845</v>
      </c>
      <c r="C4" s="86" t="s">
        <v>846</v>
      </c>
      <c r="D4" s="86" t="s">
        <v>847</v>
      </c>
      <c r="E4" s="86" t="s">
        <v>848</v>
      </c>
      <c r="F4" s="86" t="s">
        <v>849</v>
      </c>
      <c r="G4" s="86" t="s">
        <v>882</v>
      </c>
      <c r="H4" s="86" t="s">
        <v>877</v>
      </c>
      <c r="I4" s="86" t="s">
        <v>878</v>
      </c>
      <c r="J4" s="86" t="s">
        <v>879</v>
      </c>
      <c r="K4" s="86" t="s">
        <v>880</v>
      </c>
      <c r="L4" s="86" t="s">
        <v>881</v>
      </c>
    </row>
    <row r="5" spans="1:12" ht="29.25" customHeight="1" x14ac:dyDescent="0.25">
      <c r="A5" s="87" t="s">
        <v>850</v>
      </c>
      <c r="B5" s="87" t="s">
        <v>9</v>
      </c>
      <c r="C5" s="87">
        <v>29</v>
      </c>
      <c r="D5" s="87">
        <v>42000</v>
      </c>
      <c r="E5" s="87">
        <v>720</v>
      </c>
      <c r="F5" s="87" t="s">
        <v>851</v>
      </c>
      <c r="G5" s="89" t="str">
        <f>IF(AND(C5&gt;=21,D5&gt;=25000),"ELIGIBLE","NOT ELIGIBLE")</f>
        <v>ELIGIBLE</v>
      </c>
      <c r="H5" s="89" t="str">
        <f>IF(OR(E5&lt;=620,F5="YES"),"YES","NO")</f>
        <v>NO</v>
      </c>
      <c r="I5" s="89" t="str">
        <f>IF(NOT(F5="YES"),"NO","YES")</f>
        <v>NO</v>
      </c>
      <c r="J5" s="89" t="str">
        <f t="shared" ref="J5:J14" si="0">IF(AND(C5&gt;=21,C5&lt;=60,OR(D5&gt;=25000,E5&gt;750)),"APPROVED","REJECTED")</f>
        <v>APPROVED</v>
      </c>
      <c r="K5" s="89" t="str">
        <f>IF(AND(C5&gt;=21,D5&gt;=25000,E5&gt;=650),"SATISFIED","NOTSATISFIED")</f>
        <v>SATISFIED</v>
      </c>
      <c r="L5" s="89" t="str">
        <f t="shared" ref="L5:L14" si="1">IF(AND(C5&gt;=60,I5="NO"),"SPECIAL SENIOR SCHEME","-")</f>
        <v>-</v>
      </c>
    </row>
    <row r="6" spans="1:12" ht="29.25" customHeight="1" x14ac:dyDescent="0.25">
      <c r="A6" s="88" t="s">
        <v>852</v>
      </c>
      <c r="B6" s="88" t="s">
        <v>853</v>
      </c>
      <c r="C6" s="88">
        <v>34</v>
      </c>
      <c r="D6" s="88">
        <v>28000</v>
      </c>
      <c r="E6" s="88">
        <v>610</v>
      </c>
      <c r="F6" s="88" t="s">
        <v>854</v>
      </c>
      <c r="G6" s="89" t="str">
        <f t="shared" ref="G6:G14" si="2">IF(AND(C6&gt;=21,D6&gt;=25000),"ELIGIBLE","NOT ELIGIBLE")</f>
        <v>ELIGIBLE</v>
      </c>
      <c r="H6" s="89" t="str">
        <f t="shared" ref="H6:H14" si="3">IF(OR(E6&lt;=620,F6="YES"),"YES","NO")</f>
        <v>YES</v>
      </c>
      <c r="I6" s="89" t="str">
        <f t="shared" ref="I6:I14" si="4">IF(NOT(F6="YES"),"NO","YES")</f>
        <v>YES</v>
      </c>
      <c r="J6" s="89" t="str">
        <f t="shared" si="0"/>
        <v>APPROVED</v>
      </c>
      <c r="K6" s="89" t="str">
        <f t="shared" ref="K6:K14" si="5">IF(AND(C6&gt;=21,D6&gt;=25000,E6&gt;=650),"SATISFIED","NOTSATISFIED")</f>
        <v>NOTSATISFIED</v>
      </c>
      <c r="L6" s="89" t="str">
        <f t="shared" si="1"/>
        <v>-</v>
      </c>
    </row>
    <row r="7" spans="1:12" ht="29.25" customHeight="1" x14ac:dyDescent="0.25">
      <c r="A7" s="87" t="s">
        <v>855</v>
      </c>
      <c r="B7" s="87" t="s">
        <v>856</v>
      </c>
      <c r="C7" s="87">
        <v>45</v>
      </c>
      <c r="D7" s="87">
        <v>95000</v>
      </c>
      <c r="E7" s="87">
        <v>790</v>
      </c>
      <c r="F7" s="87" t="s">
        <v>851</v>
      </c>
      <c r="G7" s="89" t="str">
        <f t="shared" si="2"/>
        <v>ELIGIBLE</v>
      </c>
      <c r="H7" s="89" t="str">
        <f t="shared" si="3"/>
        <v>NO</v>
      </c>
      <c r="I7" s="89" t="str">
        <f t="shared" si="4"/>
        <v>NO</v>
      </c>
      <c r="J7" s="89" t="str">
        <f t="shared" si="0"/>
        <v>APPROVED</v>
      </c>
      <c r="K7" s="89" t="str">
        <f t="shared" si="5"/>
        <v>SATISFIED</v>
      </c>
      <c r="L7" s="89" t="str">
        <f t="shared" si="1"/>
        <v>-</v>
      </c>
    </row>
    <row r="8" spans="1:12" ht="29.25" customHeight="1" x14ac:dyDescent="0.25">
      <c r="A8" s="88" t="s">
        <v>857</v>
      </c>
      <c r="B8" s="88" t="s">
        <v>858</v>
      </c>
      <c r="C8" s="88">
        <v>19</v>
      </c>
      <c r="D8" s="88">
        <v>15000</v>
      </c>
      <c r="E8" s="88">
        <v>550</v>
      </c>
      <c r="F8" s="88" t="s">
        <v>851</v>
      </c>
      <c r="G8" s="89" t="str">
        <f t="shared" si="2"/>
        <v>NOT ELIGIBLE</v>
      </c>
      <c r="H8" s="89" t="str">
        <f t="shared" si="3"/>
        <v>YES</v>
      </c>
      <c r="I8" s="89" t="str">
        <f t="shared" si="4"/>
        <v>NO</v>
      </c>
      <c r="J8" s="89" t="str">
        <f t="shared" si="0"/>
        <v>REJECTED</v>
      </c>
      <c r="K8" s="89" t="str">
        <f t="shared" si="5"/>
        <v>NOTSATISFIED</v>
      </c>
      <c r="L8" s="89" t="str">
        <f t="shared" si="1"/>
        <v>-</v>
      </c>
    </row>
    <row r="9" spans="1:12" ht="29.25" customHeight="1" x14ac:dyDescent="0.25">
      <c r="A9" s="87" t="s">
        <v>859</v>
      </c>
      <c r="B9" s="87" t="s">
        <v>860</v>
      </c>
      <c r="C9" s="87">
        <v>52</v>
      </c>
      <c r="D9" s="87">
        <v>60000</v>
      </c>
      <c r="E9" s="87">
        <v>640</v>
      </c>
      <c r="F9" s="87" t="s">
        <v>854</v>
      </c>
      <c r="G9" s="89" t="str">
        <f t="shared" si="2"/>
        <v>ELIGIBLE</v>
      </c>
      <c r="H9" s="89" t="str">
        <f t="shared" si="3"/>
        <v>YES</v>
      </c>
      <c r="I9" s="89" t="str">
        <f t="shared" si="4"/>
        <v>YES</v>
      </c>
      <c r="J9" s="89" t="str">
        <f t="shared" si="0"/>
        <v>APPROVED</v>
      </c>
      <c r="K9" s="89" t="str">
        <f t="shared" si="5"/>
        <v>NOTSATISFIED</v>
      </c>
      <c r="L9" s="89" t="str">
        <f t="shared" si="1"/>
        <v>-</v>
      </c>
    </row>
    <row r="10" spans="1:12" ht="29.25" customHeight="1" x14ac:dyDescent="0.25">
      <c r="A10" s="88" t="s">
        <v>861</v>
      </c>
      <c r="B10" s="88" t="s">
        <v>862</v>
      </c>
      <c r="C10" s="88">
        <v>26</v>
      </c>
      <c r="D10" s="88">
        <v>31000</v>
      </c>
      <c r="E10" s="88">
        <v>705</v>
      </c>
      <c r="F10" s="88" t="s">
        <v>851</v>
      </c>
      <c r="G10" s="89" t="str">
        <f t="shared" si="2"/>
        <v>ELIGIBLE</v>
      </c>
      <c r="H10" s="89" t="str">
        <f t="shared" si="3"/>
        <v>NO</v>
      </c>
      <c r="I10" s="89" t="str">
        <f t="shared" si="4"/>
        <v>NO</v>
      </c>
      <c r="J10" s="89" t="str">
        <f t="shared" si="0"/>
        <v>APPROVED</v>
      </c>
      <c r="K10" s="89" t="str">
        <f t="shared" si="5"/>
        <v>SATISFIED</v>
      </c>
      <c r="L10" s="89" t="str">
        <f t="shared" si="1"/>
        <v>-</v>
      </c>
    </row>
    <row r="11" spans="1:12" ht="29.25" customHeight="1" x14ac:dyDescent="0.25">
      <c r="A11" s="87" t="s">
        <v>863</v>
      </c>
      <c r="B11" s="87" t="s">
        <v>864</v>
      </c>
      <c r="C11" s="87">
        <v>63</v>
      </c>
      <c r="D11" s="87">
        <v>48000</v>
      </c>
      <c r="E11" s="87">
        <v>680</v>
      </c>
      <c r="F11" s="87" t="s">
        <v>851</v>
      </c>
      <c r="G11" s="89" t="str">
        <f t="shared" si="2"/>
        <v>ELIGIBLE</v>
      </c>
      <c r="H11" s="89" t="str">
        <f t="shared" si="3"/>
        <v>NO</v>
      </c>
      <c r="I11" s="89" t="str">
        <f t="shared" si="4"/>
        <v>NO</v>
      </c>
      <c r="J11" s="89" t="str">
        <f t="shared" si="0"/>
        <v>REJECTED</v>
      </c>
      <c r="K11" s="89" t="str">
        <f t="shared" si="5"/>
        <v>SATISFIED</v>
      </c>
      <c r="L11" s="89" t="str">
        <f t="shared" si="1"/>
        <v>SPECIAL SENIOR SCHEME</v>
      </c>
    </row>
    <row r="12" spans="1:12" ht="29.25" customHeight="1" x14ac:dyDescent="0.25">
      <c r="A12" s="88" t="s">
        <v>865</v>
      </c>
      <c r="B12" s="88" t="s">
        <v>866</v>
      </c>
      <c r="C12" s="88">
        <v>38</v>
      </c>
      <c r="D12" s="88">
        <v>27000</v>
      </c>
      <c r="E12" s="88">
        <v>760</v>
      </c>
      <c r="F12" s="88" t="s">
        <v>854</v>
      </c>
      <c r="G12" s="89" t="str">
        <f t="shared" si="2"/>
        <v>ELIGIBLE</v>
      </c>
      <c r="H12" s="89" t="str">
        <f t="shared" si="3"/>
        <v>YES</v>
      </c>
      <c r="I12" s="89" t="str">
        <f t="shared" si="4"/>
        <v>YES</v>
      </c>
      <c r="J12" s="89" t="str">
        <f t="shared" si="0"/>
        <v>APPROVED</v>
      </c>
      <c r="K12" s="89" t="str">
        <f t="shared" si="5"/>
        <v>SATISFIED</v>
      </c>
      <c r="L12" s="89" t="str">
        <f t="shared" si="1"/>
        <v>-</v>
      </c>
    </row>
    <row r="13" spans="1:12" ht="29.25" customHeight="1" x14ac:dyDescent="0.25">
      <c r="A13" s="87" t="s">
        <v>867</v>
      </c>
      <c r="B13" s="87" t="s">
        <v>868</v>
      </c>
      <c r="C13" s="87">
        <v>24</v>
      </c>
      <c r="D13" s="87">
        <v>22000</v>
      </c>
      <c r="E13" s="87">
        <v>590</v>
      </c>
      <c r="F13" s="87" t="s">
        <v>851</v>
      </c>
      <c r="G13" s="89" t="str">
        <f t="shared" si="2"/>
        <v>NOT ELIGIBLE</v>
      </c>
      <c r="H13" s="89" t="str">
        <f t="shared" si="3"/>
        <v>YES</v>
      </c>
      <c r="I13" s="89" t="str">
        <f t="shared" si="4"/>
        <v>NO</v>
      </c>
      <c r="J13" s="89" t="str">
        <f t="shared" si="0"/>
        <v>REJECTED</v>
      </c>
      <c r="K13" s="89" t="str">
        <f t="shared" si="5"/>
        <v>NOTSATISFIED</v>
      </c>
      <c r="L13" s="89" t="str">
        <f t="shared" si="1"/>
        <v>-</v>
      </c>
    </row>
    <row r="14" spans="1:12" ht="29.25" customHeight="1" x14ac:dyDescent="0.25">
      <c r="A14" s="88" t="s">
        <v>869</v>
      </c>
      <c r="B14" s="88" t="s">
        <v>870</v>
      </c>
      <c r="C14" s="88">
        <v>41</v>
      </c>
      <c r="D14" s="88">
        <v>110000</v>
      </c>
      <c r="E14" s="88">
        <v>800</v>
      </c>
      <c r="F14" s="88" t="s">
        <v>851</v>
      </c>
      <c r="G14" s="89" t="str">
        <f t="shared" si="2"/>
        <v>ELIGIBLE</v>
      </c>
      <c r="H14" s="89" t="str">
        <f t="shared" si="3"/>
        <v>NO</v>
      </c>
      <c r="I14" s="89" t="str">
        <f t="shared" si="4"/>
        <v>NO</v>
      </c>
      <c r="J14" s="89" t="str">
        <f t="shared" si="0"/>
        <v>APPROVED</v>
      </c>
      <c r="K14" s="89" t="str">
        <f t="shared" si="5"/>
        <v>SATISFIED</v>
      </c>
      <c r="L14" s="89" t="str">
        <f t="shared" si="1"/>
        <v>-</v>
      </c>
    </row>
    <row r="16" spans="1:12" ht="29.25" customHeight="1" x14ac:dyDescent="0.25">
      <c r="A16" s="176" t="s">
        <v>796</v>
      </c>
      <c r="B16" s="176"/>
      <c r="C16" s="176"/>
      <c r="D16" s="176"/>
      <c r="E16" s="176"/>
      <c r="F16" s="176"/>
    </row>
    <row r="17" spans="1:6" ht="49.5" customHeight="1" x14ac:dyDescent="0.25">
      <c r="A17" s="173" t="s">
        <v>871</v>
      </c>
      <c r="B17" s="173"/>
      <c r="C17" s="173"/>
      <c r="D17" s="173"/>
      <c r="E17" s="173"/>
      <c r="F17" s="173"/>
    </row>
    <row r="18" spans="1:6" ht="29.25" customHeight="1" x14ac:dyDescent="0.25">
      <c r="A18" s="173" t="s">
        <v>872</v>
      </c>
      <c r="B18" s="173"/>
      <c r="C18" s="173"/>
      <c r="D18" s="173"/>
      <c r="E18" s="173"/>
      <c r="F18" s="173"/>
    </row>
    <row r="19" spans="1:6" ht="29.25" customHeight="1" x14ac:dyDescent="0.25">
      <c r="A19" s="173" t="s">
        <v>873</v>
      </c>
      <c r="B19" s="173"/>
      <c r="C19" s="173"/>
      <c r="D19" s="173"/>
      <c r="E19" s="173"/>
      <c r="F19" s="173"/>
    </row>
    <row r="20" spans="1:6" ht="29.25" customHeight="1" x14ac:dyDescent="0.25">
      <c r="A20" s="173" t="s">
        <v>874</v>
      </c>
      <c r="B20" s="173"/>
      <c r="C20" s="173"/>
      <c r="D20" s="173"/>
      <c r="E20" s="173"/>
      <c r="F20" s="173"/>
    </row>
    <row r="21" spans="1:6" ht="29.25" customHeight="1" x14ac:dyDescent="0.25">
      <c r="A21" s="173" t="s">
        <v>875</v>
      </c>
      <c r="B21" s="173"/>
      <c r="C21" s="173"/>
      <c r="D21" s="173"/>
      <c r="E21" s="173"/>
      <c r="F21" s="173"/>
    </row>
    <row r="22" spans="1:6" ht="29.25" customHeight="1" x14ac:dyDescent="0.25">
      <c r="A22" s="173" t="s">
        <v>876</v>
      </c>
      <c r="B22" s="173"/>
      <c r="C22" s="173"/>
      <c r="D22" s="173"/>
      <c r="E22" s="173"/>
      <c r="F22" s="173"/>
    </row>
  </sheetData>
  <mergeCells count="9">
    <mergeCell ref="A20:F20"/>
    <mergeCell ref="A21:F21"/>
    <mergeCell ref="A22:F22"/>
    <mergeCell ref="A1:F1"/>
    <mergeCell ref="A3:F3"/>
    <mergeCell ref="A16:F16"/>
    <mergeCell ref="A17:F17"/>
    <mergeCell ref="A18:F18"/>
    <mergeCell ref="A19:F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7B8F-88A3-4FB5-B0F9-812D00394452}">
  <sheetPr codeName="Sheet21"/>
  <dimension ref="A1:I18"/>
  <sheetViews>
    <sheetView topLeftCell="A4" workbookViewId="0">
      <selection activeCell="A4" sqref="A4:F10"/>
    </sheetView>
  </sheetViews>
  <sheetFormatPr defaultColWidth="20.140625" defaultRowHeight="24.75" customHeight="1" x14ac:dyDescent="0.25"/>
  <cols>
    <col min="2" max="2" width="38.7109375" customWidth="1"/>
    <col min="3" max="3" width="44.42578125" customWidth="1"/>
  </cols>
  <sheetData>
    <row r="1" spans="1:9" ht="24.75" customHeight="1" x14ac:dyDescent="0.25">
      <c r="A1" s="174" t="s">
        <v>883</v>
      </c>
      <c r="B1" s="174"/>
      <c r="C1" s="174"/>
      <c r="D1" s="174"/>
      <c r="E1" s="174"/>
      <c r="F1" s="174"/>
    </row>
    <row r="3" spans="1:9" ht="24.75" customHeight="1" x14ac:dyDescent="0.25">
      <c r="A3" s="175" t="s">
        <v>884</v>
      </c>
      <c r="B3" s="175"/>
      <c r="C3" s="175"/>
      <c r="D3" s="175"/>
      <c r="E3" s="175"/>
      <c r="F3" s="175"/>
    </row>
    <row r="4" spans="1:9" ht="24.75" customHeight="1" x14ac:dyDescent="0.25">
      <c r="A4" s="1" t="s">
        <v>885</v>
      </c>
      <c r="B4" s="1" t="s">
        <v>886</v>
      </c>
      <c r="C4" s="1" t="s">
        <v>887</v>
      </c>
      <c r="D4" s="1" t="s">
        <v>63</v>
      </c>
      <c r="E4" s="1" t="s">
        <v>888</v>
      </c>
      <c r="F4" s="1" t="s">
        <v>889</v>
      </c>
      <c r="G4" s="4" t="s">
        <v>909</v>
      </c>
      <c r="H4" s="4" t="s">
        <v>913</v>
      </c>
    </row>
    <row r="5" spans="1:9" ht="24.75" customHeight="1" x14ac:dyDescent="0.25">
      <c r="A5" s="2" t="s">
        <v>66</v>
      </c>
      <c r="B5" s="2" t="s">
        <v>67</v>
      </c>
      <c r="C5" s="2" t="s">
        <v>890</v>
      </c>
      <c r="D5" s="2" t="s">
        <v>90</v>
      </c>
      <c r="E5" s="2" t="str">
        <f>RIGHT(B5,LEN(B5)-FIND("@",B5))</f>
        <v>gmail.com</v>
      </c>
      <c r="F5" s="2" t="s">
        <v>914</v>
      </c>
      <c r="G5" cm="1">
        <f t="array" ref="G5:G10">FIND("@",B5:B10)</f>
        <v>12</v>
      </c>
      <c r="H5" t="str">
        <f>IF(ISNUMBER(SEARCH("gmail",B5)),"YES","NO")</f>
        <v>YES</v>
      </c>
      <c r="I5" t="str">
        <f>LEFT(C5,FIND(",",C5)-1)</f>
        <v>204</v>
      </c>
    </row>
    <row r="6" spans="1:9" ht="24.75" customHeight="1" x14ac:dyDescent="0.25">
      <c r="A6" s="3" t="s">
        <v>891</v>
      </c>
      <c r="B6" s="3" t="s">
        <v>892</v>
      </c>
      <c r="C6" s="3" t="s">
        <v>893</v>
      </c>
      <c r="D6" s="2" t="s">
        <v>91</v>
      </c>
      <c r="E6" s="2" t="str">
        <f t="shared" ref="E6:E10" si="0">RIGHT(B6,LEN(B6)-FIND("@",B6))</f>
        <v>OUTLOOK.com</v>
      </c>
      <c r="F6" s="2" t="s">
        <v>919</v>
      </c>
      <c r="G6">
        <v>13</v>
      </c>
      <c r="H6" t="str">
        <f t="shared" ref="H6:H10" si="1">IF(ISNUMBER(SEARCH("gmail",B6)),"YES","NO")</f>
        <v>NO</v>
      </c>
      <c r="I6" t="str">
        <f t="shared" ref="I6:I10" si="2">LEFT(C6,FIND(",",C6)-1)</f>
        <v>12</v>
      </c>
    </row>
    <row r="7" spans="1:9" ht="24.75" customHeight="1" x14ac:dyDescent="0.25">
      <c r="A7" s="2" t="s">
        <v>72</v>
      </c>
      <c r="B7" s="2" t="s">
        <v>894</v>
      </c>
      <c r="C7" s="2" t="s">
        <v>895</v>
      </c>
      <c r="D7" s="2" t="s">
        <v>910</v>
      </c>
      <c r="E7" s="2" t="str">
        <f t="shared" si="0"/>
        <v>yahoo.co.in</v>
      </c>
      <c r="F7" s="2" t="s">
        <v>915</v>
      </c>
      <c r="G7">
        <v>9</v>
      </c>
      <c r="H7" t="str">
        <f t="shared" si="1"/>
        <v>NO</v>
      </c>
      <c r="I7" t="str">
        <f t="shared" si="2"/>
        <v>45</v>
      </c>
    </row>
    <row r="8" spans="1:9" ht="24.75" customHeight="1" x14ac:dyDescent="0.25">
      <c r="A8" s="3" t="s">
        <v>13</v>
      </c>
      <c r="B8" s="3" t="s">
        <v>896</v>
      </c>
      <c r="C8" s="3" t="s">
        <v>897</v>
      </c>
      <c r="D8" s="2" t="s">
        <v>911</v>
      </c>
      <c r="E8" s="2" t="str">
        <f t="shared" si="0"/>
        <v>gmail.com</v>
      </c>
      <c r="F8" s="2" t="s">
        <v>916</v>
      </c>
      <c r="G8">
        <v>8</v>
      </c>
      <c r="H8" t="str">
        <f t="shared" si="1"/>
        <v>YES</v>
      </c>
      <c r="I8" t="str">
        <f t="shared" si="2"/>
        <v>7</v>
      </c>
    </row>
    <row r="9" spans="1:9" ht="24.75" customHeight="1" x14ac:dyDescent="0.25">
      <c r="A9" s="2" t="s">
        <v>77</v>
      </c>
      <c r="B9" s="2" t="s">
        <v>898</v>
      </c>
      <c r="C9" s="2" t="s">
        <v>899</v>
      </c>
      <c r="D9" s="2" t="s">
        <v>94</v>
      </c>
      <c r="E9" s="2" t="str">
        <f t="shared" si="0"/>
        <v>COMPANYMAIL.com</v>
      </c>
      <c r="F9" s="2" t="s">
        <v>917</v>
      </c>
      <c r="G9">
        <v>11</v>
      </c>
      <c r="H9" t="str">
        <f t="shared" si="1"/>
        <v>NO</v>
      </c>
      <c r="I9" t="str">
        <f t="shared" si="2"/>
        <v>19</v>
      </c>
    </row>
    <row r="10" spans="1:9" ht="24.75" customHeight="1" x14ac:dyDescent="0.25">
      <c r="A10" s="3" t="s">
        <v>900</v>
      </c>
      <c r="B10" s="3" t="s">
        <v>901</v>
      </c>
      <c r="C10" s="3" t="s">
        <v>902</v>
      </c>
      <c r="D10" s="2" t="s">
        <v>912</v>
      </c>
      <c r="E10" s="2" t="str">
        <f t="shared" si="0"/>
        <v>gmail.com</v>
      </c>
      <c r="F10" s="2" t="s">
        <v>918</v>
      </c>
      <c r="G10">
        <v>9</v>
      </c>
      <c r="H10" t="str">
        <f t="shared" si="1"/>
        <v>YES</v>
      </c>
      <c r="I10" t="str">
        <f t="shared" si="2"/>
        <v>88</v>
      </c>
    </row>
    <row r="12" spans="1:9" ht="24.75" customHeight="1" x14ac:dyDescent="0.25">
      <c r="A12" s="176" t="s">
        <v>796</v>
      </c>
      <c r="B12" s="176"/>
      <c r="C12" s="176"/>
      <c r="D12" s="176"/>
      <c r="E12" s="176"/>
      <c r="F12" s="176"/>
    </row>
    <row r="13" spans="1:9" ht="24.75" customHeight="1" x14ac:dyDescent="0.25">
      <c r="A13" s="173" t="s">
        <v>903</v>
      </c>
      <c r="B13" s="173"/>
      <c r="C13" s="173"/>
      <c r="D13" s="173"/>
      <c r="E13" s="173"/>
      <c r="F13" s="173"/>
    </row>
    <row r="14" spans="1:9" ht="24.75" customHeight="1" x14ac:dyDescent="0.25">
      <c r="A14" s="173" t="s">
        <v>904</v>
      </c>
      <c r="B14" s="173"/>
      <c r="C14" s="173"/>
      <c r="D14" s="173"/>
      <c r="E14" s="173"/>
      <c r="F14" s="173"/>
    </row>
    <row r="15" spans="1:9" ht="24.75" customHeight="1" x14ac:dyDescent="0.25">
      <c r="A15" s="173" t="s">
        <v>905</v>
      </c>
      <c r="B15" s="173"/>
      <c r="C15" s="173"/>
      <c r="D15" s="173"/>
      <c r="E15" s="173"/>
      <c r="F15" s="173"/>
    </row>
    <row r="16" spans="1:9" ht="24.75" customHeight="1" x14ac:dyDescent="0.25">
      <c r="A16" s="173" t="s">
        <v>906</v>
      </c>
      <c r="B16" s="173"/>
      <c r="C16" s="173"/>
      <c r="D16" s="173"/>
      <c r="E16" s="173"/>
      <c r="F16" s="173"/>
    </row>
    <row r="17" spans="1:6" ht="24.75" customHeight="1" x14ac:dyDescent="0.25">
      <c r="A17" s="173" t="s">
        <v>907</v>
      </c>
      <c r="B17" s="173"/>
      <c r="C17" s="173"/>
      <c r="D17" s="173"/>
      <c r="E17" s="173"/>
      <c r="F17" s="173"/>
    </row>
    <row r="18" spans="1:6" ht="24.75" customHeight="1" x14ac:dyDescent="0.25">
      <c r="A18" s="173" t="s">
        <v>908</v>
      </c>
      <c r="B18" s="173"/>
      <c r="C18" s="173"/>
      <c r="D18" s="173"/>
      <c r="E18" s="173"/>
      <c r="F18" s="173"/>
    </row>
  </sheetData>
  <mergeCells count="9">
    <mergeCell ref="A16:F16"/>
    <mergeCell ref="A17:F17"/>
    <mergeCell ref="A18:F18"/>
    <mergeCell ref="A1:F1"/>
    <mergeCell ref="A3:F3"/>
    <mergeCell ref="A12:F12"/>
    <mergeCell ref="A13:F13"/>
    <mergeCell ref="A14:F14"/>
    <mergeCell ref="A15:F1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92F3-85FD-4D48-B7F0-708B275BB359}">
  <sheetPr codeName="Sheet22"/>
  <dimension ref="A1:J29"/>
  <sheetViews>
    <sheetView topLeftCell="A10" workbookViewId="0">
      <selection activeCell="A23" sqref="A23:G23"/>
    </sheetView>
  </sheetViews>
  <sheetFormatPr defaultColWidth="16.42578125" defaultRowHeight="29.25" customHeight="1" x14ac:dyDescent="0.25"/>
  <cols>
    <col min="5" max="5" width="17.42578125" bestFit="1" customWidth="1"/>
    <col min="6" max="6" width="16.7109375" bestFit="1" customWidth="1"/>
  </cols>
  <sheetData>
    <row r="1" spans="1:10" ht="29.25" customHeight="1" x14ac:dyDescent="0.25">
      <c r="A1" s="174" t="s">
        <v>920</v>
      </c>
      <c r="B1" s="174"/>
      <c r="C1" s="174"/>
      <c r="D1" s="174"/>
      <c r="E1" s="174"/>
      <c r="F1" s="174"/>
      <c r="G1" s="174"/>
    </row>
    <row r="3" spans="1:10" ht="29.25" customHeight="1" x14ac:dyDescent="0.25">
      <c r="A3" s="175" t="s">
        <v>921</v>
      </c>
      <c r="B3" s="175"/>
      <c r="C3" s="175"/>
      <c r="D3" s="175"/>
      <c r="E3" s="175"/>
      <c r="F3" s="175"/>
      <c r="G3" s="175"/>
    </row>
    <row r="4" spans="1:10" ht="29.25" customHeight="1" x14ac:dyDescent="0.25">
      <c r="A4" s="86" t="s">
        <v>922</v>
      </c>
      <c r="B4" s="86" t="s">
        <v>923</v>
      </c>
      <c r="C4" s="86" t="s">
        <v>924</v>
      </c>
      <c r="D4" s="86" t="s">
        <v>925</v>
      </c>
      <c r="E4" s="86" t="s">
        <v>926</v>
      </c>
      <c r="F4" s="86" t="s">
        <v>927</v>
      </c>
      <c r="G4" s="86" t="s">
        <v>928</v>
      </c>
      <c r="H4" s="86" t="s">
        <v>952</v>
      </c>
    </row>
    <row r="5" spans="1:10" ht="29.25" customHeight="1" x14ac:dyDescent="0.25">
      <c r="A5" s="87" t="s">
        <v>929</v>
      </c>
      <c r="B5" s="95">
        <v>43536</v>
      </c>
      <c r="C5" s="97">
        <v>0.38541666666666702</v>
      </c>
      <c r="D5" s="97">
        <v>0.75347222222222199</v>
      </c>
      <c r="E5" s="98">
        <f>D5-C5</f>
        <v>0.36805555555555497</v>
      </c>
      <c r="F5" s="99">
        <f ca="1">TODAY()-B5</f>
        <v>2776</v>
      </c>
      <c r="G5" s="98" t="str">
        <f>TEXT(B5,"DDDD")</f>
        <v>Tuesday</v>
      </c>
      <c r="H5" s="25"/>
    </row>
    <row r="6" spans="1:10" ht="29.25" customHeight="1" x14ac:dyDescent="0.25">
      <c r="A6" s="88" t="s">
        <v>17</v>
      </c>
      <c r="B6" s="96">
        <v>44378</v>
      </c>
      <c r="C6" s="100">
        <v>0.40277777777777801</v>
      </c>
      <c r="D6" s="100">
        <v>0.74305555555555602</v>
      </c>
      <c r="E6" s="98">
        <f t="shared" ref="E6:E9" si="0">D6-C6</f>
        <v>0.34027777777777801</v>
      </c>
      <c r="F6" s="99">
        <f t="shared" ref="F6:F8" ca="1" si="1">TODAY()-B6</f>
        <v>1934</v>
      </c>
      <c r="G6" s="98" t="str">
        <f t="shared" ref="G6:G9" si="2">TEXT(B6,"DDDD")</f>
        <v>Thursday</v>
      </c>
      <c r="H6" s="25"/>
    </row>
    <row r="7" spans="1:10" ht="29.25" customHeight="1" x14ac:dyDescent="0.25">
      <c r="A7" s="87" t="s">
        <v>930</v>
      </c>
      <c r="B7" s="95">
        <v>43062</v>
      </c>
      <c r="C7" s="97">
        <v>0.37847222222222199</v>
      </c>
      <c r="D7" s="97">
        <v>0.79166666666666696</v>
      </c>
      <c r="E7" s="98">
        <f t="shared" si="0"/>
        <v>0.41319444444444497</v>
      </c>
      <c r="F7" s="99">
        <f t="shared" ca="1" si="1"/>
        <v>3250</v>
      </c>
      <c r="G7" s="98" t="str">
        <f t="shared" si="2"/>
        <v>Thursday</v>
      </c>
      <c r="H7" s="25"/>
    </row>
    <row r="8" spans="1:10" ht="29.25" customHeight="1" x14ac:dyDescent="0.25">
      <c r="A8" s="88" t="s">
        <v>931</v>
      </c>
      <c r="B8" s="96">
        <v>44935</v>
      </c>
      <c r="C8" s="100">
        <v>0.41666666666666702</v>
      </c>
      <c r="D8" s="100">
        <v>0.77083333333333304</v>
      </c>
      <c r="E8" s="98">
        <f t="shared" si="0"/>
        <v>0.35416666666666602</v>
      </c>
      <c r="F8" s="99">
        <f t="shared" ca="1" si="1"/>
        <v>1377</v>
      </c>
      <c r="G8" s="98" t="str">
        <f t="shared" si="2"/>
        <v>Monday</v>
      </c>
      <c r="H8" s="25"/>
    </row>
    <row r="9" spans="1:10" ht="29.25" customHeight="1" x14ac:dyDescent="0.25">
      <c r="A9" s="87" t="s">
        <v>932</v>
      </c>
      <c r="B9" s="95">
        <v>43969</v>
      </c>
      <c r="C9" s="97">
        <v>0.39236111111111099</v>
      </c>
      <c r="D9" s="97">
        <v>0.75694444444444398</v>
      </c>
      <c r="E9" s="98">
        <f t="shared" si="0"/>
        <v>0.36458333333333298</v>
      </c>
      <c r="F9" s="99">
        <f ca="1">TODAY()-B9</f>
        <v>2343</v>
      </c>
      <c r="G9" s="98" t="str">
        <f t="shared" si="2"/>
        <v>Monday</v>
      </c>
      <c r="H9" s="25"/>
    </row>
    <row r="12" spans="1:10" ht="29.25" customHeight="1" x14ac:dyDescent="0.25">
      <c r="A12" s="175" t="s">
        <v>933</v>
      </c>
      <c r="B12" s="175"/>
      <c r="C12" s="175"/>
      <c r="D12" s="175"/>
      <c r="E12" s="175"/>
      <c r="F12" s="175"/>
      <c r="G12" s="175"/>
    </row>
    <row r="13" spans="1:10" ht="29.25" customHeight="1" x14ac:dyDescent="0.25">
      <c r="A13" s="86" t="s">
        <v>934</v>
      </c>
      <c r="B13" s="86" t="s">
        <v>326</v>
      </c>
      <c r="C13" s="86" t="s">
        <v>325</v>
      </c>
      <c r="D13" s="86" t="s">
        <v>935</v>
      </c>
      <c r="E13" s="86" t="s">
        <v>936</v>
      </c>
      <c r="F13" s="86" t="s">
        <v>937</v>
      </c>
      <c r="G13" s="86" t="s">
        <v>938</v>
      </c>
      <c r="H13" s="86" t="s">
        <v>954</v>
      </c>
      <c r="I13" s="86" t="s">
        <v>955</v>
      </c>
      <c r="J13" s="86" t="s">
        <v>956</v>
      </c>
    </row>
    <row r="14" spans="1:10" ht="29.25" customHeight="1" x14ac:dyDescent="0.25">
      <c r="A14" s="87" t="s">
        <v>939</v>
      </c>
      <c r="B14" s="95">
        <v>46266</v>
      </c>
      <c r="C14" s="95">
        <v>46275</v>
      </c>
      <c r="D14" s="87">
        <f>NETWORKDAYS(B14,C14)</f>
        <v>8</v>
      </c>
      <c r="E14" s="94">
        <f>WORKDAY(B14,10)</f>
        <v>46280</v>
      </c>
      <c r="F14" s="94">
        <f>EDATE(B14,3)</f>
        <v>46357</v>
      </c>
      <c r="G14" s="93">
        <f>EOMONTH(B14,0)</f>
        <v>46295</v>
      </c>
      <c r="H14" s="25">
        <f>YEAR(B14)</f>
        <v>2026</v>
      </c>
      <c r="I14" s="25">
        <f>MONTH(B14)</f>
        <v>9</v>
      </c>
      <c r="J14" s="25">
        <f>DAY(B14)</f>
        <v>1</v>
      </c>
    </row>
    <row r="15" spans="1:10" ht="29.25" customHeight="1" x14ac:dyDescent="0.25">
      <c r="A15" s="88" t="s">
        <v>940</v>
      </c>
      <c r="B15" s="96">
        <v>46276</v>
      </c>
      <c r="C15" s="96">
        <v>46290</v>
      </c>
      <c r="D15" s="87">
        <f t="shared" ref="D15:D17" si="3">NETWORKDAYS(B15,C15)</f>
        <v>11</v>
      </c>
      <c r="E15" s="94">
        <f t="shared" ref="E15:E17" si="4">WORKDAY(B15,10)</f>
        <v>46290</v>
      </c>
      <c r="F15" s="94">
        <f t="shared" ref="F15:F17" si="5">EDATE(B15,3)</f>
        <v>46367</v>
      </c>
      <c r="G15" s="93">
        <f t="shared" ref="G15:G17" si="6">EOMONTH(B15,0)</f>
        <v>46295</v>
      </c>
      <c r="H15" s="25">
        <f t="shared" ref="H15:H17" si="7">YEAR(B15)</f>
        <v>2026</v>
      </c>
      <c r="I15" s="25">
        <f t="shared" ref="I15:I17" si="8">MONTH(B15)</f>
        <v>9</v>
      </c>
      <c r="J15" s="25">
        <f t="shared" ref="J15:J17" si="9">DAY(B15)</f>
        <v>11</v>
      </c>
    </row>
    <row r="16" spans="1:10" ht="29.25" customHeight="1" x14ac:dyDescent="0.25">
      <c r="A16" s="87" t="s">
        <v>941</v>
      </c>
      <c r="B16" s="95">
        <v>46291</v>
      </c>
      <c r="C16" s="95">
        <v>46315</v>
      </c>
      <c r="D16" s="87">
        <f t="shared" si="3"/>
        <v>17</v>
      </c>
      <c r="E16" s="94">
        <f t="shared" si="4"/>
        <v>46304</v>
      </c>
      <c r="F16" s="94">
        <f t="shared" si="5"/>
        <v>46382</v>
      </c>
      <c r="G16" s="93">
        <f t="shared" si="6"/>
        <v>46295</v>
      </c>
      <c r="H16" s="25">
        <f t="shared" si="7"/>
        <v>2026</v>
      </c>
      <c r="I16" s="25">
        <f t="shared" si="8"/>
        <v>9</v>
      </c>
      <c r="J16" s="25">
        <f t="shared" si="9"/>
        <v>26</v>
      </c>
    </row>
    <row r="17" spans="1:10" ht="29.25" customHeight="1" x14ac:dyDescent="0.25">
      <c r="A17" s="88" t="s">
        <v>942</v>
      </c>
      <c r="B17" s="96">
        <v>46316</v>
      </c>
      <c r="C17" s="96">
        <v>46326</v>
      </c>
      <c r="D17" s="87">
        <f t="shared" si="3"/>
        <v>8</v>
      </c>
      <c r="E17" s="94">
        <f t="shared" si="4"/>
        <v>46330</v>
      </c>
      <c r="F17" s="94">
        <f t="shared" si="5"/>
        <v>46408</v>
      </c>
      <c r="G17" s="93">
        <f t="shared" si="6"/>
        <v>46326</v>
      </c>
      <c r="H17" s="25">
        <f t="shared" si="7"/>
        <v>2026</v>
      </c>
      <c r="I17" s="25">
        <f t="shared" si="8"/>
        <v>10</v>
      </c>
      <c r="J17" s="25">
        <f t="shared" si="9"/>
        <v>21</v>
      </c>
    </row>
    <row r="20" spans="1:10" ht="29.25" customHeight="1" x14ac:dyDescent="0.25">
      <c r="A20" s="176" t="s">
        <v>796</v>
      </c>
      <c r="B20" s="176"/>
      <c r="C20" s="176"/>
      <c r="D20" s="176"/>
      <c r="E20" s="176"/>
      <c r="F20" s="176"/>
      <c r="G20" s="176"/>
    </row>
    <row r="21" spans="1:10" ht="29.25" customHeight="1" x14ac:dyDescent="0.25">
      <c r="A21" s="173" t="s">
        <v>943</v>
      </c>
      <c r="B21" s="173"/>
      <c r="C21" s="173"/>
      <c r="D21" s="173"/>
      <c r="E21" s="173"/>
      <c r="F21" s="173"/>
      <c r="G21" s="173"/>
    </row>
    <row r="22" spans="1:10" ht="29.25" customHeight="1" x14ac:dyDescent="0.25">
      <c r="A22" s="173" t="s">
        <v>944</v>
      </c>
      <c r="B22" s="173"/>
      <c r="C22" s="173"/>
      <c r="D22" s="173"/>
      <c r="E22" s="173"/>
      <c r="F22" s="173"/>
      <c r="G22" s="173"/>
    </row>
    <row r="23" spans="1:10" ht="29.25" customHeight="1" x14ac:dyDescent="0.25">
      <c r="A23" s="173" t="s">
        <v>945</v>
      </c>
      <c r="B23" s="173"/>
      <c r="C23" s="173"/>
      <c r="D23" s="173"/>
      <c r="E23" s="173"/>
      <c r="F23" s="173"/>
      <c r="G23" s="173"/>
    </row>
    <row r="24" spans="1:10" ht="29.25" customHeight="1" x14ac:dyDescent="0.25">
      <c r="A24" s="173" t="s">
        <v>946</v>
      </c>
      <c r="B24" s="173"/>
      <c r="C24" s="173"/>
      <c r="D24" s="173"/>
      <c r="E24" s="173"/>
      <c r="F24" s="173"/>
      <c r="G24" s="173"/>
    </row>
    <row r="25" spans="1:10" ht="29.25" customHeight="1" x14ac:dyDescent="0.25">
      <c r="A25" s="173" t="s">
        <v>947</v>
      </c>
      <c r="B25" s="173"/>
      <c r="C25" s="173"/>
      <c r="D25" s="173"/>
      <c r="E25" s="173"/>
      <c r="F25" s="173"/>
      <c r="G25" s="173"/>
    </row>
    <row r="26" spans="1:10" ht="29.25" customHeight="1" x14ac:dyDescent="0.25">
      <c r="A26" s="173" t="s">
        <v>948</v>
      </c>
      <c r="B26" s="173"/>
      <c r="C26" s="173"/>
      <c r="D26" s="173"/>
      <c r="E26" s="173"/>
      <c r="F26" s="173"/>
      <c r="G26" s="173"/>
    </row>
    <row r="27" spans="1:10" ht="29.25" customHeight="1" x14ac:dyDescent="0.25">
      <c r="A27" s="173" t="s">
        <v>949</v>
      </c>
      <c r="B27" s="173"/>
      <c r="C27" s="173"/>
      <c r="D27" s="173"/>
      <c r="E27" s="173"/>
      <c r="F27" s="173"/>
      <c r="G27" s="173"/>
    </row>
    <row r="28" spans="1:10" ht="29.25" customHeight="1" x14ac:dyDescent="0.25">
      <c r="A28" s="173" t="s">
        <v>950</v>
      </c>
      <c r="B28" s="173"/>
      <c r="C28" s="173"/>
      <c r="D28" s="173"/>
      <c r="E28" s="173"/>
      <c r="F28" s="173"/>
      <c r="G28" s="173"/>
    </row>
    <row r="29" spans="1:10" ht="29.25" customHeight="1" x14ac:dyDescent="0.25">
      <c r="A29" s="173" t="s">
        <v>951</v>
      </c>
      <c r="B29" s="173"/>
      <c r="C29" s="173"/>
      <c r="D29" s="173"/>
      <c r="E29" s="173"/>
      <c r="F29" s="173"/>
      <c r="G29" s="173"/>
    </row>
  </sheetData>
  <mergeCells count="13">
    <mergeCell ref="A22:G22"/>
    <mergeCell ref="A1:G1"/>
    <mergeCell ref="A3:G3"/>
    <mergeCell ref="A12:G12"/>
    <mergeCell ref="A20:G20"/>
    <mergeCell ref="A21:G21"/>
    <mergeCell ref="A29:G29"/>
    <mergeCell ref="A23:G23"/>
    <mergeCell ref="A24:G24"/>
    <mergeCell ref="A25:G25"/>
    <mergeCell ref="A26:G26"/>
    <mergeCell ref="A27:G27"/>
    <mergeCell ref="A28:G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06CE-82EA-42FA-93CD-11B28776DF77}">
  <sheetPr codeName="Sheet23"/>
  <dimension ref="A1:I18"/>
  <sheetViews>
    <sheetView workbookViewId="0">
      <selection activeCell="H16" sqref="H16"/>
    </sheetView>
  </sheetViews>
  <sheetFormatPr defaultColWidth="17.5703125" defaultRowHeight="15" x14ac:dyDescent="0.25"/>
  <cols>
    <col min="7" max="7" width="36.7109375" customWidth="1"/>
  </cols>
  <sheetData>
    <row r="1" spans="1:9" ht="20.25" x14ac:dyDescent="0.25">
      <c r="A1" s="174" t="s">
        <v>957</v>
      </c>
      <c r="B1" s="174"/>
      <c r="C1" s="174"/>
      <c r="D1" s="174"/>
      <c r="E1" s="174"/>
      <c r="F1" s="174"/>
      <c r="G1" s="174"/>
    </row>
    <row r="3" spans="1:9" ht="15.75" x14ac:dyDescent="0.25">
      <c r="A3" s="175" t="s">
        <v>958</v>
      </c>
      <c r="B3" s="175"/>
      <c r="C3" s="175"/>
      <c r="D3" s="175"/>
      <c r="E3" s="175"/>
      <c r="F3" s="175"/>
      <c r="G3" s="175"/>
    </row>
    <row r="4" spans="1:9" ht="31.9" customHeight="1" x14ac:dyDescent="0.25">
      <c r="A4" s="102" t="s">
        <v>673</v>
      </c>
      <c r="B4" s="102" t="s">
        <v>756</v>
      </c>
      <c r="C4" s="102" t="s">
        <v>757</v>
      </c>
      <c r="D4" s="102" t="s">
        <v>758</v>
      </c>
      <c r="E4" s="102" t="s">
        <v>959</v>
      </c>
      <c r="F4" s="102" t="s">
        <v>47</v>
      </c>
      <c r="G4" s="102" t="s">
        <v>960</v>
      </c>
    </row>
    <row r="5" spans="1:9" ht="31.9" customHeight="1" x14ac:dyDescent="0.25">
      <c r="A5" s="2" t="s">
        <v>961</v>
      </c>
      <c r="B5" s="2">
        <v>120</v>
      </c>
      <c r="C5" s="2">
        <v>135</v>
      </c>
      <c r="D5" s="2">
        <v>128</v>
      </c>
      <c r="E5" s="2">
        <v>140</v>
      </c>
      <c r="F5" s="2">
        <v>150</v>
      </c>
      <c r="G5" s="2">
        <v>145</v>
      </c>
      <c r="H5">
        <f>INDEX(B5:G9,3,4)</f>
        <v>220</v>
      </c>
      <c r="I5">
        <f>MAX(G5:G9)</f>
        <v>225</v>
      </c>
    </row>
    <row r="6" spans="1:9" ht="31.9" customHeight="1" x14ac:dyDescent="0.25">
      <c r="A6" s="3" t="s">
        <v>962</v>
      </c>
      <c r="B6" s="3">
        <v>95</v>
      </c>
      <c r="C6" s="3">
        <v>102</v>
      </c>
      <c r="D6" s="3">
        <v>110</v>
      </c>
      <c r="E6" s="3">
        <v>98</v>
      </c>
      <c r="F6" s="3">
        <v>115</v>
      </c>
      <c r="G6" s="3">
        <v>120</v>
      </c>
      <c r="H6">
        <f>MATCH("Apr",B4:G4,0)</f>
        <v>4</v>
      </c>
    </row>
    <row r="7" spans="1:9" ht="31.9" customHeight="1" x14ac:dyDescent="0.25">
      <c r="A7" s="2" t="s">
        <v>963</v>
      </c>
      <c r="B7" s="2">
        <v>200</v>
      </c>
      <c r="C7" s="2">
        <v>210</v>
      </c>
      <c r="D7" s="2">
        <v>195</v>
      </c>
      <c r="E7" s="2">
        <v>220</v>
      </c>
      <c r="F7" s="2">
        <v>230</v>
      </c>
      <c r="G7" s="2">
        <v>225</v>
      </c>
      <c r="H7" s="103">
        <f>INDEX(B5:G9,2,5)</f>
        <v>115</v>
      </c>
      <c r="I7" s="101"/>
    </row>
    <row r="8" spans="1:9" ht="31.9" customHeight="1" x14ac:dyDescent="0.25">
      <c r="A8" s="3" t="s">
        <v>964</v>
      </c>
      <c r="B8" s="3">
        <v>60</v>
      </c>
      <c r="C8" s="3">
        <v>58</v>
      </c>
      <c r="D8" s="3">
        <v>65</v>
      </c>
      <c r="E8" s="3">
        <v>70</v>
      </c>
      <c r="F8" s="3">
        <v>68</v>
      </c>
      <c r="G8" s="3">
        <v>75</v>
      </c>
      <c r="H8">
        <f ca="1">OFFSET(B5,2,3)</f>
        <v>220</v>
      </c>
    </row>
    <row r="9" spans="1:9" ht="31.9" customHeight="1" x14ac:dyDescent="0.25">
      <c r="A9" s="2" t="s">
        <v>965</v>
      </c>
      <c r="B9" s="2">
        <v>150</v>
      </c>
      <c r="C9" s="2">
        <v>148</v>
      </c>
      <c r="D9" s="2">
        <v>160</v>
      </c>
      <c r="E9" s="2">
        <v>155</v>
      </c>
      <c r="F9" s="2">
        <v>165</v>
      </c>
      <c r="G9" s="2">
        <v>170</v>
      </c>
      <c r="H9" t="e" cm="1">
        <f t="array" aca="1" ref="H9" ca="1">INDIRECT(A1&amp;B1)</f>
        <v>#REF!</v>
      </c>
    </row>
    <row r="11" spans="1:9" ht="15.75" x14ac:dyDescent="0.25">
      <c r="A11" s="176" t="s">
        <v>796</v>
      </c>
      <c r="B11" s="176"/>
      <c r="C11" s="176"/>
      <c r="D11" s="176"/>
      <c r="E11" s="176"/>
      <c r="F11" s="176"/>
      <c r="G11" s="176"/>
    </row>
    <row r="12" spans="1:9" ht="31.9" customHeight="1" x14ac:dyDescent="0.25">
      <c r="A12" s="173" t="s">
        <v>172</v>
      </c>
      <c r="B12" s="173"/>
      <c r="C12" s="173"/>
      <c r="D12" s="173"/>
      <c r="E12" s="173"/>
      <c r="F12" s="173"/>
      <c r="G12" s="173"/>
      <c r="H12">
        <f>ROW()-ROW($A$5)+1</f>
        <v>8</v>
      </c>
    </row>
    <row r="13" spans="1:9" ht="31.9" customHeight="1" x14ac:dyDescent="0.25">
      <c r="A13" s="173" t="s">
        <v>966</v>
      </c>
      <c r="B13" s="173"/>
      <c r="C13" s="173"/>
      <c r="D13" s="173"/>
      <c r="E13" s="173"/>
      <c r="F13" s="173"/>
      <c r="G13" s="173"/>
    </row>
    <row r="14" spans="1:9" ht="31.9" customHeight="1" x14ac:dyDescent="0.25">
      <c r="A14" s="173" t="s">
        <v>967</v>
      </c>
      <c r="B14" s="173"/>
      <c r="C14" s="173"/>
      <c r="D14" s="173"/>
      <c r="E14" s="173"/>
      <c r="F14" s="173"/>
      <c r="G14" s="173"/>
    </row>
    <row r="15" spans="1:9" ht="31.9" customHeight="1" x14ac:dyDescent="0.25">
      <c r="A15" s="173" t="s">
        <v>968</v>
      </c>
      <c r="B15" s="173"/>
      <c r="C15" s="173"/>
      <c r="D15" s="173"/>
      <c r="E15" s="173"/>
      <c r="F15" s="173"/>
      <c r="G15" s="173"/>
    </row>
    <row r="16" spans="1:9" ht="31.9" customHeight="1" x14ac:dyDescent="0.25">
      <c r="A16" s="173" t="s">
        <v>969</v>
      </c>
      <c r="B16" s="173"/>
      <c r="C16" s="173"/>
      <c r="D16" s="173"/>
      <c r="E16" s="173"/>
      <c r="F16" s="173"/>
      <c r="G16" s="173"/>
    </row>
    <row r="17" spans="1:7" ht="31.9" customHeight="1" x14ac:dyDescent="0.25">
      <c r="A17" s="173" t="s">
        <v>970</v>
      </c>
      <c r="B17" s="173"/>
      <c r="C17" s="173"/>
      <c r="D17" s="173"/>
      <c r="E17" s="173"/>
      <c r="F17" s="173"/>
      <c r="G17" s="173"/>
    </row>
    <row r="18" spans="1:7" ht="31.9" customHeight="1" x14ac:dyDescent="0.25">
      <c r="A18" s="173" t="s">
        <v>971</v>
      </c>
      <c r="B18" s="173"/>
      <c r="C18" s="173"/>
      <c r="D18" s="173"/>
      <c r="E18" s="173"/>
      <c r="F18" s="173"/>
      <c r="G18" s="173"/>
    </row>
  </sheetData>
  <mergeCells count="10">
    <mergeCell ref="A15:G15"/>
    <mergeCell ref="A16:G16"/>
    <mergeCell ref="A17:G17"/>
    <mergeCell ref="A18:G18"/>
    <mergeCell ref="A1:G1"/>
    <mergeCell ref="A3:G3"/>
    <mergeCell ref="A11:G11"/>
    <mergeCell ref="A12:G12"/>
    <mergeCell ref="A13:G13"/>
    <mergeCell ref="A14:G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B538-A368-4DED-8693-307325835B1A}">
  <sheetPr codeName="Sheet24"/>
  <dimension ref="A1:F48"/>
  <sheetViews>
    <sheetView workbookViewId="0">
      <selection activeCell="D17" sqref="D17"/>
    </sheetView>
  </sheetViews>
  <sheetFormatPr defaultColWidth="15.7109375" defaultRowHeight="15" x14ac:dyDescent="0.25"/>
  <sheetData>
    <row r="1" spans="1:6" ht="37.15" customHeight="1" x14ac:dyDescent="0.25">
      <c r="A1" s="174" t="s">
        <v>972</v>
      </c>
      <c r="B1" s="174"/>
      <c r="C1" s="174"/>
      <c r="D1" s="174"/>
      <c r="E1" s="174"/>
      <c r="F1" s="174"/>
    </row>
    <row r="3" spans="1:6" ht="37.15" customHeight="1" x14ac:dyDescent="0.25">
      <c r="A3" s="175" t="s">
        <v>973</v>
      </c>
      <c r="B3" s="175"/>
      <c r="C3" s="175"/>
      <c r="D3" s="175"/>
      <c r="E3" s="175"/>
      <c r="F3" s="175"/>
    </row>
    <row r="4" spans="1:6" ht="37.15" customHeight="1" x14ac:dyDescent="0.25">
      <c r="A4" s="1" t="s">
        <v>974</v>
      </c>
      <c r="B4" s="1" t="s">
        <v>975</v>
      </c>
      <c r="C4" s="1" t="s">
        <v>23</v>
      </c>
      <c r="D4" s="1" t="s">
        <v>976</v>
      </c>
    </row>
    <row r="5" spans="1:6" ht="37.15" customHeight="1" x14ac:dyDescent="0.25">
      <c r="A5" s="2" t="s">
        <v>977</v>
      </c>
      <c r="B5" s="2" t="s">
        <v>978</v>
      </c>
      <c r="C5" s="2" t="s">
        <v>979</v>
      </c>
      <c r="D5" s="2">
        <v>120</v>
      </c>
    </row>
    <row r="6" spans="1:6" ht="37.15" customHeight="1" x14ac:dyDescent="0.25">
      <c r="A6" s="3" t="s">
        <v>980</v>
      </c>
      <c r="B6" s="3" t="s">
        <v>981</v>
      </c>
      <c r="C6" s="3" t="s">
        <v>982</v>
      </c>
      <c r="D6" s="3">
        <v>1850</v>
      </c>
    </row>
    <row r="7" spans="1:6" ht="37.15" customHeight="1" x14ac:dyDescent="0.25">
      <c r="A7" s="2" t="s">
        <v>983</v>
      </c>
      <c r="B7" s="2" t="s">
        <v>984</v>
      </c>
      <c r="C7" s="2" t="s">
        <v>985</v>
      </c>
      <c r="D7" s="2">
        <v>199</v>
      </c>
    </row>
    <row r="8" spans="1:6" ht="37.15" customHeight="1" x14ac:dyDescent="0.25">
      <c r="A8" s="3" t="s">
        <v>986</v>
      </c>
      <c r="B8" s="3" t="s">
        <v>987</v>
      </c>
      <c r="C8" s="3" t="s">
        <v>988</v>
      </c>
      <c r="D8" s="3">
        <v>1499</v>
      </c>
    </row>
    <row r="9" spans="1:6" ht="37.15" customHeight="1" x14ac:dyDescent="0.25">
      <c r="A9" s="2" t="s">
        <v>989</v>
      </c>
      <c r="B9" s="2" t="s">
        <v>990</v>
      </c>
      <c r="C9" s="2" t="s">
        <v>991</v>
      </c>
      <c r="D9" s="2">
        <v>350</v>
      </c>
    </row>
    <row r="10" spans="1:6" ht="37.15" customHeight="1" x14ac:dyDescent="0.25">
      <c r="A10" s="3" t="s">
        <v>992</v>
      </c>
      <c r="B10" s="3" t="s">
        <v>993</v>
      </c>
      <c r="C10" s="3" t="s">
        <v>985</v>
      </c>
      <c r="D10" s="3">
        <v>450</v>
      </c>
    </row>
    <row r="11" spans="1:6" ht="37.15" customHeight="1" x14ac:dyDescent="0.25">
      <c r="A11" s="2" t="s">
        <v>994</v>
      </c>
      <c r="B11" s="2" t="s">
        <v>995</v>
      </c>
      <c r="C11" s="2" t="s">
        <v>979</v>
      </c>
      <c r="D11" s="2">
        <v>699</v>
      </c>
    </row>
    <row r="12" spans="1:6" ht="37.15" customHeight="1" x14ac:dyDescent="0.25">
      <c r="A12" s="3" t="s">
        <v>996</v>
      </c>
      <c r="B12" s="3" t="s">
        <v>997</v>
      </c>
      <c r="C12" s="3" t="s">
        <v>982</v>
      </c>
      <c r="D12" s="3">
        <v>2999</v>
      </c>
    </row>
    <row r="15" spans="1:6" ht="37.15" customHeight="1" x14ac:dyDescent="0.25">
      <c r="A15" s="175" t="s">
        <v>998</v>
      </c>
      <c r="B15" s="175"/>
      <c r="C15" s="175"/>
      <c r="D15" s="175"/>
      <c r="E15" s="175"/>
      <c r="F15" s="175"/>
    </row>
    <row r="16" spans="1:6" ht="37.15" customHeight="1" x14ac:dyDescent="0.25">
      <c r="A16" s="1" t="s">
        <v>999</v>
      </c>
      <c r="B16" s="1" t="s">
        <v>974</v>
      </c>
      <c r="C16" s="1" t="s">
        <v>127</v>
      </c>
      <c r="D16" s="1" t="s">
        <v>1000</v>
      </c>
      <c r="E16" s="1" t="s">
        <v>1001</v>
      </c>
      <c r="F16" s="1" t="s">
        <v>1002</v>
      </c>
    </row>
    <row r="17" spans="1:6" ht="37.15" customHeight="1" x14ac:dyDescent="0.25">
      <c r="A17" s="2" t="s">
        <v>1003</v>
      </c>
      <c r="B17" s="2" t="s">
        <v>983</v>
      </c>
      <c r="C17" s="2">
        <v>5</v>
      </c>
      <c r="D17" s="2" t="e">
        <f>VLOOKUP(B5,A5:A12,2,FALSE)</f>
        <v>#N/A</v>
      </c>
      <c r="E17" s="2"/>
      <c r="F17" s="2"/>
    </row>
    <row r="18" spans="1:6" ht="37.15" customHeight="1" x14ac:dyDescent="0.25">
      <c r="A18" s="3" t="s">
        <v>1004</v>
      </c>
      <c r="B18" s="3" t="s">
        <v>980</v>
      </c>
      <c r="C18" s="3">
        <v>2</v>
      </c>
      <c r="D18" s="3"/>
      <c r="E18" s="3"/>
      <c r="F18" s="3"/>
    </row>
    <row r="19" spans="1:6" ht="37.15" customHeight="1" x14ac:dyDescent="0.25">
      <c r="A19" s="2" t="s">
        <v>1005</v>
      </c>
      <c r="B19" s="2" t="s">
        <v>992</v>
      </c>
      <c r="C19" s="2">
        <v>8</v>
      </c>
      <c r="D19" s="2"/>
      <c r="E19" s="2"/>
      <c r="F19" s="2"/>
    </row>
    <row r="20" spans="1:6" ht="37.15" customHeight="1" x14ac:dyDescent="0.25">
      <c r="A20" s="3" t="s">
        <v>1006</v>
      </c>
      <c r="B20" s="3" t="s">
        <v>996</v>
      </c>
      <c r="C20" s="3">
        <v>1</v>
      </c>
      <c r="D20" s="3"/>
      <c r="E20" s="3"/>
      <c r="F20" s="3"/>
    </row>
    <row r="21" spans="1:6" ht="37.15" customHeight="1" x14ac:dyDescent="0.25">
      <c r="A21" s="2" t="s">
        <v>1007</v>
      </c>
      <c r="B21" s="2" t="s">
        <v>977</v>
      </c>
      <c r="C21" s="2">
        <v>12</v>
      </c>
      <c r="D21" s="2"/>
      <c r="E21" s="2"/>
      <c r="F21" s="2"/>
    </row>
    <row r="22" spans="1:6" ht="37.15" customHeight="1" x14ac:dyDescent="0.25">
      <c r="A22" s="3" t="s">
        <v>1008</v>
      </c>
      <c r="B22" s="3" t="s">
        <v>986</v>
      </c>
      <c r="C22" s="3">
        <v>3</v>
      </c>
      <c r="D22" s="3"/>
      <c r="E22" s="3"/>
      <c r="F22" s="3"/>
    </row>
    <row r="25" spans="1:6" ht="37.15" customHeight="1" x14ac:dyDescent="0.25">
      <c r="A25" s="175" t="s">
        <v>1009</v>
      </c>
      <c r="B25" s="175"/>
      <c r="C25" s="175"/>
      <c r="D25" s="175"/>
      <c r="E25" s="175"/>
      <c r="F25" s="175"/>
    </row>
    <row r="26" spans="1:6" ht="37.15" customHeight="1" x14ac:dyDescent="0.25">
      <c r="A26" s="1" t="s">
        <v>1010</v>
      </c>
      <c r="B26" s="1" t="s">
        <v>1011</v>
      </c>
    </row>
    <row r="27" spans="1:6" ht="37.15" customHeight="1" x14ac:dyDescent="0.25">
      <c r="A27" s="2">
        <v>0</v>
      </c>
      <c r="B27" s="2" t="s">
        <v>1012</v>
      </c>
    </row>
    <row r="28" spans="1:6" ht="37.15" customHeight="1" x14ac:dyDescent="0.25">
      <c r="A28" s="3">
        <v>5</v>
      </c>
      <c r="B28" s="3" t="s">
        <v>1013</v>
      </c>
    </row>
    <row r="29" spans="1:6" ht="37.15" customHeight="1" x14ac:dyDescent="0.25">
      <c r="A29" s="2">
        <v>10</v>
      </c>
      <c r="B29" s="2" t="s">
        <v>1014</v>
      </c>
    </row>
    <row r="30" spans="1:6" ht="37.15" customHeight="1" x14ac:dyDescent="0.25">
      <c r="A30" s="3">
        <v>20</v>
      </c>
      <c r="B30" s="3" t="s">
        <v>1015</v>
      </c>
    </row>
    <row r="33" spans="1:6" ht="37.15" customHeight="1" x14ac:dyDescent="0.25">
      <c r="A33" s="175" t="s">
        <v>1016</v>
      </c>
      <c r="B33" s="175"/>
      <c r="C33" s="175"/>
      <c r="D33" s="175"/>
      <c r="E33" s="175"/>
      <c r="F33" s="175"/>
    </row>
    <row r="34" spans="1:6" ht="37.15" customHeight="1" x14ac:dyDescent="0.25">
      <c r="A34" s="1" t="s">
        <v>1</v>
      </c>
      <c r="B34" s="1" t="s">
        <v>756</v>
      </c>
      <c r="C34" s="1" t="s">
        <v>757</v>
      </c>
      <c r="D34" s="1" t="s">
        <v>758</v>
      </c>
      <c r="E34" s="1" t="s">
        <v>959</v>
      </c>
    </row>
    <row r="35" spans="1:6" ht="37.15" customHeight="1" x14ac:dyDescent="0.25">
      <c r="A35" s="2" t="s">
        <v>8</v>
      </c>
      <c r="B35" s="2">
        <v>320</v>
      </c>
      <c r="C35" s="2">
        <v>340</v>
      </c>
      <c r="D35" s="2">
        <v>310</v>
      </c>
      <c r="E35" s="2">
        <v>360</v>
      </c>
    </row>
    <row r="36" spans="1:6" ht="37.15" customHeight="1" x14ac:dyDescent="0.25">
      <c r="A36" s="3" t="s">
        <v>12</v>
      </c>
      <c r="B36" s="3">
        <v>410</v>
      </c>
      <c r="C36" s="3">
        <v>400</v>
      </c>
      <c r="D36" s="3">
        <v>430</v>
      </c>
      <c r="E36" s="3">
        <v>420</v>
      </c>
    </row>
    <row r="37" spans="1:6" ht="37.15" customHeight="1" x14ac:dyDescent="0.25">
      <c r="A37" s="2" t="s">
        <v>16</v>
      </c>
      <c r="B37" s="2">
        <v>280</v>
      </c>
      <c r="C37" s="2">
        <v>300</v>
      </c>
      <c r="D37" s="2">
        <v>295</v>
      </c>
      <c r="E37" s="2">
        <v>310</v>
      </c>
    </row>
    <row r="38" spans="1:6" ht="37.15" customHeight="1" x14ac:dyDescent="0.25">
      <c r="A38" s="3" t="s">
        <v>20</v>
      </c>
      <c r="B38" s="3">
        <v>350</v>
      </c>
      <c r="C38" s="3">
        <v>365</v>
      </c>
      <c r="D38" s="3">
        <v>355</v>
      </c>
      <c r="E38" s="3">
        <v>370</v>
      </c>
    </row>
    <row r="41" spans="1:6" ht="37.15" customHeight="1" x14ac:dyDescent="0.25">
      <c r="A41" s="176" t="s">
        <v>796</v>
      </c>
      <c r="B41" s="176"/>
      <c r="C41" s="176"/>
      <c r="D41" s="176"/>
      <c r="E41" s="176"/>
      <c r="F41" s="176"/>
    </row>
    <row r="42" spans="1:6" ht="37.15" customHeight="1" x14ac:dyDescent="0.25">
      <c r="A42" s="173" t="s">
        <v>1017</v>
      </c>
      <c r="B42" s="173"/>
      <c r="C42" s="173"/>
      <c r="D42" s="173"/>
      <c r="E42" s="173"/>
      <c r="F42" s="173"/>
    </row>
    <row r="43" spans="1:6" ht="37.15" customHeight="1" x14ac:dyDescent="0.25">
      <c r="A43" s="173" t="s">
        <v>1018</v>
      </c>
      <c r="B43" s="173"/>
      <c r="C43" s="173"/>
      <c r="D43" s="173"/>
      <c r="E43" s="173"/>
      <c r="F43" s="173"/>
    </row>
    <row r="44" spans="1:6" ht="37.15" customHeight="1" x14ac:dyDescent="0.25">
      <c r="A44" s="173" t="s">
        <v>1019</v>
      </c>
      <c r="B44" s="173"/>
      <c r="C44" s="173"/>
      <c r="D44" s="173"/>
      <c r="E44" s="173"/>
      <c r="F44" s="173"/>
    </row>
    <row r="45" spans="1:6" ht="37.15" customHeight="1" x14ac:dyDescent="0.25">
      <c r="A45" s="173" t="s">
        <v>1020</v>
      </c>
      <c r="B45" s="173"/>
      <c r="C45" s="173"/>
      <c r="D45" s="173"/>
      <c r="E45" s="173"/>
      <c r="F45" s="173"/>
    </row>
    <row r="46" spans="1:6" ht="37.15" customHeight="1" x14ac:dyDescent="0.25">
      <c r="A46" s="173" t="s">
        <v>1021</v>
      </c>
      <c r="B46" s="173"/>
      <c r="C46" s="173"/>
      <c r="D46" s="173"/>
      <c r="E46" s="173"/>
      <c r="F46" s="173"/>
    </row>
    <row r="47" spans="1:6" ht="37.15" customHeight="1" x14ac:dyDescent="0.25">
      <c r="A47" s="173" t="s">
        <v>1022</v>
      </c>
      <c r="B47" s="173"/>
      <c r="C47" s="173"/>
      <c r="D47" s="173"/>
      <c r="E47" s="173"/>
      <c r="F47" s="173"/>
    </row>
    <row r="48" spans="1:6" ht="37.15" customHeight="1" x14ac:dyDescent="0.25">
      <c r="A48" s="173" t="s">
        <v>1023</v>
      </c>
      <c r="B48" s="173"/>
      <c r="C48" s="173"/>
      <c r="D48" s="173"/>
      <c r="E48" s="173"/>
      <c r="F48" s="173"/>
    </row>
  </sheetData>
  <mergeCells count="13">
    <mergeCell ref="A41:F41"/>
    <mergeCell ref="A1:F1"/>
    <mergeCell ref="A3:F3"/>
    <mergeCell ref="A15:F15"/>
    <mergeCell ref="A25:F25"/>
    <mergeCell ref="A33:F33"/>
    <mergeCell ref="A48:F48"/>
    <mergeCell ref="A42:F42"/>
    <mergeCell ref="A43:F43"/>
    <mergeCell ref="A44:F44"/>
    <mergeCell ref="A45:F45"/>
    <mergeCell ref="A46:F46"/>
    <mergeCell ref="A47:F4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7822-818C-4078-BB4F-0D489BC3C22F}">
  <sheetPr codeName="Sheet25"/>
  <dimension ref="A1:H20"/>
  <sheetViews>
    <sheetView topLeftCell="A6" zoomScale="93" zoomScaleNormal="93" workbookViewId="0">
      <selection activeCell="H5" sqref="H5:H12"/>
    </sheetView>
  </sheetViews>
  <sheetFormatPr defaultColWidth="16.28515625" defaultRowHeight="48" customHeight="1" x14ac:dyDescent="0.25"/>
  <sheetData>
    <row r="1" spans="1:8" ht="48" customHeight="1" x14ac:dyDescent="0.25">
      <c r="A1" s="174" t="s">
        <v>1024</v>
      </c>
      <c r="B1" s="174"/>
      <c r="C1" s="174"/>
      <c r="D1" s="174"/>
      <c r="E1" s="174"/>
      <c r="F1" s="174"/>
    </row>
    <row r="3" spans="1:8" ht="48" customHeight="1" x14ac:dyDescent="0.25">
      <c r="A3" s="175" t="s">
        <v>1025</v>
      </c>
      <c r="B3" s="175"/>
      <c r="C3" s="175"/>
      <c r="D3" s="175"/>
      <c r="E3" s="175"/>
      <c r="F3" s="175"/>
    </row>
    <row r="4" spans="1:8" ht="48" customHeight="1" x14ac:dyDescent="0.25">
      <c r="A4" s="1" t="s">
        <v>1026</v>
      </c>
      <c r="B4" s="1" t="s">
        <v>1027</v>
      </c>
      <c r="C4" s="1" t="s">
        <v>1028</v>
      </c>
      <c r="D4" s="1" t="s">
        <v>1029</v>
      </c>
      <c r="E4" s="1" t="s">
        <v>1030</v>
      </c>
      <c r="F4" s="1" t="s">
        <v>1031</v>
      </c>
      <c r="H4" s="104" t="s">
        <v>1050</v>
      </c>
    </row>
    <row r="5" spans="1:8" ht="48" customHeight="1" x14ac:dyDescent="0.25">
      <c r="A5" s="2" t="s">
        <v>1032</v>
      </c>
      <c r="B5" s="2" t="s">
        <v>1033</v>
      </c>
      <c r="C5" s="2">
        <v>11.8</v>
      </c>
      <c r="D5" s="2">
        <f>RANK(C5,$C$5:$C$12,1)</f>
        <v>2</v>
      </c>
      <c r="E5" s="2">
        <v>87</v>
      </c>
      <c r="F5" s="2">
        <f>RANK(E5,$E$5:$E$12,0)</f>
        <v>5</v>
      </c>
      <c r="G5">
        <f>LARGE(E5:E12,3)</f>
        <v>91</v>
      </c>
      <c r="H5" t="str">
        <f>IF(F5=1,"GOLD MEDAL",IF(F5=2,"SILVER MEDAL",IF(F5=3,"BRONZE MEDAL","--")))</f>
        <v>--</v>
      </c>
    </row>
    <row r="6" spans="1:8" ht="48" customHeight="1" x14ac:dyDescent="0.25">
      <c r="A6" s="3" t="s">
        <v>1034</v>
      </c>
      <c r="B6" s="3" t="s">
        <v>1035</v>
      </c>
      <c r="C6" s="3">
        <v>12.4</v>
      </c>
      <c r="D6" s="2">
        <f t="shared" ref="D6:D12" si="0">RANK(C6,$C$5:$C$12,1)</f>
        <v>6</v>
      </c>
      <c r="E6" s="3">
        <v>91</v>
      </c>
      <c r="F6" s="2">
        <f t="shared" ref="F6:F12" si="1">RANK(E6,$E$5:$E$12,0)</f>
        <v>2</v>
      </c>
      <c r="G6">
        <f>SMALL(C5:C12,3)</f>
        <v>11.9</v>
      </c>
      <c r="H6" t="str">
        <f t="shared" ref="H6:H12" si="2">IF(F6=1,"GOLD MEDAL",IF(F6=2,"SILVER MEDAL",IF(F6=3,"BRONZE MEDAL","--")))</f>
        <v>SILVER MEDAL</v>
      </c>
    </row>
    <row r="7" spans="1:8" ht="48" customHeight="1" x14ac:dyDescent="0.25">
      <c r="A7" s="2" t="s">
        <v>1036</v>
      </c>
      <c r="B7" s="2" t="s">
        <v>1037</v>
      </c>
      <c r="C7" s="2">
        <v>11.5</v>
      </c>
      <c r="D7" s="2">
        <f t="shared" si="0"/>
        <v>1</v>
      </c>
      <c r="E7" s="2">
        <v>95</v>
      </c>
      <c r="F7" s="2">
        <f t="shared" si="1"/>
        <v>1</v>
      </c>
      <c r="G7">
        <f>_xlfn.RANK.EQ(E5,$E$5:$E$12,0)</f>
        <v>5</v>
      </c>
      <c r="H7" t="str">
        <f t="shared" si="2"/>
        <v>GOLD MEDAL</v>
      </c>
    </row>
    <row r="8" spans="1:8" ht="48" customHeight="1" x14ac:dyDescent="0.25">
      <c r="A8" s="3" t="s">
        <v>1038</v>
      </c>
      <c r="B8" s="3" t="s">
        <v>1033</v>
      </c>
      <c r="C8" s="3">
        <v>12.9</v>
      </c>
      <c r="D8" s="2">
        <f t="shared" si="0"/>
        <v>8</v>
      </c>
      <c r="E8" s="3">
        <v>78</v>
      </c>
      <c r="F8" s="2">
        <f t="shared" si="1"/>
        <v>8</v>
      </c>
      <c r="H8" t="str">
        <f t="shared" si="2"/>
        <v>--</v>
      </c>
    </row>
    <row r="9" spans="1:8" ht="48" customHeight="1" x14ac:dyDescent="0.25">
      <c r="A9" s="2" t="s">
        <v>1039</v>
      </c>
      <c r="B9" s="2" t="s">
        <v>1035</v>
      </c>
      <c r="C9" s="2">
        <v>12.1</v>
      </c>
      <c r="D9" s="2">
        <f t="shared" si="0"/>
        <v>4</v>
      </c>
      <c r="E9" s="2">
        <v>84</v>
      </c>
      <c r="F9" s="2">
        <f t="shared" si="1"/>
        <v>6</v>
      </c>
      <c r="H9" t="str">
        <f t="shared" si="2"/>
        <v>--</v>
      </c>
    </row>
    <row r="10" spans="1:8" ht="48" customHeight="1" x14ac:dyDescent="0.25">
      <c r="A10" s="3" t="s">
        <v>1040</v>
      </c>
      <c r="B10" s="3" t="s">
        <v>1037</v>
      </c>
      <c r="C10" s="3">
        <v>11.9</v>
      </c>
      <c r="D10" s="2">
        <f t="shared" si="0"/>
        <v>3</v>
      </c>
      <c r="E10" s="3">
        <v>91</v>
      </c>
      <c r="F10" s="2">
        <f t="shared" si="1"/>
        <v>2</v>
      </c>
      <c r="H10" t="str">
        <f t="shared" si="2"/>
        <v>SILVER MEDAL</v>
      </c>
    </row>
    <row r="11" spans="1:8" ht="48" customHeight="1" x14ac:dyDescent="0.25">
      <c r="A11" s="2" t="s">
        <v>1041</v>
      </c>
      <c r="B11" s="2" t="s">
        <v>1042</v>
      </c>
      <c r="C11" s="2">
        <v>12.6</v>
      </c>
      <c r="D11" s="2">
        <f t="shared" si="0"/>
        <v>7</v>
      </c>
      <c r="E11" s="2">
        <v>80</v>
      </c>
      <c r="F11" s="2">
        <f t="shared" si="1"/>
        <v>7</v>
      </c>
      <c r="H11" t="str">
        <f t="shared" si="2"/>
        <v>--</v>
      </c>
    </row>
    <row r="12" spans="1:8" ht="48" customHeight="1" x14ac:dyDescent="0.25">
      <c r="A12" s="3" t="s">
        <v>1043</v>
      </c>
      <c r="B12" s="3" t="s">
        <v>1033</v>
      </c>
      <c r="C12" s="3">
        <v>12.2</v>
      </c>
      <c r="D12" s="2">
        <f t="shared" si="0"/>
        <v>5</v>
      </c>
      <c r="E12" s="3">
        <v>88</v>
      </c>
      <c r="F12" s="2">
        <f t="shared" si="1"/>
        <v>4</v>
      </c>
      <c r="H12" t="str">
        <f t="shared" si="2"/>
        <v>--</v>
      </c>
    </row>
    <row r="14" spans="1:8" ht="48" customHeight="1" x14ac:dyDescent="0.25">
      <c r="A14" s="176" t="s">
        <v>796</v>
      </c>
      <c r="B14" s="176"/>
      <c r="C14" s="176"/>
      <c r="D14" s="176"/>
      <c r="E14" s="176"/>
      <c r="F14" s="176"/>
    </row>
    <row r="15" spans="1:8" ht="48" customHeight="1" x14ac:dyDescent="0.25">
      <c r="A15" s="173" t="s">
        <v>1044</v>
      </c>
      <c r="B15" s="173"/>
      <c r="C15" s="173"/>
      <c r="D15" s="173"/>
      <c r="E15" s="173"/>
      <c r="F15" s="173"/>
    </row>
    <row r="16" spans="1:8" ht="48" customHeight="1" x14ac:dyDescent="0.25">
      <c r="A16" s="173" t="s">
        <v>1045</v>
      </c>
      <c r="B16" s="173"/>
      <c r="C16" s="173"/>
      <c r="D16" s="173"/>
      <c r="E16" s="173"/>
      <c r="F16" s="173"/>
    </row>
    <row r="17" spans="1:6" ht="48" customHeight="1" x14ac:dyDescent="0.25">
      <c r="A17" s="173" t="s">
        <v>1046</v>
      </c>
      <c r="B17" s="173"/>
      <c r="C17" s="173"/>
      <c r="D17" s="173"/>
      <c r="E17" s="173"/>
      <c r="F17" s="173"/>
    </row>
    <row r="18" spans="1:6" ht="48" customHeight="1" x14ac:dyDescent="0.25">
      <c r="A18" s="173" t="s">
        <v>1047</v>
      </c>
      <c r="B18" s="173"/>
      <c r="C18" s="173"/>
      <c r="D18" s="173"/>
      <c r="E18" s="173"/>
      <c r="F18" s="173"/>
    </row>
    <row r="19" spans="1:6" ht="48" customHeight="1" x14ac:dyDescent="0.25">
      <c r="A19" s="173" t="s">
        <v>1048</v>
      </c>
      <c r="B19" s="173"/>
      <c r="C19" s="173"/>
      <c r="D19" s="173"/>
      <c r="E19" s="173"/>
      <c r="F19" s="173"/>
    </row>
    <row r="20" spans="1:6" ht="48" customHeight="1" x14ac:dyDescent="0.25">
      <c r="A20" s="173" t="s">
        <v>1049</v>
      </c>
      <c r="B20" s="173"/>
      <c r="C20" s="173"/>
      <c r="D20" s="173"/>
      <c r="E20" s="173"/>
      <c r="F20" s="173"/>
    </row>
  </sheetData>
  <mergeCells count="9">
    <mergeCell ref="A18:F18"/>
    <mergeCell ref="A19:F19"/>
    <mergeCell ref="A20:F20"/>
    <mergeCell ref="A1:F1"/>
    <mergeCell ref="A3:F3"/>
    <mergeCell ref="A14:F14"/>
    <mergeCell ref="A15:F15"/>
    <mergeCell ref="A16:F16"/>
    <mergeCell ref="A17:F1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2E7-EB9A-4EB1-97CD-C171A390E027}">
  <sheetPr codeName="Sheet26"/>
  <dimension ref="A1:N22"/>
  <sheetViews>
    <sheetView workbookViewId="0">
      <selection activeCell="I9" sqref="I9"/>
    </sheetView>
  </sheetViews>
  <sheetFormatPr defaultColWidth="16.140625" defaultRowHeight="15" x14ac:dyDescent="0.25"/>
  <cols>
    <col min="13" max="13" width="26.85546875" customWidth="1"/>
  </cols>
  <sheetData>
    <row r="1" spans="1:14" ht="20.25" x14ac:dyDescent="0.25">
      <c r="A1" s="174" t="s">
        <v>1051</v>
      </c>
      <c r="B1" s="174"/>
      <c r="C1" s="174"/>
      <c r="D1" s="174"/>
      <c r="E1" s="174"/>
      <c r="F1" s="174"/>
      <c r="G1" s="174"/>
    </row>
    <row r="3" spans="1:14" ht="15.75" x14ac:dyDescent="0.25">
      <c r="A3" s="175" t="s">
        <v>1052</v>
      </c>
      <c r="B3" s="175"/>
      <c r="C3" s="175"/>
      <c r="D3" s="175"/>
      <c r="E3" s="175"/>
      <c r="F3" s="175"/>
      <c r="G3" s="175"/>
    </row>
    <row r="4" spans="1:14" x14ac:dyDescent="0.25">
      <c r="A4" s="1" t="s">
        <v>1053</v>
      </c>
      <c r="B4" s="1" t="s">
        <v>1054</v>
      </c>
      <c r="C4" s="1" t="s">
        <v>23</v>
      </c>
      <c r="D4" s="1" t="s">
        <v>1055</v>
      </c>
      <c r="E4" s="1" t="s">
        <v>1056</v>
      </c>
      <c r="F4" s="1" t="s">
        <v>976</v>
      </c>
      <c r="G4" s="1" t="s">
        <v>1057</v>
      </c>
      <c r="H4" s="4" t="s">
        <v>42</v>
      </c>
      <c r="I4" s="4" t="s">
        <v>50</v>
      </c>
      <c r="J4" s="4" t="s">
        <v>51</v>
      </c>
      <c r="K4" s="4" t="s">
        <v>52</v>
      </c>
      <c r="L4" s="4" t="s">
        <v>953</v>
      </c>
      <c r="M4" s="4" t="s">
        <v>1083</v>
      </c>
      <c r="N4" s="4" t="s">
        <v>1084</v>
      </c>
    </row>
    <row r="5" spans="1:14" ht="31.9" customHeight="1" x14ac:dyDescent="0.25">
      <c r="A5" s="2" t="s">
        <v>1058</v>
      </c>
      <c r="B5" s="2" t="s">
        <v>1059</v>
      </c>
      <c r="C5" s="2" t="s">
        <v>1060</v>
      </c>
      <c r="D5" s="2">
        <v>40</v>
      </c>
      <c r="E5" s="2">
        <v>20</v>
      </c>
      <c r="F5" s="2">
        <v>850</v>
      </c>
      <c r="G5" s="2"/>
      <c r="H5" cm="1">
        <f t="array" ref="H5">SUMPRODUCT(--(D5:D12&lt;E5:E12))</f>
        <v>4</v>
      </c>
      <c r="I5">
        <f>COUNTIFS(C5:C12,"ELECTRONICS",D5:D12,0)</f>
        <v>2</v>
      </c>
      <c r="J5">
        <f>COUNTA(B5:B12)</f>
        <v>7</v>
      </c>
      <c r="K5">
        <f>COUNTBLANK(B5:B12)</f>
        <v>1</v>
      </c>
      <c r="L5">
        <f>SUMPRODUCT(D5:D12,F5:F12)</f>
        <v>55900</v>
      </c>
      <c r="M5" t="str">
        <f>A5&amp;" - "&amp;B5</f>
        <v xml:space="preserve">  itm-001 - rice bag 25kg</v>
      </c>
      <c r="N5" t="s">
        <v>412</v>
      </c>
    </row>
    <row r="6" spans="1:14" ht="31.9" customHeight="1" x14ac:dyDescent="0.25">
      <c r="A6" s="3" t="s">
        <v>1061</v>
      </c>
      <c r="B6" s="3" t="s">
        <v>1062</v>
      </c>
      <c r="C6" s="3" t="s">
        <v>1060</v>
      </c>
      <c r="D6" s="3">
        <v>8</v>
      </c>
      <c r="E6" s="3">
        <v>15</v>
      </c>
      <c r="F6" s="3">
        <v>620</v>
      </c>
      <c r="G6" s="3"/>
      <c r="M6" t="str">
        <f t="shared" ref="M6:M12" si="0">A6&amp;" - "&amp;B6</f>
        <v>ITM-002 - Cooking Oil 5L</v>
      </c>
      <c r="N6" t="str">
        <f t="shared" ref="N6:N12" si="1">UPPER(TRIM(A6))</f>
        <v>ITM-002</v>
      </c>
    </row>
    <row r="7" spans="1:14" ht="31.9" customHeight="1" x14ac:dyDescent="0.25">
      <c r="A7" s="2" t="s">
        <v>1063</v>
      </c>
      <c r="B7" s="2" t="s">
        <v>1064</v>
      </c>
      <c r="C7" s="2" t="s">
        <v>988</v>
      </c>
      <c r="D7" s="2">
        <v>0</v>
      </c>
      <c r="E7" s="2">
        <v>10</v>
      </c>
      <c r="F7" s="2">
        <v>210</v>
      </c>
      <c r="G7" s="2"/>
      <c r="M7" t="str">
        <f t="shared" si="0"/>
        <v>ITM-003 -   LED Tube Light</v>
      </c>
      <c r="N7" t="str">
        <f t="shared" si="1"/>
        <v>ITM-003</v>
      </c>
    </row>
    <row r="8" spans="1:14" ht="31.9" customHeight="1" x14ac:dyDescent="0.25">
      <c r="A8" s="3" t="s">
        <v>1065</v>
      </c>
      <c r="B8" s="3" t="s">
        <v>1066</v>
      </c>
      <c r="C8" s="3" t="s">
        <v>1067</v>
      </c>
      <c r="D8" s="3">
        <v>65</v>
      </c>
      <c r="E8" s="3">
        <v>30</v>
      </c>
      <c r="F8" s="3">
        <v>140</v>
      </c>
      <c r="G8" s="3"/>
      <c r="M8" t="str">
        <f t="shared" si="0"/>
        <v>ITM-004 - Notebook Pack</v>
      </c>
      <c r="N8" t="str">
        <f t="shared" si="1"/>
        <v>ITM-004</v>
      </c>
    </row>
    <row r="9" spans="1:14" ht="31.9" customHeight="1" x14ac:dyDescent="0.25">
      <c r="A9" s="2" t="s">
        <v>1068</v>
      </c>
      <c r="B9" s="2" t="s">
        <v>1069</v>
      </c>
      <c r="C9" s="2" t="s">
        <v>988</v>
      </c>
      <c r="D9" s="2">
        <v>5</v>
      </c>
      <c r="E9" s="2">
        <v>12</v>
      </c>
      <c r="F9" s="2">
        <v>550</v>
      </c>
      <c r="G9" s="2"/>
      <c r="M9" t="str">
        <f t="shared" si="0"/>
        <v>ITM-005 - wireless mouse</v>
      </c>
      <c r="N9" t="str">
        <f t="shared" si="1"/>
        <v>ITM-005</v>
      </c>
    </row>
    <row r="10" spans="1:14" ht="31.9" customHeight="1" x14ac:dyDescent="0.25">
      <c r="A10" s="3" t="s">
        <v>1070</v>
      </c>
      <c r="B10" s="3" t="s">
        <v>1071</v>
      </c>
      <c r="C10" s="3" t="s">
        <v>1060</v>
      </c>
      <c r="D10" s="3">
        <v>22</v>
      </c>
      <c r="E10" s="3">
        <v>20</v>
      </c>
      <c r="F10" s="3">
        <v>95</v>
      </c>
      <c r="G10" s="3"/>
      <c r="M10" t="str">
        <f t="shared" si="0"/>
        <v>ITM-006 - Detergent 1kg</v>
      </c>
      <c r="N10" t="str">
        <f t="shared" si="1"/>
        <v>ITM-006</v>
      </c>
    </row>
    <row r="11" spans="1:14" ht="31.9" customHeight="1" x14ac:dyDescent="0.25">
      <c r="A11" s="2" t="s">
        <v>1072</v>
      </c>
      <c r="B11" s="2"/>
      <c r="C11" s="2" t="s">
        <v>988</v>
      </c>
      <c r="D11" s="2">
        <v>0</v>
      </c>
      <c r="E11" s="2">
        <v>10</v>
      </c>
      <c r="F11" s="2">
        <v>999</v>
      </c>
      <c r="G11" s="2"/>
      <c r="M11" t="str">
        <f t="shared" si="0"/>
        <v xml:space="preserve">ITM-007 - </v>
      </c>
      <c r="N11" t="str">
        <f t="shared" si="1"/>
        <v>ITM-007</v>
      </c>
    </row>
    <row r="12" spans="1:14" ht="31.9" customHeight="1" x14ac:dyDescent="0.25">
      <c r="A12" s="3" t="s">
        <v>1073</v>
      </c>
      <c r="B12" s="3" t="s">
        <v>1074</v>
      </c>
      <c r="C12" s="3" t="s">
        <v>1067</v>
      </c>
      <c r="D12" s="3">
        <v>50</v>
      </c>
      <c r="E12" s="3">
        <v>25</v>
      </c>
      <c r="F12" s="3">
        <v>60</v>
      </c>
      <c r="G12" s="3"/>
      <c r="M12" t="str">
        <f t="shared" si="0"/>
        <v xml:space="preserve">ITM-008 -   ball pen box  </v>
      </c>
      <c r="N12" t="str">
        <f t="shared" si="1"/>
        <v>ITM-008</v>
      </c>
    </row>
    <row r="14" spans="1:14" ht="15.75" x14ac:dyDescent="0.25">
      <c r="A14" s="176" t="s">
        <v>796</v>
      </c>
      <c r="B14" s="176"/>
      <c r="C14" s="176"/>
      <c r="D14" s="176"/>
      <c r="E14" s="176"/>
      <c r="F14" s="176"/>
      <c r="G14" s="176"/>
    </row>
    <row r="15" spans="1:14" ht="31.9" customHeight="1" x14ac:dyDescent="0.25">
      <c r="A15" s="173" t="s">
        <v>1075</v>
      </c>
      <c r="B15" s="173"/>
      <c r="C15" s="173"/>
      <c r="D15" s="173"/>
      <c r="E15" s="173"/>
      <c r="F15" s="173"/>
      <c r="G15" s="173"/>
    </row>
    <row r="16" spans="1:14" ht="31.9" customHeight="1" x14ac:dyDescent="0.25">
      <c r="A16" s="173" t="s">
        <v>1076</v>
      </c>
      <c r="B16" s="173"/>
      <c r="C16" s="173"/>
      <c r="D16" s="173"/>
      <c r="E16" s="173"/>
      <c r="F16" s="173"/>
      <c r="G16" s="173"/>
    </row>
    <row r="17" spans="1:7" ht="31.9" customHeight="1" x14ac:dyDescent="0.25">
      <c r="A17" s="173" t="s">
        <v>1077</v>
      </c>
      <c r="B17" s="173"/>
      <c r="C17" s="173"/>
      <c r="D17" s="173"/>
      <c r="E17" s="173"/>
      <c r="F17" s="173"/>
      <c r="G17" s="173"/>
    </row>
    <row r="18" spans="1:7" ht="31.9" customHeight="1" x14ac:dyDescent="0.25">
      <c r="A18" s="173" t="s">
        <v>1078</v>
      </c>
      <c r="B18" s="173"/>
      <c r="C18" s="173"/>
      <c r="D18" s="173"/>
      <c r="E18" s="173"/>
      <c r="F18" s="173"/>
      <c r="G18" s="173"/>
    </row>
    <row r="19" spans="1:7" ht="31.9" customHeight="1" x14ac:dyDescent="0.25">
      <c r="A19" s="173" t="s">
        <v>1079</v>
      </c>
      <c r="B19" s="173"/>
      <c r="C19" s="173"/>
      <c r="D19" s="173"/>
      <c r="E19" s="173"/>
      <c r="F19" s="173"/>
      <c r="G19" s="173"/>
    </row>
    <row r="20" spans="1:7" ht="31.9" customHeight="1" x14ac:dyDescent="0.25">
      <c r="A20" s="173" t="s">
        <v>1080</v>
      </c>
      <c r="B20" s="173"/>
      <c r="C20" s="173"/>
      <c r="D20" s="173"/>
      <c r="E20" s="173"/>
      <c r="F20" s="173"/>
      <c r="G20" s="173"/>
    </row>
    <row r="21" spans="1:7" ht="31.9" customHeight="1" x14ac:dyDescent="0.25">
      <c r="A21" s="173" t="s">
        <v>1081</v>
      </c>
      <c r="B21" s="173"/>
      <c r="C21" s="173"/>
      <c r="D21" s="173"/>
      <c r="E21" s="173"/>
      <c r="F21" s="173"/>
      <c r="G21" s="173"/>
    </row>
    <row r="22" spans="1:7" ht="31.9" customHeight="1" x14ac:dyDescent="0.25">
      <c r="A22" s="173" t="s">
        <v>1082</v>
      </c>
      <c r="B22" s="173"/>
      <c r="C22" s="173"/>
      <c r="D22" s="173"/>
      <c r="E22" s="173"/>
      <c r="F22" s="173"/>
      <c r="G22" s="173"/>
    </row>
  </sheetData>
  <mergeCells count="11">
    <mergeCell ref="A17:G17"/>
    <mergeCell ref="A1:G1"/>
    <mergeCell ref="A3:G3"/>
    <mergeCell ref="A14:G14"/>
    <mergeCell ref="A15:G15"/>
    <mergeCell ref="A16:G16"/>
    <mergeCell ref="A18:G18"/>
    <mergeCell ref="A19:G19"/>
    <mergeCell ref="A20:G20"/>
    <mergeCell ref="A21:G21"/>
    <mergeCell ref="A22:G2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4DB7-0944-4F21-9D4C-29CDAA467E54}">
  <sheetPr codeName="Sheet27">
    <outlinePr summaryBelow="0"/>
  </sheetPr>
  <dimension ref="B1:G12"/>
  <sheetViews>
    <sheetView showGridLines="0" workbookViewId="0"/>
  </sheetViews>
  <sheetFormatPr defaultRowHeight="15" outlineLevelRow="1" outlineLevelCol="1" x14ac:dyDescent="0.25"/>
  <cols>
    <col min="3" max="3" width="6.140625" bestFit="1" customWidth="1"/>
    <col min="4" max="7" width="13.140625" bestFit="1" customWidth="1" outlineLevel="1"/>
  </cols>
  <sheetData>
    <row r="1" spans="2:7" ht="15.75" thickBot="1" x14ac:dyDescent="0.3"/>
    <row r="2" spans="2:7" ht="15.75" x14ac:dyDescent="0.25">
      <c r="B2" s="116" t="s">
        <v>1111</v>
      </c>
      <c r="C2" s="116"/>
      <c r="D2" s="121"/>
      <c r="E2" s="121"/>
      <c r="F2" s="121"/>
      <c r="G2" s="121"/>
    </row>
    <row r="3" spans="2:7" ht="15.75" collapsed="1" x14ac:dyDescent="0.25">
      <c r="B3" s="115"/>
      <c r="C3" s="115"/>
      <c r="D3" s="122" t="s">
        <v>1113</v>
      </c>
      <c r="E3" s="122" t="s">
        <v>1107</v>
      </c>
      <c r="F3" s="122" t="s">
        <v>1109</v>
      </c>
      <c r="G3" s="122" t="s">
        <v>1110</v>
      </c>
    </row>
    <row r="4" spans="2:7" ht="33.75" hidden="1" outlineLevel="1" x14ac:dyDescent="0.25">
      <c r="B4" s="118"/>
      <c r="C4" s="118"/>
      <c r="E4" s="124" t="s">
        <v>1108</v>
      </c>
      <c r="F4" s="124" t="s">
        <v>1108</v>
      </c>
      <c r="G4" s="124" t="s">
        <v>1108</v>
      </c>
    </row>
    <row r="5" spans="2:7" x14ac:dyDescent="0.25">
      <c r="B5" s="119" t="s">
        <v>1112</v>
      </c>
      <c r="C5" s="119"/>
      <c r="D5" s="117"/>
      <c r="E5" s="117"/>
      <c r="F5" s="117"/>
      <c r="G5" s="117"/>
    </row>
    <row r="6" spans="2:7" outlineLevel="1" x14ac:dyDescent="0.25">
      <c r="B6" s="118"/>
      <c r="C6" s="118" t="s">
        <v>1104</v>
      </c>
      <c r="D6">
        <v>1000</v>
      </c>
      <c r="E6" s="123">
        <v>1400</v>
      </c>
      <c r="F6" s="123">
        <v>650</v>
      </c>
      <c r="G6" s="123">
        <v>1000</v>
      </c>
    </row>
    <row r="7" spans="2:7" outlineLevel="1" x14ac:dyDescent="0.25">
      <c r="B7" s="118"/>
      <c r="C7" s="118" t="s">
        <v>1105</v>
      </c>
      <c r="D7">
        <v>850</v>
      </c>
      <c r="E7" s="123">
        <v>900</v>
      </c>
      <c r="F7" s="123">
        <v>780</v>
      </c>
      <c r="G7" s="123">
        <v>850</v>
      </c>
    </row>
    <row r="8" spans="2:7" x14ac:dyDescent="0.25">
      <c r="B8" s="119" t="s">
        <v>1114</v>
      </c>
      <c r="C8" s="119"/>
      <c r="D8" s="117"/>
      <c r="E8" s="117"/>
      <c r="F8" s="117"/>
      <c r="G8" s="117"/>
    </row>
    <row r="9" spans="2:7" ht="15.75" outlineLevel="1" thickBot="1" x14ac:dyDescent="0.3">
      <c r="B9" s="120"/>
      <c r="C9" s="120" t="s">
        <v>1106</v>
      </c>
      <c r="D9" s="114">
        <v>150000</v>
      </c>
      <c r="E9" s="114">
        <v>352000</v>
      </c>
      <c r="F9" s="114">
        <v>-11000</v>
      </c>
      <c r="G9" s="114">
        <v>150000</v>
      </c>
    </row>
    <row r="10" spans="2:7" x14ac:dyDescent="0.25">
      <c r="B10" t="s">
        <v>1115</v>
      </c>
    </row>
    <row r="11" spans="2:7" x14ac:dyDescent="0.25">
      <c r="B11" t="s">
        <v>1116</v>
      </c>
    </row>
    <row r="12" spans="2:7" x14ac:dyDescent="0.25">
      <c r="B12" t="s">
        <v>1117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91D2-C317-4A0A-BABA-D3A713E17EF3}">
  <sheetPr codeName="Sheet28"/>
  <dimension ref="A1:P23"/>
  <sheetViews>
    <sheetView zoomScale="80" zoomScaleNormal="80" workbookViewId="0">
      <selection activeCell="F2" sqref="A2:F9"/>
    </sheetView>
  </sheetViews>
  <sheetFormatPr defaultColWidth="19" defaultRowHeight="45.75" customHeight="1" x14ac:dyDescent="0.25"/>
  <cols>
    <col min="1" max="1" width="26.28515625" customWidth="1"/>
    <col min="6" max="6" width="25.42578125" customWidth="1"/>
    <col min="7" max="7" width="12.7109375" customWidth="1"/>
  </cols>
  <sheetData>
    <row r="1" spans="1:16" ht="45.75" customHeight="1" x14ac:dyDescent="0.25">
      <c r="A1" s="177" t="s">
        <v>1085</v>
      </c>
      <c r="B1" s="177"/>
      <c r="C1" s="177"/>
      <c r="D1" s="177"/>
      <c r="E1" s="177"/>
      <c r="F1" s="177"/>
    </row>
    <row r="2" spans="1:16" ht="45.75" customHeight="1" x14ac:dyDescent="0.25">
      <c r="G2" s="111">
        <v>7.0000000000000007E-2</v>
      </c>
      <c r="H2" s="112">
        <f>B7</f>
        <v>24999.999880180229</v>
      </c>
    </row>
    <row r="3" spans="1:16" ht="45.75" customHeight="1" x14ac:dyDescent="0.25">
      <c r="A3" t="s">
        <v>1086</v>
      </c>
      <c r="G3" s="111">
        <v>7.4999999999999997E-2</v>
      </c>
      <c r="H3" s="112">
        <f t="dataTable" ref="H3:H10" dt2D="0" dtr="0" r1="B5"/>
        <v>23567.552231949474</v>
      </c>
    </row>
    <row r="4" spans="1:16" ht="45.75" customHeight="1" x14ac:dyDescent="0.25">
      <c r="A4" t="s">
        <v>1087</v>
      </c>
      <c r="B4">
        <v>2500000</v>
      </c>
      <c r="G4" s="111">
        <v>0.08</v>
      </c>
      <c r="H4" s="112">
        <v>24278.302997358205</v>
      </c>
    </row>
    <row r="5" spans="1:16" ht="45.75" customHeight="1" x14ac:dyDescent="0.25">
      <c r="A5" t="s">
        <v>1088</v>
      </c>
      <c r="B5">
        <v>8.5000000000000006E-2</v>
      </c>
      <c r="G5" s="111">
        <v>8.5000000000000006E-2</v>
      </c>
      <c r="H5" s="112">
        <v>24999.999880180229</v>
      </c>
    </row>
    <row r="6" spans="1:16" ht="45.75" customHeight="1" x14ac:dyDescent="0.25">
      <c r="A6" t="s">
        <v>1089</v>
      </c>
      <c r="B6">
        <v>14.547087077461532</v>
      </c>
      <c r="G6" s="111">
        <v>0.09</v>
      </c>
      <c r="H6" s="112">
        <v>25732.453615207825</v>
      </c>
    </row>
    <row r="7" spans="1:16" ht="45.75" customHeight="1" x14ac:dyDescent="0.25">
      <c r="A7" t="s">
        <v>1090</v>
      </c>
      <c r="B7">
        <f>-PMT(B5/12,B6*12,B4)</f>
        <v>24999.999880180229</v>
      </c>
      <c r="G7" s="111">
        <v>9.5000000000000001E-2</v>
      </c>
      <c r="H7" s="112">
        <v>26475.468166157589</v>
      </c>
    </row>
    <row r="8" spans="1:16" ht="45.75" customHeight="1" x14ac:dyDescent="0.25">
      <c r="G8" s="111">
        <v>9.9999999999999895E-2</v>
      </c>
      <c r="H8" s="112">
        <v>27228.841329386411</v>
      </c>
    </row>
    <row r="9" spans="1:16" ht="45.75" customHeight="1" x14ac:dyDescent="0.25">
      <c r="A9" t="s">
        <v>1091</v>
      </c>
      <c r="G9" s="111">
        <v>0.105</v>
      </c>
      <c r="H9" s="112">
        <v>27992.365340927816</v>
      </c>
    </row>
    <row r="10" spans="1:16" ht="45.75" customHeight="1" x14ac:dyDescent="0.25">
      <c r="A10" s="163" t="s">
        <v>1092</v>
      </c>
      <c r="B10" s="163" t="s">
        <v>1093</v>
      </c>
      <c r="G10" s="111">
        <v>0.11</v>
      </c>
      <c r="H10" s="112">
        <v>28765.827483628786</v>
      </c>
    </row>
    <row r="11" spans="1:16" ht="45.75" customHeight="1" x14ac:dyDescent="0.25">
      <c r="A11" s="2" t="s">
        <v>1094</v>
      </c>
      <c r="B11" s="2">
        <v>2060.6060606060605</v>
      </c>
      <c r="G11" s="105"/>
      <c r="H11" s="113"/>
    </row>
    <row r="12" spans="1:16" ht="45.75" customHeight="1" x14ac:dyDescent="0.25">
      <c r="A12" s="3" t="s">
        <v>1095</v>
      </c>
      <c r="B12" s="3">
        <v>850</v>
      </c>
    </row>
    <row r="13" spans="1:16" ht="45.75" customHeight="1" x14ac:dyDescent="0.25">
      <c r="A13" s="2" t="s">
        <v>1096</v>
      </c>
      <c r="B13" s="2">
        <v>520</v>
      </c>
      <c r="G13" s="109">
        <f>B7</f>
        <v>24999.999880180229</v>
      </c>
      <c r="H13" s="106">
        <v>7.0000000000000007E-2</v>
      </c>
      <c r="I13" s="107">
        <v>7.4999999999999997E-2</v>
      </c>
      <c r="J13" s="106">
        <v>0.08</v>
      </c>
      <c r="K13" s="107">
        <v>8.5000000000000006E-2</v>
      </c>
      <c r="L13" s="106">
        <v>0.09</v>
      </c>
      <c r="M13" s="107">
        <v>9.5000000000000001E-2</v>
      </c>
      <c r="N13" s="106">
        <v>9.9999999999999895E-2</v>
      </c>
      <c r="O13" s="107">
        <v>0.105</v>
      </c>
      <c r="P13" s="106">
        <v>0.11</v>
      </c>
    </row>
    <row r="14" spans="1:16" ht="45.75" customHeight="1" x14ac:dyDescent="0.25">
      <c r="A14" s="3" t="s">
        <v>1097</v>
      </c>
      <c r="B14" s="3">
        <v>180000</v>
      </c>
      <c r="G14" s="108">
        <v>10</v>
      </c>
      <c r="H14" s="109">
        <f t="dataTable" ref="H14:P17" dt2D="1" dtr="1" r1="B5" r2="B6"/>
        <v>24999.999880180229</v>
      </c>
      <c r="I14" s="110">
        <v>24999.999880180229</v>
      </c>
      <c r="J14" s="110">
        <v>24999.999880180229</v>
      </c>
      <c r="K14" s="110">
        <v>24999.999880180229</v>
      </c>
      <c r="L14" s="110">
        <v>24999.999880180229</v>
      </c>
      <c r="M14" s="110">
        <v>24999.999880180229</v>
      </c>
      <c r="N14" s="110">
        <v>24999.999880180229</v>
      </c>
      <c r="O14" s="110">
        <v>24999.999880180229</v>
      </c>
      <c r="P14" s="110">
        <v>24999.999880180229</v>
      </c>
    </row>
    <row r="15" spans="1:16" ht="45.75" customHeight="1" x14ac:dyDescent="0.25">
      <c r="A15" s="2" t="s">
        <v>1098</v>
      </c>
      <c r="B15" s="2" t="s">
        <v>172</v>
      </c>
      <c r="G15" s="108">
        <v>15</v>
      </c>
      <c r="H15" s="110">
        <v>24999.999880180229</v>
      </c>
      <c r="I15" s="110">
        <v>24999.999880180229</v>
      </c>
      <c r="J15" s="110">
        <v>24999.999880180229</v>
      </c>
      <c r="K15" s="110">
        <v>24999.999880180229</v>
      </c>
      <c r="L15" s="110">
        <v>24999.999880180229</v>
      </c>
      <c r="M15" s="110">
        <v>24999.999880180229</v>
      </c>
      <c r="N15" s="110">
        <v>24999.999880180229</v>
      </c>
      <c r="O15" s="110">
        <v>24999.999880180229</v>
      </c>
      <c r="P15" s="110">
        <v>24999.999880180229</v>
      </c>
    </row>
    <row r="16" spans="1:16" ht="45.75" customHeight="1" x14ac:dyDescent="0.25">
      <c r="G16" s="108">
        <v>20</v>
      </c>
      <c r="H16" s="110">
        <v>24999.999880180229</v>
      </c>
      <c r="I16" s="110">
        <v>24999.999880180229</v>
      </c>
      <c r="J16" s="110">
        <v>24999.999880180229</v>
      </c>
      <c r="K16" s="110">
        <v>24999.999880180229</v>
      </c>
      <c r="L16" s="110">
        <v>24999.999880180229</v>
      </c>
      <c r="M16" s="110">
        <v>24999.999880180229</v>
      </c>
      <c r="N16" s="110">
        <v>24999.999880180229</v>
      </c>
      <c r="O16" s="110">
        <v>24999.999880180229</v>
      </c>
      <c r="P16" s="110">
        <v>24999.999880180229</v>
      </c>
    </row>
    <row r="17" spans="1:16" ht="45.75" customHeight="1" x14ac:dyDescent="0.25">
      <c r="G17" s="108">
        <v>25</v>
      </c>
      <c r="H17" s="110">
        <v>24999.999880180229</v>
      </c>
      <c r="I17" s="110">
        <v>24999.999880180229</v>
      </c>
      <c r="J17" s="110">
        <v>24999.999880180229</v>
      </c>
      <c r="K17" s="110">
        <v>24999.999880180229</v>
      </c>
      <c r="L17" s="110">
        <v>24999.999880180229</v>
      </c>
      <c r="M17" s="110">
        <v>24999.999880180229</v>
      </c>
      <c r="N17" s="110">
        <v>24999.999880180229</v>
      </c>
      <c r="O17" s="110">
        <v>24999.999880180229</v>
      </c>
      <c r="P17" s="110">
        <v>24999.999880180229</v>
      </c>
    </row>
    <row r="18" spans="1:16" ht="45.75" customHeight="1" x14ac:dyDescent="0.25">
      <c r="A18" s="176" t="s">
        <v>796</v>
      </c>
      <c r="B18" s="176"/>
      <c r="C18" s="176"/>
      <c r="D18" s="176"/>
      <c r="E18" s="176"/>
      <c r="F18" s="176"/>
    </row>
    <row r="19" spans="1:16" ht="45.75" customHeight="1" x14ac:dyDescent="0.25">
      <c r="A19" s="173" t="s">
        <v>1099</v>
      </c>
      <c r="B19" s="173"/>
      <c r="C19" s="173"/>
      <c r="D19" s="173"/>
      <c r="E19" s="173"/>
      <c r="F19" s="173"/>
    </row>
    <row r="20" spans="1:16" ht="45.75" customHeight="1" x14ac:dyDescent="0.25">
      <c r="A20" s="173" t="s">
        <v>1100</v>
      </c>
      <c r="B20" s="173"/>
      <c r="C20" s="173"/>
      <c r="D20" s="173"/>
      <c r="E20" s="173"/>
      <c r="F20" s="173"/>
    </row>
    <row r="21" spans="1:16" ht="45.75" customHeight="1" x14ac:dyDescent="0.25">
      <c r="A21" s="173" t="s">
        <v>1101</v>
      </c>
      <c r="B21" s="173"/>
      <c r="C21" s="173"/>
      <c r="D21" s="173"/>
      <c r="E21" s="173"/>
      <c r="F21" s="173"/>
    </row>
    <row r="22" spans="1:16" ht="45.75" customHeight="1" x14ac:dyDescent="0.25">
      <c r="A22" s="173" t="s">
        <v>1102</v>
      </c>
      <c r="B22" s="173"/>
      <c r="C22" s="173"/>
      <c r="D22" s="173"/>
      <c r="E22" s="173"/>
      <c r="F22" s="173"/>
    </row>
    <row r="23" spans="1:16" ht="45.75" customHeight="1" x14ac:dyDescent="0.25">
      <c r="A23" s="173" t="s">
        <v>1103</v>
      </c>
      <c r="B23" s="173"/>
      <c r="C23" s="173"/>
      <c r="D23" s="173"/>
      <c r="E23" s="173"/>
      <c r="F23" s="173"/>
    </row>
  </sheetData>
  <scenarios current="0" sqref="B15">
    <scenario name="Best case" locked="1" count="2" user="software" comment="Created by software on 29-09-2026">
      <inputCells r="B11" val="1400"/>
      <inputCells r="B12" val="900"/>
    </scenario>
    <scenario name="Worst case" locked="1" count="2" user="software" comment="Created by software on 29-09-2026">
      <inputCells r="B11" val="650"/>
      <inputCells r="B12" val="780"/>
    </scenario>
    <scenario name="Most Likely" locked="1" count="2" user="software" comment="Created by software on 29-09-2026">
      <inputCells r="B11" val="1000"/>
      <inputCells r="B12" val="850"/>
    </scenario>
  </scenarios>
  <mergeCells count="7">
    <mergeCell ref="A21:F21"/>
    <mergeCell ref="A22:F22"/>
    <mergeCell ref="A23:F23"/>
    <mergeCell ref="A1:F1"/>
    <mergeCell ref="A18:F18"/>
    <mergeCell ref="A19:F19"/>
    <mergeCell ref="A20:F2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0287C-DDCA-4075-8345-EB7F42AB7508}">
  <sheetPr codeName="Sheet29"/>
  <dimension ref="A1:G15"/>
  <sheetViews>
    <sheetView zoomScale="77" zoomScaleNormal="77" workbookViewId="0">
      <selection activeCell="G8" sqref="G8"/>
    </sheetView>
  </sheetViews>
  <sheetFormatPr defaultColWidth="18.7109375" defaultRowHeight="28.5" customHeight="1" x14ac:dyDescent="0.25"/>
  <sheetData>
    <row r="1" spans="1:7" ht="28.5" customHeight="1" x14ac:dyDescent="0.25">
      <c r="A1" s="174" t="s">
        <v>1118</v>
      </c>
      <c r="B1" s="174"/>
      <c r="C1" s="174"/>
      <c r="D1" s="174"/>
      <c r="E1" s="174"/>
      <c r="F1" s="174"/>
    </row>
    <row r="3" spans="1:7" ht="28.5" customHeight="1" x14ac:dyDescent="0.25">
      <c r="A3" s="175" t="s">
        <v>1119</v>
      </c>
      <c r="B3" s="175"/>
      <c r="C3" s="175"/>
      <c r="D3" s="175"/>
      <c r="E3" s="175"/>
      <c r="F3" s="175"/>
    </row>
    <row r="4" spans="1:7" ht="28.5" customHeight="1" x14ac:dyDescent="0.25">
      <c r="A4" s="1" t="s">
        <v>139</v>
      </c>
      <c r="B4" s="1" t="s">
        <v>1120</v>
      </c>
      <c r="C4" s="1" t="s">
        <v>1121</v>
      </c>
      <c r="D4" s="1" t="s">
        <v>127</v>
      </c>
      <c r="E4" s="1" t="s">
        <v>1122</v>
      </c>
      <c r="F4" s="1" t="s">
        <v>1123</v>
      </c>
      <c r="G4" s="4" t="s">
        <v>1140</v>
      </c>
    </row>
    <row r="5" spans="1:7" ht="28.5" customHeight="1" x14ac:dyDescent="0.25">
      <c r="A5" s="2" t="s">
        <v>1124</v>
      </c>
      <c r="B5" s="2" t="s">
        <v>1125</v>
      </c>
      <c r="C5" s="2" t="s">
        <v>988</v>
      </c>
      <c r="D5" s="2">
        <v>2</v>
      </c>
      <c r="E5" s="125">
        <v>46259</v>
      </c>
      <c r="F5" s="2" t="s">
        <v>1126</v>
      </c>
      <c r="G5">
        <v>3</v>
      </c>
    </row>
    <row r="6" spans="1:7" ht="28.5" customHeight="1" x14ac:dyDescent="0.25">
      <c r="A6" s="3" t="s">
        <v>1127</v>
      </c>
      <c r="B6" s="3" t="s">
        <v>1128</v>
      </c>
      <c r="C6" s="3" t="s">
        <v>1129</v>
      </c>
      <c r="D6" s="3">
        <v>5</v>
      </c>
      <c r="E6" s="126">
        <v>46261</v>
      </c>
      <c r="F6" s="3" t="s">
        <v>1130</v>
      </c>
      <c r="G6">
        <v>4</v>
      </c>
    </row>
    <row r="7" spans="1:7" ht="28.5" customHeight="1" x14ac:dyDescent="0.25">
      <c r="A7" s="2" t="s">
        <v>1131</v>
      </c>
      <c r="B7" s="2" t="s">
        <v>1132</v>
      </c>
      <c r="C7" s="2" t="s">
        <v>1060</v>
      </c>
      <c r="D7" s="2">
        <v>12</v>
      </c>
      <c r="E7" s="125">
        <v>46258</v>
      </c>
      <c r="F7" s="2" t="s">
        <v>1133</v>
      </c>
      <c r="G7">
        <v>2</v>
      </c>
    </row>
    <row r="9" spans="1:7" ht="28.5" customHeight="1" x14ac:dyDescent="0.25">
      <c r="A9" s="176" t="s">
        <v>796</v>
      </c>
      <c r="B9" s="176"/>
      <c r="C9" s="176"/>
      <c r="D9" s="176"/>
      <c r="E9" s="176"/>
      <c r="F9" s="176"/>
    </row>
    <row r="10" spans="1:7" ht="28.5" customHeight="1" x14ac:dyDescent="0.25">
      <c r="A10" s="173" t="s">
        <v>1134</v>
      </c>
      <c r="B10" s="173"/>
      <c r="C10" s="173"/>
      <c r="D10" s="173"/>
      <c r="E10" s="173"/>
      <c r="F10" s="173"/>
    </row>
    <row r="11" spans="1:7" ht="28.5" customHeight="1" x14ac:dyDescent="0.25">
      <c r="A11" s="173" t="s">
        <v>1135</v>
      </c>
      <c r="B11" s="173"/>
      <c r="C11" s="173"/>
      <c r="D11" s="173"/>
      <c r="E11" s="173"/>
      <c r="F11" s="173"/>
    </row>
    <row r="12" spans="1:7" ht="28.5" customHeight="1" x14ac:dyDescent="0.25">
      <c r="A12" s="173" t="s">
        <v>1136</v>
      </c>
      <c r="B12" s="173"/>
      <c r="C12" s="173"/>
      <c r="D12" s="173"/>
      <c r="E12" s="173"/>
      <c r="F12" s="173"/>
    </row>
    <row r="13" spans="1:7" ht="28.5" customHeight="1" x14ac:dyDescent="0.25">
      <c r="A13" s="173" t="s">
        <v>1137</v>
      </c>
      <c r="B13" s="173"/>
      <c r="C13" s="173"/>
      <c r="D13" s="173"/>
      <c r="E13" s="173"/>
      <c r="F13" s="173"/>
    </row>
    <row r="14" spans="1:7" ht="28.5" customHeight="1" x14ac:dyDescent="0.25">
      <c r="A14" s="173" t="s">
        <v>1138</v>
      </c>
      <c r="B14" s="173"/>
      <c r="C14" s="173"/>
      <c r="D14" s="173"/>
      <c r="E14" s="173"/>
      <c r="F14" s="173"/>
    </row>
    <row r="15" spans="1:7" ht="28.5" customHeight="1" x14ac:dyDescent="0.25">
      <c r="A15" s="173" t="s">
        <v>1139</v>
      </c>
      <c r="B15" s="173"/>
      <c r="C15" s="173"/>
      <c r="D15" s="173"/>
      <c r="E15" s="173"/>
      <c r="F15" s="173"/>
    </row>
  </sheetData>
  <mergeCells count="9">
    <mergeCell ref="A13:F13"/>
    <mergeCell ref="A14:F14"/>
    <mergeCell ref="A15:F15"/>
    <mergeCell ref="A1:F1"/>
    <mergeCell ref="A3:F3"/>
    <mergeCell ref="A9:F9"/>
    <mergeCell ref="A10:F10"/>
    <mergeCell ref="A11:F11"/>
    <mergeCell ref="A12:F12"/>
  </mergeCells>
  <dataValidations count="6">
    <dataValidation type="list" allowBlank="1" showInputMessage="1" showErrorMessage="1" sqref="C5:C7" xr:uid="{20989104-AA85-482D-9C9C-77CE3E4FF5B9}">
      <formula1>"Electronics,Clothing,Grocery,Furniture"</formula1>
    </dataValidation>
    <dataValidation type="whole" allowBlank="1" showInputMessage="1" showErrorMessage="1" errorTitle="STOP" error="Enter a value between 1 and 50" sqref="D5:D7" xr:uid="{00A02738-515D-4AE2-B6B4-26C7A2824D0D}">
      <formula1>1</formula1>
      <formula2>50</formula2>
    </dataValidation>
    <dataValidation type="date" operator="greaterThan" allowBlank="1" showInputMessage="1" showErrorMessage="1" errorTitle="STOP" error="Enter a date after today" sqref="E5:E7" xr:uid="{E5E91AD4-1D42-4FEC-B6E6-BF5DD69CEDD4}">
      <formula1>TODAY()</formula1>
    </dataValidation>
    <dataValidation type="list" allowBlank="1" showInputMessage="1" showErrorMessage="1" sqref="F5:F7" xr:uid="{3E140E14-1388-4304-9D88-A50CD8B50A73}">
      <formula1>"Cash,Card,UPI,NetBanking"</formula1>
    </dataValidation>
    <dataValidation type="custom" allowBlank="1" showInputMessage="1" showErrorMessage="1" error="Duplicate order id is not allowed" sqref="A5:A7" xr:uid="{0764E080-B664-4F21-9B90-70E13D895024}">
      <formula1>COUNTIF($A$5:$A$7,A5)&lt;=1</formula1>
    </dataValidation>
    <dataValidation type="whole" allowBlank="1" showInputMessage="1" showErrorMessage="1" error="Rating must be between 1and 5" sqref="G5" xr:uid="{A8531AD0-6F23-406F-B0C7-FE32CEC0F71D}">
      <formula1>1</formula1>
      <formula2>5</formula2>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492-2345-4C3B-B1EC-FAB068245CE4}">
  <sheetPr codeName="Sheet30"/>
  <dimension ref="A1:H24"/>
  <sheetViews>
    <sheetView zoomScale="82" zoomScaleNormal="82" workbookViewId="0">
      <selection activeCell="H9" sqref="H9"/>
    </sheetView>
  </sheetViews>
  <sheetFormatPr defaultColWidth="19" defaultRowHeight="15" x14ac:dyDescent="0.25"/>
  <sheetData>
    <row r="1" spans="1:8" ht="20.25" x14ac:dyDescent="0.25">
      <c r="A1" s="174" t="s">
        <v>1141</v>
      </c>
      <c r="B1" s="174"/>
      <c r="C1" s="174"/>
      <c r="D1" s="174"/>
      <c r="E1" s="174"/>
    </row>
    <row r="3" spans="1:8" ht="15.75" x14ac:dyDescent="0.25">
      <c r="A3" s="175" t="s">
        <v>1142</v>
      </c>
      <c r="B3" s="175"/>
      <c r="C3" s="175"/>
      <c r="D3" s="175"/>
      <c r="E3" s="175"/>
    </row>
    <row r="4" spans="1:8" x14ac:dyDescent="0.25">
      <c r="A4" s="1" t="s">
        <v>1143</v>
      </c>
      <c r="B4" s="1" t="s">
        <v>1144</v>
      </c>
      <c r="C4" s="1" t="s">
        <v>1145</v>
      </c>
      <c r="D4" s="1" t="s">
        <v>1146</v>
      </c>
    </row>
    <row r="5" spans="1:8" ht="39.6" customHeight="1" x14ac:dyDescent="0.25">
      <c r="A5" s="2" t="s">
        <v>149</v>
      </c>
      <c r="B5" s="127">
        <v>500000</v>
      </c>
      <c r="C5">
        <v>480000</v>
      </c>
      <c r="D5">
        <f t="shared" ref="D5:D13" si="0">C5/B5</f>
        <v>0.96</v>
      </c>
    </row>
    <row r="6" spans="1:8" ht="39.6" customHeight="1" x14ac:dyDescent="0.25">
      <c r="A6" s="3" t="s">
        <v>159</v>
      </c>
      <c r="B6" s="128">
        <v>450000</v>
      </c>
      <c r="C6">
        <v>510000</v>
      </c>
      <c r="D6">
        <f t="shared" si="0"/>
        <v>1.1333333333333333</v>
      </c>
    </row>
    <row r="7" spans="1:8" ht="39.6" customHeight="1" x14ac:dyDescent="0.25">
      <c r="A7" s="2" t="s">
        <v>164</v>
      </c>
      <c r="B7" s="127">
        <v>400000</v>
      </c>
      <c r="C7">
        <v>350000</v>
      </c>
      <c r="D7">
        <f t="shared" si="0"/>
        <v>0.875</v>
      </c>
    </row>
    <row r="8" spans="1:8" ht="39.6" customHeight="1" x14ac:dyDescent="0.25">
      <c r="A8" s="3" t="s">
        <v>21</v>
      </c>
      <c r="B8" s="128">
        <v>550000</v>
      </c>
      <c r="C8">
        <v>600000</v>
      </c>
      <c r="D8">
        <f t="shared" si="0"/>
        <v>1.0909090909090908</v>
      </c>
    </row>
    <row r="9" spans="1:8" ht="39.6" customHeight="1" x14ac:dyDescent="0.25">
      <c r="A9" s="2" t="s">
        <v>143</v>
      </c>
      <c r="B9" s="127">
        <v>480000</v>
      </c>
      <c r="C9">
        <v>460000</v>
      </c>
      <c r="D9">
        <f t="shared" si="0"/>
        <v>0.95833333333333337</v>
      </c>
      <c r="H9" t="s">
        <v>412</v>
      </c>
    </row>
    <row r="10" spans="1:8" ht="39.6" customHeight="1" x14ac:dyDescent="0.25">
      <c r="A10" s="3" t="s">
        <v>152</v>
      </c>
      <c r="B10" s="128">
        <v>420000</v>
      </c>
      <c r="C10">
        <v>430000</v>
      </c>
      <c r="D10">
        <f t="shared" si="0"/>
        <v>1.0238095238095237</v>
      </c>
    </row>
    <row r="11" spans="1:8" ht="39.6" customHeight="1" x14ac:dyDescent="0.25">
      <c r="A11" s="2" t="s">
        <v>817</v>
      </c>
      <c r="B11" s="127">
        <v>500000</v>
      </c>
      <c r="C11">
        <v>300000</v>
      </c>
      <c r="D11">
        <f t="shared" si="0"/>
        <v>0.6</v>
      </c>
    </row>
    <row r="12" spans="1:8" ht="39.6" customHeight="1" x14ac:dyDescent="0.25">
      <c r="A12" s="3" t="s">
        <v>818</v>
      </c>
      <c r="B12" s="128">
        <v>470000</v>
      </c>
      <c r="C12">
        <v>470000</v>
      </c>
      <c r="D12">
        <f t="shared" si="0"/>
        <v>1</v>
      </c>
    </row>
    <row r="13" spans="1:8" ht="39.6" customHeight="1" x14ac:dyDescent="0.25">
      <c r="A13" s="2" t="s">
        <v>149</v>
      </c>
      <c r="B13" s="127">
        <v>500000</v>
      </c>
      <c r="C13">
        <v>495000</v>
      </c>
      <c r="D13">
        <f t="shared" si="0"/>
        <v>0.99</v>
      </c>
    </row>
    <row r="15" spans="1:8" ht="39.6" customHeight="1" x14ac:dyDescent="0.25">
      <c r="A15" s="178"/>
      <c r="B15" s="178"/>
      <c r="C15" s="178"/>
      <c r="D15" s="178"/>
      <c r="E15" s="178"/>
    </row>
    <row r="17" spans="1:5" ht="15.75" x14ac:dyDescent="0.25">
      <c r="A17" s="176" t="s">
        <v>796</v>
      </c>
      <c r="B17" s="176"/>
      <c r="C17" s="176"/>
      <c r="D17" s="176"/>
      <c r="E17" s="176"/>
    </row>
    <row r="18" spans="1:5" ht="39.6" customHeight="1" x14ac:dyDescent="0.25">
      <c r="A18" s="173" t="s">
        <v>1147</v>
      </c>
      <c r="B18" s="173"/>
      <c r="C18" s="173"/>
      <c r="D18" s="173"/>
      <c r="E18" s="173"/>
    </row>
    <row r="19" spans="1:5" ht="39.6" customHeight="1" x14ac:dyDescent="0.25">
      <c r="A19" s="173" t="s">
        <v>1148</v>
      </c>
      <c r="B19" s="173"/>
      <c r="C19" s="173"/>
      <c r="D19" s="173"/>
      <c r="E19" s="173"/>
    </row>
    <row r="20" spans="1:5" ht="39.6" customHeight="1" x14ac:dyDescent="0.25">
      <c r="A20" s="173" t="s">
        <v>1149</v>
      </c>
      <c r="B20" s="173"/>
      <c r="C20" s="173"/>
      <c r="D20" s="173"/>
      <c r="E20" s="173"/>
    </row>
    <row r="21" spans="1:5" ht="39.6" customHeight="1" x14ac:dyDescent="0.25">
      <c r="A21" s="173" t="s">
        <v>1150</v>
      </c>
      <c r="B21" s="173"/>
      <c r="C21" s="173"/>
      <c r="D21" s="173"/>
      <c r="E21" s="173"/>
    </row>
    <row r="22" spans="1:5" ht="39.6" customHeight="1" x14ac:dyDescent="0.25">
      <c r="A22" s="173" t="s">
        <v>1151</v>
      </c>
      <c r="B22" s="173"/>
      <c r="C22" s="173"/>
      <c r="D22" s="173"/>
      <c r="E22" s="173"/>
    </row>
    <row r="23" spans="1:5" ht="39.6" customHeight="1" x14ac:dyDescent="0.25">
      <c r="A23" s="173" t="s">
        <v>1152</v>
      </c>
      <c r="B23" s="173"/>
      <c r="C23" s="173"/>
      <c r="D23" s="173"/>
      <c r="E23" s="173"/>
    </row>
    <row r="24" spans="1:5" ht="39.6" customHeight="1" x14ac:dyDescent="0.25">
      <c r="A24" s="173" t="s">
        <v>1153</v>
      </c>
      <c r="B24" s="173"/>
      <c r="C24" s="173"/>
      <c r="D24" s="173"/>
      <c r="E24" s="173"/>
    </row>
  </sheetData>
  <mergeCells count="11">
    <mergeCell ref="A20:E20"/>
    <mergeCell ref="A21:E21"/>
    <mergeCell ref="A22:E22"/>
    <mergeCell ref="A23:E23"/>
    <mergeCell ref="A24:E24"/>
    <mergeCell ref="A19:E19"/>
    <mergeCell ref="A1:E1"/>
    <mergeCell ref="A3:E3"/>
    <mergeCell ref="A15:E15"/>
    <mergeCell ref="A17:E17"/>
    <mergeCell ref="A18:E18"/>
  </mergeCells>
  <conditionalFormatting sqref="A5:A13">
    <cfRule type="duplicateValues" dxfId="9" priority="4"/>
  </conditionalFormatting>
  <conditionalFormatting sqref="A5:D13">
    <cfRule type="expression" dxfId="8" priority="3">
      <formula>$D5&lt;80%</formula>
    </cfRule>
  </conditionalFormatting>
  <conditionalFormatting sqref="C5:C13">
    <cfRule type="top10" dxfId="7" priority="1" percent="1" bottom="1" rank="10"/>
    <cfRule type="top10" dxfId="6" priority="2" percent="1" rank="10"/>
    <cfRule type="dataBar" priority="6">
      <dataBar>
        <cfvo type="min"/>
        <cfvo type="max"/>
        <color rgb="FFFF555A"/>
      </dataBar>
      <extLst>
        <ext xmlns:x14="http://schemas.microsoft.com/office/spreadsheetml/2009/9/main" uri="{B025F937-C7B1-47D3-B67F-A62EFF666E3E}">
          <x14:id>{05B94DC8-4848-4B32-A8C8-D31397620428}</x14:id>
        </ext>
      </extLst>
    </cfRule>
    <cfRule type="expression" dxfId="5" priority="8">
      <formula>C5&lt;B5</formula>
    </cfRule>
  </conditionalFormatting>
  <conditionalFormatting sqref="D5:D13">
    <cfRule type="iconSet" priority="5">
      <iconSet>
        <cfvo type="percent" val="0"/>
        <cfvo type="percent" val="&quot;80%-90%&quot;"/>
        <cfvo type="percent" val="1" gte="0"/>
      </iconSet>
    </cfRule>
    <cfRule type="iconSet" priority="7">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5B94DC8-4848-4B32-A8C8-D31397620428}">
            <x14:dataBar minLength="0" maxLength="100" gradient="0">
              <x14:cfvo type="autoMin"/>
              <x14:cfvo type="autoMax"/>
              <x14:negativeFillColor rgb="FFFF0000"/>
              <x14:axisColor rgb="FF000000"/>
            </x14:dataBar>
          </x14:cfRule>
          <xm:sqref>C5:C13</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FAC5-0D35-4334-8B65-E1AEF7EA632C}">
  <sheetPr codeName="Sheet31"/>
  <dimension ref="A1"/>
  <sheetViews>
    <sheetView workbookViewId="0"/>
  </sheetViews>
  <sheetFormatPr defaultRowHeight="15"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DEF7-9AEB-4FD9-8786-DA097341D1A2}">
  <sheetPr codeName="Sheet32"/>
  <dimension ref="A3:N82"/>
  <sheetViews>
    <sheetView topLeftCell="E25" workbookViewId="0">
      <selection activeCell="D84" sqref="D84"/>
    </sheetView>
  </sheetViews>
  <sheetFormatPr defaultRowHeight="15" x14ac:dyDescent="0.25"/>
  <cols>
    <col min="1" max="1" width="5.42578125" bestFit="1" customWidth="1"/>
    <col min="2" max="2" width="19" bestFit="1" customWidth="1"/>
    <col min="3" max="3" width="23.7109375" bestFit="1" customWidth="1"/>
    <col min="4" max="4" width="20" bestFit="1" customWidth="1"/>
    <col min="5" max="5" width="16" bestFit="1" customWidth="1"/>
    <col min="7" max="7" width="26" bestFit="1" customWidth="1"/>
    <col min="8" max="8" width="7" bestFit="1" customWidth="1"/>
    <col min="9" max="9" width="9.7109375" customWidth="1"/>
    <col min="10" max="10" width="22" bestFit="1" customWidth="1"/>
    <col min="11" max="13" width="7" bestFit="1" customWidth="1"/>
    <col min="14" max="35" width="18.85546875" bestFit="1" customWidth="1"/>
    <col min="36" max="36" width="11.28515625" bestFit="1" customWidth="1"/>
  </cols>
  <sheetData>
    <row r="3" spans="1:11" x14ac:dyDescent="0.25">
      <c r="A3" s="134" t="s">
        <v>1274</v>
      </c>
      <c r="D3" s="134" t="s">
        <v>1273</v>
      </c>
    </row>
    <row r="4" spans="1:11" x14ac:dyDescent="0.25">
      <c r="A4" s="134" t="s">
        <v>1157</v>
      </c>
      <c r="B4" t="s">
        <v>1262</v>
      </c>
      <c r="D4" s="134" t="s">
        <v>673</v>
      </c>
      <c r="E4" t="s">
        <v>1262</v>
      </c>
      <c r="G4" s="134" t="s">
        <v>1263</v>
      </c>
      <c r="J4" s="138" t="s">
        <v>1272</v>
      </c>
      <c r="K4" s="137"/>
    </row>
    <row r="5" spans="1:11" x14ac:dyDescent="0.25">
      <c r="A5" t="s">
        <v>1133</v>
      </c>
      <c r="B5">
        <v>16</v>
      </c>
      <c r="D5" t="s">
        <v>1173</v>
      </c>
      <c r="E5">
        <v>54</v>
      </c>
      <c r="G5" s="134" t="s">
        <v>1</v>
      </c>
      <c r="H5" t="s">
        <v>1262</v>
      </c>
      <c r="J5" s="138" t="s">
        <v>1265</v>
      </c>
      <c r="K5" s="137" t="s">
        <v>1262</v>
      </c>
    </row>
    <row r="6" spans="1:11" x14ac:dyDescent="0.25">
      <c r="A6" t="s">
        <v>1163</v>
      </c>
      <c r="B6">
        <v>11</v>
      </c>
      <c r="D6" t="s">
        <v>1158</v>
      </c>
      <c r="E6">
        <v>52</v>
      </c>
      <c r="G6" t="s">
        <v>8</v>
      </c>
      <c r="H6">
        <v>113739</v>
      </c>
      <c r="J6" s="137" t="s">
        <v>1267</v>
      </c>
      <c r="K6" s="137">
        <v>57919</v>
      </c>
    </row>
    <row r="7" spans="1:11" x14ac:dyDescent="0.25">
      <c r="A7" t="s">
        <v>1130</v>
      </c>
      <c r="B7">
        <v>10</v>
      </c>
      <c r="D7" t="s">
        <v>1168</v>
      </c>
      <c r="E7">
        <v>40</v>
      </c>
      <c r="G7" t="s">
        <v>20</v>
      </c>
      <c r="H7">
        <v>98025</v>
      </c>
      <c r="J7" s="137" t="s">
        <v>1271</v>
      </c>
      <c r="K7" s="137">
        <v>55439</v>
      </c>
    </row>
    <row r="8" spans="1:11" x14ac:dyDescent="0.25">
      <c r="A8" t="s">
        <v>1257</v>
      </c>
      <c r="B8">
        <v>10</v>
      </c>
      <c r="D8" t="s">
        <v>1178</v>
      </c>
      <c r="E8">
        <v>35</v>
      </c>
      <c r="G8" t="s">
        <v>16</v>
      </c>
      <c r="H8">
        <v>88464</v>
      </c>
      <c r="J8" s="137" t="s">
        <v>47</v>
      </c>
      <c r="K8" s="137">
        <v>45962</v>
      </c>
    </row>
    <row r="9" spans="1:11" x14ac:dyDescent="0.25">
      <c r="A9" t="s">
        <v>1159</v>
      </c>
      <c r="B9">
        <v>9</v>
      </c>
      <c r="D9" t="s">
        <v>1170</v>
      </c>
      <c r="E9">
        <v>29</v>
      </c>
      <c r="G9" t="s">
        <v>12</v>
      </c>
      <c r="H9">
        <v>47208</v>
      </c>
      <c r="J9" s="137" t="s">
        <v>959</v>
      </c>
      <c r="K9" s="137">
        <v>45453</v>
      </c>
    </row>
    <row r="10" spans="1:11" x14ac:dyDescent="0.25">
      <c r="A10" t="s">
        <v>1169</v>
      </c>
      <c r="B10">
        <v>7</v>
      </c>
      <c r="D10" t="s">
        <v>1161</v>
      </c>
      <c r="E10">
        <v>28</v>
      </c>
      <c r="G10" t="s">
        <v>131</v>
      </c>
      <c r="H10">
        <v>347436</v>
      </c>
      <c r="J10" s="137" t="s">
        <v>1266</v>
      </c>
      <c r="K10" s="137">
        <v>41264</v>
      </c>
    </row>
    <row r="11" spans="1:11" x14ac:dyDescent="0.25">
      <c r="A11" t="s">
        <v>1259</v>
      </c>
      <c r="B11">
        <v>5</v>
      </c>
      <c r="D11" t="s">
        <v>984</v>
      </c>
      <c r="E11">
        <v>25</v>
      </c>
      <c r="J11" s="137" t="s">
        <v>1270</v>
      </c>
      <c r="K11" s="137">
        <v>27454</v>
      </c>
    </row>
    <row r="12" spans="1:11" x14ac:dyDescent="0.25">
      <c r="A12" t="s">
        <v>1256</v>
      </c>
      <c r="B12">
        <v>2</v>
      </c>
      <c r="D12" t="s">
        <v>1175</v>
      </c>
      <c r="E12">
        <v>24</v>
      </c>
      <c r="J12" s="137" t="s">
        <v>960</v>
      </c>
      <c r="K12" s="137">
        <v>18716</v>
      </c>
    </row>
    <row r="13" spans="1:11" x14ac:dyDescent="0.25">
      <c r="A13" t="s">
        <v>131</v>
      </c>
      <c r="B13">
        <v>70</v>
      </c>
      <c r="D13" t="s">
        <v>1171</v>
      </c>
      <c r="E13">
        <v>16</v>
      </c>
      <c r="G13" s="134" t="s">
        <v>1264</v>
      </c>
      <c r="J13" s="137" t="s">
        <v>758</v>
      </c>
      <c r="K13" s="137">
        <v>18702</v>
      </c>
    </row>
    <row r="14" spans="1:11" x14ac:dyDescent="0.25">
      <c r="D14" t="s">
        <v>1182</v>
      </c>
      <c r="E14">
        <v>16</v>
      </c>
      <c r="G14" s="134" t="s">
        <v>23</v>
      </c>
      <c r="H14" t="s">
        <v>1262</v>
      </c>
      <c r="J14" s="137" t="s">
        <v>1269</v>
      </c>
      <c r="K14" s="137">
        <v>14917</v>
      </c>
    </row>
    <row r="15" spans="1:11" x14ac:dyDescent="0.25">
      <c r="A15" s="134" t="s">
        <v>1261</v>
      </c>
      <c r="D15" t="s">
        <v>1165</v>
      </c>
      <c r="E15">
        <v>16</v>
      </c>
      <c r="G15" t="s">
        <v>172</v>
      </c>
      <c r="H15">
        <v>99133</v>
      </c>
      <c r="J15" s="137" t="s">
        <v>757</v>
      </c>
      <c r="K15" s="137">
        <v>10785</v>
      </c>
    </row>
    <row r="16" spans="1:11" x14ac:dyDescent="0.25">
      <c r="A16" s="134" t="s">
        <v>1157</v>
      </c>
      <c r="B16" t="s">
        <v>1262</v>
      </c>
      <c r="D16" t="s">
        <v>1162</v>
      </c>
      <c r="E16">
        <v>15</v>
      </c>
      <c r="G16" t="s">
        <v>28</v>
      </c>
      <c r="H16">
        <v>78276</v>
      </c>
      <c r="J16" s="137" t="s">
        <v>756</v>
      </c>
      <c r="K16" s="137">
        <v>5932</v>
      </c>
    </row>
    <row r="17" spans="1:14" x14ac:dyDescent="0.25">
      <c r="A17" t="s">
        <v>1130</v>
      </c>
      <c r="B17">
        <v>32789</v>
      </c>
      <c r="D17" t="s">
        <v>1203</v>
      </c>
      <c r="E17">
        <v>14</v>
      </c>
      <c r="G17" t="s">
        <v>1172</v>
      </c>
      <c r="H17">
        <v>62954</v>
      </c>
      <c r="J17" s="137" t="s">
        <v>1268</v>
      </c>
      <c r="K17" s="137">
        <v>4893</v>
      </c>
    </row>
    <row r="18" spans="1:14" x14ac:dyDescent="0.25">
      <c r="A18" t="s">
        <v>1133</v>
      </c>
      <c r="B18">
        <v>80944</v>
      </c>
      <c r="D18" t="s">
        <v>1179</v>
      </c>
      <c r="E18">
        <v>12</v>
      </c>
      <c r="G18" t="s">
        <v>988</v>
      </c>
      <c r="H18">
        <v>49334</v>
      </c>
      <c r="J18" s="137" t="s">
        <v>131</v>
      </c>
      <c r="K18" s="137">
        <v>347436</v>
      </c>
    </row>
    <row r="19" spans="1:14" x14ac:dyDescent="0.25">
      <c r="A19" t="s">
        <v>1163</v>
      </c>
      <c r="B19">
        <v>80018</v>
      </c>
      <c r="D19" t="s">
        <v>1166</v>
      </c>
      <c r="E19">
        <v>12</v>
      </c>
      <c r="G19" t="s">
        <v>1258</v>
      </c>
      <c r="H19">
        <v>41754</v>
      </c>
    </row>
    <row r="20" spans="1:14" x14ac:dyDescent="0.25">
      <c r="A20" t="s">
        <v>1159</v>
      </c>
      <c r="B20">
        <v>41880</v>
      </c>
      <c r="D20" t="s">
        <v>1198</v>
      </c>
      <c r="E20">
        <v>12</v>
      </c>
      <c r="G20" t="s">
        <v>1192</v>
      </c>
      <c r="H20">
        <v>15985</v>
      </c>
    </row>
    <row r="21" spans="1:14" x14ac:dyDescent="0.25">
      <c r="A21" t="s">
        <v>1169</v>
      </c>
      <c r="B21">
        <v>22567</v>
      </c>
      <c r="D21" t="s">
        <v>1183</v>
      </c>
      <c r="E21">
        <v>9</v>
      </c>
      <c r="G21" t="s">
        <v>131</v>
      </c>
      <c r="H21">
        <v>347436</v>
      </c>
    </row>
    <row r="22" spans="1:14" x14ac:dyDescent="0.25">
      <c r="A22" t="s">
        <v>1259</v>
      </c>
      <c r="B22">
        <v>19474</v>
      </c>
      <c r="D22" t="s">
        <v>1186</v>
      </c>
      <c r="E22">
        <v>9</v>
      </c>
      <c r="N22" t="s">
        <v>172</v>
      </c>
    </row>
    <row r="23" spans="1:14" x14ac:dyDescent="0.25">
      <c r="A23" t="s">
        <v>1256</v>
      </c>
      <c r="B23">
        <v>12986</v>
      </c>
      <c r="D23" t="s">
        <v>1207</v>
      </c>
      <c r="E23">
        <v>9</v>
      </c>
    </row>
    <row r="24" spans="1:14" x14ac:dyDescent="0.25">
      <c r="A24" t="s">
        <v>1257</v>
      </c>
      <c r="B24">
        <v>56778</v>
      </c>
      <c r="D24" t="s">
        <v>1195</v>
      </c>
      <c r="E24">
        <v>7</v>
      </c>
      <c r="G24" t="s">
        <v>412</v>
      </c>
    </row>
    <row r="25" spans="1:14" x14ac:dyDescent="0.25">
      <c r="A25" t="s">
        <v>131</v>
      </c>
      <c r="B25">
        <v>347436</v>
      </c>
      <c r="D25" t="s">
        <v>1206</v>
      </c>
      <c r="E25">
        <v>6</v>
      </c>
    </row>
    <row r="26" spans="1:14" x14ac:dyDescent="0.25">
      <c r="D26" t="s">
        <v>1214</v>
      </c>
      <c r="E26">
        <v>5</v>
      </c>
    </row>
    <row r="27" spans="1:14" x14ac:dyDescent="0.25">
      <c r="D27" t="s">
        <v>1196</v>
      </c>
      <c r="E27">
        <v>5</v>
      </c>
    </row>
    <row r="28" spans="1:14" x14ac:dyDescent="0.25">
      <c r="D28" t="s">
        <v>1210</v>
      </c>
      <c r="E28">
        <v>5</v>
      </c>
    </row>
    <row r="29" spans="1:14" x14ac:dyDescent="0.25">
      <c r="D29" t="s">
        <v>1189</v>
      </c>
      <c r="E29">
        <v>3</v>
      </c>
    </row>
    <row r="30" spans="1:14" x14ac:dyDescent="0.25">
      <c r="D30" t="s">
        <v>1193</v>
      </c>
      <c r="E30">
        <v>3</v>
      </c>
    </row>
    <row r="31" spans="1:14" x14ac:dyDescent="0.25">
      <c r="D31" t="s">
        <v>1066</v>
      </c>
      <c r="E31">
        <v>2</v>
      </c>
    </row>
    <row r="32" spans="1:14" x14ac:dyDescent="0.25">
      <c r="D32" t="s">
        <v>1188</v>
      </c>
      <c r="E32">
        <v>1</v>
      </c>
    </row>
    <row r="33" spans="4:5" x14ac:dyDescent="0.25">
      <c r="D33" t="s">
        <v>131</v>
      </c>
      <c r="E33">
        <v>464</v>
      </c>
    </row>
    <row r="80" spans="2:2" x14ac:dyDescent="0.25">
      <c r="B80" s="134" t="s">
        <v>170</v>
      </c>
    </row>
    <row r="81" spans="1:5" x14ac:dyDescent="0.25">
      <c r="B81" t="s">
        <v>1276</v>
      </c>
      <c r="C81" t="s">
        <v>1281</v>
      </c>
      <c r="D81" t="s">
        <v>1261</v>
      </c>
      <c r="E81" t="s">
        <v>1277</v>
      </c>
    </row>
    <row r="82" spans="1:5" x14ac:dyDescent="0.25">
      <c r="A82" t="s">
        <v>1262</v>
      </c>
      <c r="B82">
        <v>6.628571428571429</v>
      </c>
      <c r="C82">
        <v>70</v>
      </c>
      <c r="D82">
        <v>347436</v>
      </c>
      <c r="E82">
        <v>70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CEB1-0E98-4DBD-92C4-AB8FA16C5770}">
  <sheetPr codeName="Sheet33"/>
  <dimension ref="A1:K76"/>
  <sheetViews>
    <sheetView zoomScale="87" zoomScaleNormal="87" workbookViewId="0">
      <selection activeCell="L1" sqref="L1:L1048576"/>
    </sheetView>
  </sheetViews>
  <sheetFormatPr defaultColWidth="10.28515625" defaultRowHeight="16.5" customHeight="1" x14ac:dyDescent="0.25"/>
  <cols>
    <col min="1" max="1" width="15.140625" bestFit="1" customWidth="1"/>
    <col min="2" max="2" width="17.85546875" bestFit="1" customWidth="1"/>
    <col min="3" max="3" width="23.5703125" bestFit="1" customWidth="1"/>
    <col min="4" max="4" width="13.5703125" bestFit="1" customWidth="1"/>
    <col min="5" max="5" width="15.85546875" bestFit="1" customWidth="1"/>
    <col min="6" max="6" width="18.140625" bestFit="1" customWidth="1"/>
    <col min="7" max="7" width="15.42578125" bestFit="1" customWidth="1"/>
    <col min="8" max="8" width="16.7109375" bestFit="1" customWidth="1"/>
    <col min="9" max="9" width="20.85546875" bestFit="1" customWidth="1"/>
    <col min="10" max="10" width="24.140625" bestFit="1" customWidth="1"/>
    <col min="11" max="11" width="12.85546875" bestFit="1" customWidth="1"/>
    <col min="12" max="12" width="10.28515625" customWidth="1"/>
  </cols>
  <sheetData>
    <row r="1" spans="1:11" ht="16.5" customHeight="1" x14ac:dyDescent="0.25">
      <c r="A1" s="135" t="s">
        <v>139</v>
      </c>
      <c r="B1" s="130" t="s">
        <v>1154</v>
      </c>
      <c r="C1" s="130" t="s">
        <v>1120</v>
      </c>
      <c r="D1" s="130" t="s">
        <v>1</v>
      </c>
      <c r="E1" s="130" t="s">
        <v>23</v>
      </c>
      <c r="F1" s="130" t="s">
        <v>673</v>
      </c>
      <c r="G1" s="130" t="s">
        <v>127</v>
      </c>
      <c r="H1" s="130" t="s">
        <v>1155</v>
      </c>
      <c r="I1" s="130" t="s">
        <v>1156</v>
      </c>
      <c r="J1" s="130" t="s">
        <v>1157</v>
      </c>
      <c r="K1" s="130" t="s">
        <v>1057</v>
      </c>
    </row>
    <row r="2" spans="1:11" ht="16.5" customHeight="1" x14ac:dyDescent="0.25">
      <c r="A2" s="136">
        <v>1084</v>
      </c>
      <c r="B2" s="132">
        <v>45436</v>
      </c>
      <c r="C2" s="131" t="s">
        <v>1239</v>
      </c>
      <c r="D2" s="131" t="s">
        <v>16</v>
      </c>
      <c r="E2" s="131" t="s">
        <v>1160</v>
      </c>
      <c r="F2" s="131" t="s">
        <v>1158</v>
      </c>
      <c r="G2" s="131">
        <v>10</v>
      </c>
      <c r="H2" s="131">
        <v>1499</v>
      </c>
      <c r="I2" s="131">
        <f t="shared" ref="I2:I33" si="0">G2*H2</f>
        <v>14990</v>
      </c>
      <c r="J2" s="131" t="s">
        <v>1159</v>
      </c>
      <c r="K2" s="131" t="s">
        <v>1260</v>
      </c>
    </row>
    <row r="3" spans="1:11" ht="16.5" customHeight="1" x14ac:dyDescent="0.25">
      <c r="A3" s="136">
        <v>1135</v>
      </c>
      <c r="B3" s="132">
        <v>45340</v>
      </c>
      <c r="C3" s="131" t="s">
        <v>1240</v>
      </c>
      <c r="D3" s="131" t="s">
        <v>8</v>
      </c>
      <c r="E3" s="131" t="s">
        <v>1160</v>
      </c>
      <c r="F3" s="131" t="s">
        <v>1161</v>
      </c>
      <c r="G3" s="131">
        <v>7</v>
      </c>
      <c r="H3" s="131">
        <v>799</v>
      </c>
      <c r="I3" s="131">
        <f t="shared" si="0"/>
        <v>5593</v>
      </c>
      <c r="J3" s="131" t="s">
        <v>1133</v>
      </c>
      <c r="K3" s="131" t="s">
        <v>1260</v>
      </c>
    </row>
    <row r="4" spans="1:11" ht="16.5" customHeight="1" x14ac:dyDescent="0.25">
      <c r="A4" s="136">
        <v>1013</v>
      </c>
      <c r="B4" s="132">
        <v>45497</v>
      </c>
      <c r="C4" s="131" t="s">
        <v>1219</v>
      </c>
      <c r="D4" s="131" t="s">
        <v>8</v>
      </c>
      <c r="E4" s="131" t="s">
        <v>1160</v>
      </c>
      <c r="F4" s="131" t="s">
        <v>1161</v>
      </c>
      <c r="G4" s="131">
        <v>8</v>
      </c>
      <c r="H4" s="131">
        <v>1999</v>
      </c>
      <c r="I4" s="131">
        <f t="shared" si="0"/>
        <v>15992</v>
      </c>
      <c r="J4" s="131" t="s">
        <v>1133</v>
      </c>
      <c r="K4" s="131" t="s">
        <v>1260</v>
      </c>
    </row>
    <row r="5" spans="1:11" ht="16.5" customHeight="1" x14ac:dyDescent="0.25">
      <c r="A5" s="136">
        <v>1116</v>
      </c>
      <c r="B5" s="132">
        <v>45582</v>
      </c>
      <c r="C5" s="131" t="s">
        <v>1220</v>
      </c>
      <c r="D5" s="131" t="s">
        <v>20</v>
      </c>
      <c r="E5" s="131" t="s">
        <v>1258</v>
      </c>
      <c r="F5" s="131" t="s">
        <v>1162</v>
      </c>
      <c r="G5" s="131">
        <v>1</v>
      </c>
      <c r="H5" s="131">
        <v>799</v>
      </c>
      <c r="I5" s="131">
        <f t="shared" si="0"/>
        <v>799</v>
      </c>
      <c r="J5" s="131" t="s">
        <v>1163</v>
      </c>
      <c r="K5" s="131" t="s">
        <v>1260</v>
      </c>
    </row>
    <row r="6" spans="1:11" ht="16.5" customHeight="1" x14ac:dyDescent="0.25">
      <c r="A6" s="136">
        <v>1044</v>
      </c>
      <c r="B6" s="132">
        <v>45583</v>
      </c>
      <c r="C6" s="131" t="s">
        <v>1164</v>
      </c>
      <c r="D6" s="131" t="s">
        <v>12</v>
      </c>
      <c r="E6" s="131" t="s">
        <v>1160</v>
      </c>
      <c r="F6" s="131" t="s">
        <v>1165</v>
      </c>
      <c r="G6" s="131">
        <v>3</v>
      </c>
      <c r="H6" s="131">
        <v>699</v>
      </c>
      <c r="I6" s="131">
        <f t="shared" si="0"/>
        <v>2097</v>
      </c>
      <c r="J6" s="131" t="s">
        <v>1257</v>
      </c>
      <c r="K6" s="131" t="s">
        <v>1260</v>
      </c>
    </row>
    <row r="7" spans="1:11" ht="16.5" customHeight="1" x14ac:dyDescent="0.25">
      <c r="A7" s="136">
        <v>1118</v>
      </c>
      <c r="B7" s="132">
        <v>45619</v>
      </c>
      <c r="C7" s="131" t="s">
        <v>149</v>
      </c>
      <c r="D7" s="131" t="s">
        <v>16</v>
      </c>
      <c r="E7" s="131" t="s">
        <v>28</v>
      </c>
      <c r="F7" s="131" t="s">
        <v>1166</v>
      </c>
      <c r="G7" s="131">
        <v>12</v>
      </c>
      <c r="H7" s="131">
        <v>699</v>
      </c>
      <c r="I7" s="131">
        <f t="shared" si="0"/>
        <v>8388</v>
      </c>
      <c r="J7" s="131" t="s">
        <v>1130</v>
      </c>
      <c r="K7" s="131" t="s">
        <v>1260</v>
      </c>
    </row>
    <row r="8" spans="1:11" ht="16.5" customHeight="1" x14ac:dyDescent="0.25">
      <c r="A8" s="136">
        <v>1025</v>
      </c>
      <c r="B8" s="132">
        <v>45631</v>
      </c>
      <c r="C8" s="131" t="s">
        <v>1167</v>
      </c>
      <c r="D8" s="131" t="s">
        <v>12</v>
      </c>
      <c r="E8" s="131" t="s">
        <v>28</v>
      </c>
      <c r="F8" s="131" t="s">
        <v>1168</v>
      </c>
      <c r="G8" s="131">
        <v>11</v>
      </c>
      <c r="H8" s="131">
        <v>199</v>
      </c>
      <c r="I8" s="131">
        <f t="shared" si="0"/>
        <v>2189</v>
      </c>
      <c r="J8" s="131" t="s">
        <v>1169</v>
      </c>
      <c r="K8" s="131" t="s">
        <v>1260</v>
      </c>
    </row>
    <row r="9" spans="1:11" ht="16.5" customHeight="1" x14ac:dyDescent="0.25">
      <c r="A9" s="136">
        <v>1133</v>
      </c>
      <c r="B9" s="132">
        <v>45649</v>
      </c>
      <c r="C9" s="131" t="s">
        <v>1221</v>
      </c>
      <c r="D9" s="131" t="s">
        <v>20</v>
      </c>
      <c r="E9" s="131" t="s">
        <v>988</v>
      </c>
      <c r="F9" s="131" t="s">
        <v>1170</v>
      </c>
      <c r="G9" s="131">
        <v>9</v>
      </c>
      <c r="H9" s="131">
        <v>699</v>
      </c>
      <c r="I9" s="131">
        <f t="shared" si="0"/>
        <v>6291</v>
      </c>
      <c r="J9" s="131" t="s">
        <v>1257</v>
      </c>
      <c r="K9" s="131" t="s">
        <v>1260</v>
      </c>
    </row>
    <row r="10" spans="1:11" ht="16.5" customHeight="1" x14ac:dyDescent="0.25">
      <c r="A10" s="136">
        <v>1005</v>
      </c>
      <c r="B10" s="132">
        <v>45635</v>
      </c>
      <c r="C10" s="131" t="s">
        <v>1177</v>
      </c>
      <c r="D10" s="131" t="s">
        <v>8</v>
      </c>
      <c r="E10" s="131" t="s">
        <v>28</v>
      </c>
      <c r="F10" s="131" t="s">
        <v>1171</v>
      </c>
      <c r="G10" s="131">
        <v>4</v>
      </c>
      <c r="H10" s="131">
        <v>799</v>
      </c>
      <c r="I10" s="131">
        <f t="shared" si="0"/>
        <v>3196</v>
      </c>
      <c r="J10" s="131" t="s">
        <v>1259</v>
      </c>
      <c r="K10" s="131" t="s">
        <v>1260</v>
      </c>
    </row>
    <row r="11" spans="1:11" ht="16.5" customHeight="1" x14ac:dyDescent="0.25">
      <c r="A11" s="136">
        <v>1083</v>
      </c>
      <c r="B11" s="132">
        <v>45314</v>
      </c>
      <c r="C11" s="131" t="s">
        <v>1222</v>
      </c>
      <c r="D11" s="131" t="s">
        <v>12</v>
      </c>
      <c r="E11" s="131" t="s">
        <v>28</v>
      </c>
      <c r="F11" s="131" t="s">
        <v>1168</v>
      </c>
      <c r="G11" s="131">
        <v>3</v>
      </c>
      <c r="H11" s="131">
        <v>349</v>
      </c>
      <c r="I11" s="131">
        <f t="shared" si="0"/>
        <v>1047</v>
      </c>
      <c r="J11" s="131" t="s">
        <v>1130</v>
      </c>
      <c r="K11" s="131" t="s">
        <v>1260</v>
      </c>
    </row>
    <row r="12" spans="1:11" ht="16.5" customHeight="1" x14ac:dyDescent="0.25">
      <c r="A12" s="136">
        <v>1100</v>
      </c>
      <c r="B12" s="132">
        <v>45589</v>
      </c>
      <c r="C12" s="131" t="s">
        <v>1241</v>
      </c>
      <c r="D12" s="131" t="s">
        <v>16</v>
      </c>
      <c r="E12" s="131" t="s">
        <v>1172</v>
      </c>
      <c r="F12" s="131" t="s">
        <v>1173</v>
      </c>
      <c r="G12" s="131">
        <v>11</v>
      </c>
      <c r="H12" s="131">
        <v>349</v>
      </c>
      <c r="I12" s="131">
        <f t="shared" si="0"/>
        <v>3839</v>
      </c>
      <c r="J12" s="131" t="s">
        <v>1133</v>
      </c>
      <c r="K12" s="131" t="s">
        <v>1260</v>
      </c>
    </row>
    <row r="13" spans="1:11" ht="16.5" customHeight="1" x14ac:dyDescent="0.25">
      <c r="A13" s="136">
        <v>1138</v>
      </c>
      <c r="B13" s="132">
        <v>45637</v>
      </c>
      <c r="C13" s="131" t="s">
        <v>1242</v>
      </c>
      <c r="D13" s="131" t="s">
        <v>16</v>
      </c>
      <c r="E13" s="131" t="s">
        <v>28</v>
      </c>
      <c r="F13" s="131" t="s">
        <v>1168</v>
      </c>
      <c r="G13" s="131">
        <v>11</v>
      </c>
      <c r="H13" s="131">
        <v>999</v>
      </c>
      <c r="I13" s="131">
        <f t="shared" si="0"/>
        <v>10989</v>
      </c>
      <c r="J13" s="131" t="s">
        <v>1163</v>
      </c>
      <c r="K13" s="131" t="s">
        <v>1184</v>
      </c>
    </row>
    <row r="14" spans="1:11" ht="16.5" customHeight="1" x14ac:dyDescent="0.25">
      <c r="A14" s="136">
        <v>1127</v>
      </c>
      <c r="B14" s="132">
        <v>45387</v>
      </c>
      <c r="C14" s="131" t="s">
        <v>1174</v>
      </c>
      <c r="D14" s="131" t="s">
        <v>20</v>
      </c>
      <c r="E14" s="131" t="s">
        <v>1172</v>
      </c>
      <c r="F14" s="131" t="s">
        <v>1175</v>
      </c>
      <c r="G14" s="131">
        <v>9</v>
      </c>
      <c r="H14" s="131">
        <v>2499</v>
      </c>
      <c r="I14" s="131">
        <f t="shared" si="0"/>
        <v>22491</v>
      </c>
      <c r="J14" s="131" t="s">
        <v>1163</v>
      </c>
      <c r="K14" s="131" t="s">
        <v>1184</v>
      </c>
    </row>
    <row r="15" spans="1:11" ht="16.5" customHeight="1" x14ac:dyDescent="0.25">
      <c r="A15" s="136">
        <v>1029</v>
      </c>
      <c r="B15" s="132">
        <v>45500</v>
      </c>
      <c r="C15" s="131" t="s">
        <v>1243</v>
      </c>
      <c r="D15" s="131" t="s">
        <v>12</v>
      </c>
      <c r="E15" s="131" t="s">
        <v>28</v>
      </c>
      <c r="F15" s="131" t="s">
        <v>1168</v>
      </c>
      <c r="G15" s="131">
        <v>12</v>
      </c>
      <c r="H15" s="131">
        <v>399</v>
      </c>
      <c r="I15" s="131">
        <f t="shared" si="0"/>
        <v>4788</v>
      </c>
      <c r="J15" s="131" t="s">
        <v>1159</v>
      </c>
      <c r="K15" s="131" t="s">
        <v>1184</v>
      </c>
    </row>
    <row r="16" spans="1:11" ht="16.5" customHeight="1" x14ac:dyDescent="0.25">
      <c r="A16" s="136">
        <v>1033</v>
      </c>
      <c r="B16" s="132">
        <v>45602</v>
      </c>
      <c r="C16" s="131" t="s">
        <v>1176</v>
      </c>
      <c r="D16" s="131" t="s">
        <v>8</v>
      </c>
      <c r="E16" s="131" t="s">
        <v>1160</v>
      </c>
      <c r="F16" s="131" t="s">
        <v>1158</v>
      </c>
      <c r="G16" s="131">
        <v>5</v>
      </c>
      <c r="H16" s="131">
        <v>899</v>
      </c>
      <c r="I16" s="131">
        <f t="shared" si="0"/>
        <v>4495</v>
      </c>
      <c r="J16" s="131" t="s">
        <v>1133</v>
      </c>
      <c r="K16" s="131" t="s">
        <v>1260</v>
      </c>
    </row>
    <row r="17" spans="1:11" ht="16.5" customHeight="1" x14ac:dyDescent="0.25">
      <c r="A17" s="136">
        <v>1104</v>
      </c>
      <c r="B17" s="132">
        <v>45415</v>
      </c>
      <c r="C17" s="131" t="s">
        <v>1223</v>
      </c>
      <c r="D17" s="131" t="s">
        <v>20</v>
      </c>
      <c r="E17" s="131" t="s">
        <v>1258</v>
      </c>
      <c r="F17" s="131" t="s">
        <v>1066</v>
      </c>
      <c r="G17" s="131">
        <v>2</v>
      </c>
      <c r="H17" s="131">
        <v>999</v>
      </c>
      <c r="I17" s="131">
        <f t="shared" si="0"/>
        <v>1998</v>
      </c>
      <c r="J17" s="131" t="s">
        <v>1169</v>
      </c>
      <c r="K17" s="131" t="s">
        <v>1184</v>
      </c>
    </row>
    <row r="18" spans="1:11" ht="16.5" customHeight="1" x14ac:dyDescent="0.25">
      <c r="A18" s="136">
        <v>1132</v>
      </c>
      <c r="B18" s="132">
        <v>45410</v>
      </c>
      <c r="C18" s="131" t="s">
        <v>1177</v>
      </c>
      <c r="D18" s="131" t="s">
        <v>8</v>
      </c>
      <c r="E18" s="131" t="s">
        <v>988</v>
      </c>
      <c r="F18" s="131" t="s">
        <v>984</v>
      </c>
      <c r="G18" s="131">
        <v>7</v>
      </c>
      <c r="H18" s="131">
        <v>299</v>
      </c>
      <c r="I18" s="131">
        <f t="shared" si="0"/>
        <v>2093</v>
      </c>
      <c r="J18" s="131" t="s">
        <v>1133</v>
      </c>
      <c r="K18" s="131" t="s">
        <v>1260</v>
      </c>
    </row>
    <row r="19" spans="1:11" ht="16.5" customHeight="1" x14ac:dyDescent="0.25">
      <c r="A19" s="136">
        <v>1072</v>
      </c>
      <c r="B19" s="132">
        <v>45402</v>
      </c>
      <c r="C19" s="131" t="s">
        <v>1244</v>
      </c>
      <c r="D19" s="131" t="s">
        <v>8</v>
      </c>
      <c r="E19" s="131" t="s">
        <v>28</v>
      </c>
      <c r="F19" s="131" t="s">
        <v>1178</v>
      </c>
      <c r="G19" s="131">
        <v>8</v>
      </c>
      <c r="H19" s="131">
        <v>1499</v>
      </c>
      <c r="I19" s="131">
        <f t="shared" si="0"/>
        <v>11992</v>
      </c>
      <c r="J19" s="131" t="s">
        <v>1133</v>
      </c>
      <c r="K19" s="131" t="s">
        <v>1184</v>
      </c>
    </row>
    <row r="20" spans="1:11" ht="16.5" customHeight="1" x14ac:dyDescent="0.25">
      <c r="A20" s="136">
        <v>1120</v>
      </c>
      <c r="B20" s="132">
        <v>45520</v>
      </c>
      <c r="C20" s="131" t="s">
        <v>1245</v>
      </c>
      <c r="D20" s="131" t="s">
        <v>20</v>
      </c>
      <c r="E20" s="131" t="s">
        <v>1160</v>
      </c>
      <c r="F20" s="131" t="s">
        <v>1179</v>
      </c>
      <c r="G20" s="131">
        <v>8</v>
      </c>
      <c r="H20" s="131">
        <v>199</v>
      </c>
      <c r="I20" s="131">
        <f t="shared" si="0"/>
        <v>1592</v>
      </c>
      <c r="J20" s="131" t="s">
        <v>1257</v>
      </c>
      <c r="K20" s="131" t="s">
        <v>1260</v>
      </c>
    </row>
    <row r="21" spans="1:11" ht="16.5" customHeight="1" x14ac:dyDescent="0.25">
      <c r="A21" s="136">
        <v>1062</v>
      </c>
      <c r="B21" s="132">
        <v>45435</v>
      </c>
      <c r="C21" s="131" t="s">
        <v>1180</v>
      </c>
      <c r="D21" s="131" t="s">
        <v>20</v>
      </c>
      <c r="E21" s="131" t="s">
        <v>1160</v>
      </c>
      <c r="F21" s="131" t="s">
        <v>1158</v>
      </c>
      <c r="G21" s="131">
        <v>2</v>
      </c>
      <c r="H21" s="131">
        <v>1999</v>
      </c>
      <c r="I21" s="131">
        <f t="shared" si="0"/>
        <v>3998</v>
      </c>
      <c r="J21" s="131" t="s">
        <v>1130</v>
      </c>
      <c r="K21" s="131" t="s">
        <v>1260</v>
      </c>
    </row>
    <row r="22" spans="1:11" ht="16.5" customHeight="1" x14ac:dyDescent="0.25">
      <c r="A22" s="136">
        <v>1057</v>
      </c>
      <c r="B22" s="132">
        <v>45605</v>
      </c>
      <c r="C22" s="131" t="s">
        <v>1181</v>
      </c>
      <c r="D22" s="131" t="s">
        <v>8</v>
      </c>
      <c r="E22" s="131" t="s">
        <v>28</v>
      </c>
      <c r="F22" s="131" t="s">
        <v>1171</v>
      </c>
      <c r="G22" s="131">
        <v>10</v>
      </c>
      <c r="H22" s="131">
        <v>149</v>
      </c>
      <c r="I22" s="131">
        <f t="shared" si="0"/>
        <v>1490</v>
      </c>
      <c r="J22" s="131" t="s">
        <v>1163</v>
      </c>
      <c r="K22" s="131" t="s">
        <v>1260</v>
      </c>
    </row>
    <row r="23" spans="1:11" ht="16.5" customHeight="1" x14ac:dyDescent="0.25">
      <c r="A23" s="136">
        <v>1021</v>
      </c>
      <c r="B23" s="132">
        <v>45508</v>
      </c>
      <c r="C23" s="131" t="s">
        <v>1224</v>
      </c>
      <c r="D23" s="131" t="s">
        <v>12</v>
      </c>
      <c r="E23" s="131" t="s">
        <v>28</v>
      </c>
      <c r="F23" s="131" t="s">
        <v>1182</v>
      </c>
      <c r="G23" s="131">
        <v>4</v>
      </c>
      <c r="H23" s="131">
        <v>499</v>
      </c>
      <c r="I23" s="131">
        <f t="shared" si="0"/>
        <v>1996</v>
      </c>
      <c r="J23" s="131" t="s">
        <v>1130</v>
      </c>
      <c r="K23" s="131" t="s">
        <v>1184</v>
      </c>
    </row>
    <row r="24" spans="1:11" ht="16.5" customHeight="1" x14ac:dyDescent="0.25">
      <c r="A24" s="136">
        <v>1019</v>
      </c>
      <c r="B24" s="132">
        <v>45313</v>
      </c>
      <c r="C24" s="131" t="s">
        <v>1224</v>
      </c>
      <c r="D24" s="131" t="s">
        <v>8</v>
      </c>
      <c r="E24" s="131" t="s">
        <v>1160</v>
      </c>
      <c r="F24" s="131" t="s">
        <v>1165</v>
      </c>
      <c r="G24" s="131">
        <v>6</v>
      </c>
      <c r="H24" s="131">
        <v>299</v>
      </c>
      <c r="I24" s="131">
        <f t="shared" si="0"/>
        <v>1794</v>
      </c>
      <c r="J24" s="131" t="s">
        <v>1130</v>
      </c>
      <c r="K24" s="131" t="s">
        <v>1260</v>
      </c>
    </row>
    <row r="25" spans="1:11" ht="16.5" customHeight="1" x14ac:dyDescent="0.25">
      <c r="A25" s="136">
        <v>1111</v>
      </c>
      <c r="B25" s="132">
        <v>45578</v>
      </c>
      <c r="C25" s="131" t="s">
        <v>1246</v>
      </c>
      <c r="D25" s="131" t="s">
        <v>16</v>
      </c>
      <c r="E25" s="131" t="s">
        <v>1160</v>
      </c>
      <c r="F25" s="131" t="s">
        <v>1158</v>
      </c>
      <c r="G25" s="131">
        <v>8</v>
      </c>
      <c r="H25" s="131">
        <v>799</v>
      </c>
      <c r="I25" s="131">
        <f t="shared" si="0"/>
        <v>6392</v>
      </c>
      <c r="J25" s="131" t="s">
        <v>1163</v>
      </c>
      <c r="K25" s="131" t="s">
        <v>1260</v>
      </c>
    </row>
    <row r="26" spans="1:11" ht="16.5" customHeight="1" x14ac:dyDescent="0.25">
      <c r="A26" s="136">
        <v>1019</v>
      </c>
      <c r="B26" s="132">
        <v>45313</v>
      </c>
      <c r="C26" s="131" t="s">
        <v>1224</v>
      </c>
      <c r="D26" s="131" t="s">
        <v>8</v>
      </c>
      <c r="E26" s="131" t="s">
        <v>1160</v>
      </c>
      <c r="F26" s="131" t="s">
        <v>1165</v>
      </c>
      <c r="G26" s="131">
        <v>7</v>
      </c>
      <c r="H26" s="131">
        <v>299</v>
      </c>
      <c r="I26" s="131">
        <f t="shared" si="0"/>
        <v>2093</v>
      </c>
      <c r="J26" s="131" t="s">
        <v>1130</v>
      </c>
      <c r="K26" s="131" t="s">
        <v>1260</v>
      </c>
    </row>
    <row r="27" spans="1:11" ht="16.5" customHeight="1" x14ac:dyDescent="0.25">
      <c r="A27" s="136">
        <v>1097</v>
      </c>
      <c r="B27" s="132">
        <v>45363</v>
      </c>
      <c r="C27" s="131" t="s">
        <v>817</v>
      </c>
      <c r="D27" s="131" t="s">
        <v>16</v>
      </c>
      <c r="E27" s="131" t="s">
        <v>1160</v>
      </c>
      <c r="F27" s="131" t="s">
        <v>1179</v>
      </c>
      <c r="G27" s="131">
        <v>4</v>
      </c>
      <c r="H27" s="131">
        <v>249</v>
      </c>
      <c r="I27" s="131">
        <f t="shared" si="0"/>
        <v>996</v>
      </c>
      <c r="J27" s="131" t="s">
        <v>1256</v>
      </c>
      <c r="K27" s="131" t="s">
        <v>1260</v>
      </c>
    </row>
    <row r="28" spans="1:11" ht="16.5" customHeight="1" x14ac:dyDescent="0.25">
      <c r="A28" s="136">
        <v>1038</v>
      </c>
      <c r="B28" s="132">
        <v>45514</v>
      </c>
      <c r="C28" s="131" t="s">
        <v>1225</v>
      </c>
      <c r="D28" s="131" t="s">
        <v>16</v>
      </c>
      <c r="E28" s="131" t="s">
        <v>1258</v>
      </c>
      <c r="F28" s="131" t="s">
        <v>1183</v>
      </c>
      <c r="G28" s="131">
        <v>9</v>
      </c>
      <c r="H28" s="131">
        <v>899</v>
      </c>
      <c r="I28" s="131">
        <f t="shared" si="0"/>
        <v>8091</v>
      </c>
      <c r="J28" s="131" t="s">
        <v>1130</v>
      </c>
      <c r="K28" s="131" t="s">
        <v>1260</v>
      </c>
    </row>
    <row r="29" spans="1:11" ht="16.5" customHeight="1" x14ac:dyDescent="0.25">
      <c r="A29" s="136">
        <v>1114</v>
      </c>
      <c r="B29" s="132">
        <v>45381</v>
      </c>
      <c r="C29" s="131" t="s">
        <v>1226</v>
      </c>
      <c r="D29" s="131" t="s">
        <v>8</v>
      </c>
      <c r="E29" s="131" t="s">
        <v>1172</v>
      </c>
      <c r="F29" s="131" t="s">
        <v>1173</v>
      </c>
      <c r="G29" s="131">
        <v>12</v>
      </c>
      <c r="H29" s="131">
        <v>149</v>
      </c>
      <c r="I29" s="131">
        <f t="shared" si="0"/>
        <v>1788</v>
      </c>
      <c r="J29" s="131" t="s">
        <v>1133</v>
      </c>
      <c r="K29" s="131" t="s">
        <v>1184</v>
      </c>
    </row>
    <row r="30" spans="1:11" ht="16.5" customHeight="1" x14ac:dyDescent="0.25">
      <c r="A30" s="136">
        <v>1128</v>
      </c>
      <c r="B30" s="132">
        <v>45462</v>
      </c>
      <c r="C30" s="131" t="s">
        <v>1247</v>
      </c>
      <c r="D30" s="131" t="s">
        <v>8</v>
      </c>
      <c r="E30" s="131" t="s">
        <v>1160</v>
      </c>
      <c r="F30" s="131" t="s">
        <v>1158</v>
      </c>
      <c r="G30" s="131">
        <v>11</v>
      </c>
      <c r="H30" s="131">
        <v>399</v>
      </c>
      <c r="I30" s="131">
        <f t="shared" si="0"/>
        <v>4389</v>
      </c>
      <c r="J30" s="131" t="s">
        <v>1133</v>
      </c>
      <c r="K30" s="131" t="s">
        <v>1260</v>
      </c>
    </row>
    <row r="31" spans="1:11" ht="16.5" customHeight="1" x14ac:dyDescent="0.25">
      <c r="A31" s="136">
        <v>1148</v>
      </c>
      <c r="B31" s="132">
        <v>45461</v>
      </c>
      <c r="C31" s="131" t="s">
        <v>1185</v>
      </c>
      <c r="D31" s="131" t="s">
        <v>16</v>
      </c>
      <c r="E31" s="131" t="s">
        <v>1160</v>
      </c>
      <c r="F31" s="131" t="s">
        <v>1186</v>
      </c>
      <c r="G31" s="131">
        <v>9</v>
      </c>
      <c r="H31" s="131">
        <v>349</v>
      </c>
      <c r="I31" s="131">
        <f t="shared" si="0"/>
        <v>3141</v>
      </c>
      <c r="J31" s="131" t="s">
        <v>1257</v>
      </c>
      <c r="K31" s="131" t="s">
        <v>1260</v>
      </c>
    </row>
    <row r="32" spans="1:11" ht="16.5" customHeight="1" x14ac:dyDescent="0.25">
      <c r="A32" s="136">
        <v>1087</v>
      </c>
      <c r="B32" s="132">
        <v>45368</v>
      </c>
      <c r="C32" s="131" t="s">
        <v>1187</v>
      </c>
      <c r="D32" s="131" t="s">
        <v>20</v>
      </c>
      <c r="E32" s="131" t="s">
        <v>1172</v>
      </c>
      <c r="F32" s="131" t="s">
        <v>1188</v>
      </c>
      <c r="G32" s="131">
        <v>1</v>
      </c>
      <c r="H32" s="131">
        <v>599</v>
      </c>
      <c r="I32" s="131">
        <f t="shared" si="0"/>
        <v>599</v>
      </c>
      <c r="J32" s="131" t="s">
        <v>1169</v>
      </c>
      <c r="K32" s="131" t="s">
        <v>1184</v>
      </c>
    </row>
    <row r="33" spans="1:11" ht="16.5" customHeight="1" x14ac:dyDescent="0.25">
      <c r="A33" s="136">
        <v>1094</v>
      </c>
      <c r="B33" s="132">
        <v>45603</v>
      </c>
      <c r="C33" s="131" t="s">
        <v>1227</v>
      </c>
      <c r="D33" s="131" t="str">
        <f>D32</f>
        <v>West</v>
      </c>
      <c r="E33" s="131" t="s">
        <v>1172</v>
      </c>
      <c r="F33" s="131" t="s">
        <v>1189</v>
      </c>
      <c r="G33" s="131">
        <v>3</v>
      </c>
      <c r="H33" s="131">
        <v>99</v>
      </c>
      <c r="I33" s="131">
        <f t="shared" si="0"/>
        <v>297</v>
      </c>
      <c r="J33" s="131" t="s">
        <v>1257</v>
      </c>
      <c r="K33" s="131" t="s">
        <v>1260</v>
      </c>
    </row>
    <row r="34" spans="1:11" ht="16.5" customHeight="1" x14ac:dyDescent="0.25">
      <c r="A34" s="136">
        <v>1105</v>
      </c>
      <c r="B34" s="132">
        <v>45497</v>
      </c>
      <c r="C34" s="131" t="s">
        <v>1190</v>
      </c>
      <c r="D34" s="131" t="s">
        <v>8</v>
      </c>
      <c r="E34" s="131" t="s">
        <v>1160</v>
      </c>
      <c r="F34" s="131" t="s">
        <v>1158</v>
      </c>
      <c r="G34" s="131">
        <v>6</v>
      </c>
      <c r="H34" s="131">
        <v>999</v>
      </c>
      <c r="I34" s="131">
        <f t="shared" ref="I34:I65" si="1">G34*H34</f>
        <v>5994</v>
      </c>
      <c r="J34" s="131" t="s">
        <v>1169</v>
      </c>
      <c r="K34" s="131" t="s">
        <v>1260</v>
      </c>
    </row>
    <row r="35" spans="1:11" ht="16.5" customHeight="1" x14ac:dyDescent="0.25">
      <c r="A35" s="136">
        <v>1058</v>
      </c>
      <c r="B35" s="133">
        <v>45498</v>
      </c>
      <c r="C35" s="131" t="s">
        <v>1191</v>
      </c>
      <c r="D35" s="131" t="s">
        <v>12</v>
      </c>
      <c r="E35" s="131" t="s">
        <v>1192</v>
      </c>
      <c r="F35" s="131" t="s">
        <v>984</v>
      </c>
      <c r="G35" s="131">
        <v>5</v>
      </c>
      <c r="H35" s="131">
        <v>1499</v>
      </c>
      <c r="I35" s="131">
        <f t="shared" si="1"/>
        <v>7495</v>
      </c>
      <c r="J35" s="131" t="s">
        <v>1133</v>
      </c>
      <c r="K35" s="131" t="s">
        <v>1260</v>
      </c>
    </row>
    <row r="36" spans="1:11" ht="16.5" customHeight="1" x14ac:dyDescent="0.25">
      <c r="A36" s="136">
        <v>1045</v>
      </c>
      <c r="B36" s="132">
        <v>45608</v>
      </c>
      <c r="C36" s="131" t="s">
        <v>1228</v>
      </c>
      <c r="D36" s="131" t="s">
        <v>8</v>
      </c>
      <c r="E36" s="131" t="s">
        <v>1258</v>
      </c>
      <c r="F36" s="131" t="s">
        <v>1193</v>
      </c>
      <c r="G36" s="131">
        <v>1</v>
      </c>
      <c r="H36" s="131">
        <v>199</v>
      </c>
      <c r="I36" s="131">
        <f t="shared" si="1"/>
        <v>199</v>
      </c>
      <c r="J36" s="131" t="s">
        <v>1169</v>
      </c>
      <c r="K36" s="131" t="s">
        <v>1260</v>
      </c>
    </row>
    <row r="37" spans="1:11" ht="16.5" customHeight="1" x14ac:dyDescent="0.25">
      <c r="A37" s="136">
        <v>1024</v>
      </c>
      <c r="B37" s="132">
        <v>45357</v>
      </c>
      <c r="C37" s="131" t="s">
        <v>1194</v>
      </c>
      <c r="D37" s="131" t="s">
        <v>12</v>
      </c>
      <c r="E37" s="131" t="s">
        <v>28</v>
      </c>
      <c r="F37" s="131" t="s">
        <v>1178</v>
      </c>
      <c r="G37" s="131">
        <v>11</v>
      </c>
      <c r="H37" s="131">
        <v>349</v>
      </c>
      <c r="I37" s="131">
        <f t="shared" si="1"/>
        <v>3839</v>
      </c>
      <c r="J37" s="131" t="s">
        <v>1159</v>
      </c>
      <c r="K37" s="131" t="s">
        <v>1260</v>
      </c>
    </row>
    <row r="38" spans="1:11" ht="16.5" customHeight="1" x14ac:dyDescent="0.25">
      <c r="A38" s="136">
        <v>1109</v>
      </c>
      <c r="B38" s="132">
        <v>45396</v>
      </c>
      <c r="C38" s="131" t="s">
        <v>1248</v>
      </c>
      <c r="D38" s="131" t="s">
        <v>8</v>
      </c>
      <c r="E38" s="131" t="s">
        <v>988</v>
      </c>
      <c r="F38" s="131" t="s">
        <v>1195</v>
      </c>
      <c r="G38" s="131">
        <v>7</v>
      </c>
      <c r="H38" s="131">
        <v>299</v>
      </c>
      <c r="I38" s="131">
        <f t="shared" si="1"/>
        <v>2093</v>
      </c>
      <c r="J38" s="131" t="s">
        <v>1159</v>
      </c>
      <c r="K38" s="131" t="s">
        <v>1260</v>
      </c>
    </row>
    <row r="39" spans="1:11" ht="16.5" customHeight="1" x14ac:dyDescent="0.25">
      <c r="A39" s="136">
        <v>1143</v>
      </c>
      <c r="B39" s="132">
        <v>45630</v>
      </c>
      <c r="C39" s="131" t="s">
        <v>1249</v>
      </c>
      <c r="D39" s="131" t="s">
        <v>12</v>
      </c>
      <c r="E39" s="131" t="s">
        <v>28</v>
      </c>
      <c r="F39" s="131" t="s">
        <v>1178</v>
      </c>
      <c r="G39" s="131">
        <v>6</v>
      </c>
      <c r="H39" s="131">
        <v>249</v>
      </c>
      <c r="I39" s="131">
        <f t="shared" si="1"/>
        <v>1494</v>
      </c>
      <c r="J39" s="131" t="s">
        <v>1159</v>
      </c>
      <c r="K39" s="131" t="s">
        <v>1260</v>
      </c>
    </row>
    <row r="40" spans="1:11" ht="16.5" customHeight="1" x14ac:dyDescent="0.25">
      <c r="A40" s="136">
        <v>1085</v>
      </c>
      <c r="B40" s="132">
        <v>45431</v>
      </c>
      <c r="C40" s="131" t="s">
        <v>1229</v>
      </c>
      <c r="D40" s="131" t="s">
        <v>16</v>
      </c>
      <c r="E40" s="131" t="s">
        <v>1192</v>
      </c>
      <c r="F40" s="131" t="s">
        <v>1196</v>
      </c>
      <c r="G40" s="131">
        <v>5</v>
      </c>
      <c r="H40" s="131">
        <v>199</v>
      </c>
      <c r="I40" s="131">
        <f t="shared" si="1"/>
        <v>995</v>
      </c>
      <c r="J40" s="131" t="s">
        <v>1159</v>
      </c>
      <c r="K40" s="131" t="s">
        <v>1260</v>
      </c>
    </row>
    <row r="41" spans="1:11" ht="16.5" customHeight="1" x14ac:dyDescent="0.25">
      <c r="A41" s="136">
        <v>1093</v>
      </c>
      <c r="B41" s="132">
        <v>45519</v>
      </c>
      <c r="C41" s="131" t="s">
        <v>1197</v>
      </c>
      <c r="D41" s="131" t="s">
        <v>8</v>
      </c>
      <c r="E41" s="131" t="s">
        <v>1258</v>
      </c>
      <c r="F41" s="131" t="s">
        <v>1198</v>
      </c>
      <c r="G41" s="131">
        <v>10</v>
      </c>
      <c r="H41" s="131">
        <v>1199</v>
      </c>
      <c r="I41" s="131">
        <f t="shared" si="1"/>
        <v>11990</v>
      </c>
      <c r="J41" s="131" t="s">
        <v>1256</v>
      </c>
      <c r="K41" s="131" t="s">
        <v>1260</v>
      </c>
    </row>
    <row r="42" spans="1:11" ht="16.5" customHeight="1" x14ac:dyDescent="0.25">
      <c r="A42" s="136">
        <v>1125</v>
      </c>
      <c r="B42" s="132">
        <v>45365</v>
      </c>
      <c r="C42" s="131" t="s">
        <v>1199</v>
      </c>
      <c r="D42" s="131" t="s">
        <v>16</v>
      </c>
      <c r="E42" s="131" t="s">
        <v>1172</v>
      </c>
      <c r="F42" s="131" t="s">
        <v>1173</v>
      </c>
      <c r="G42" s="131">
        <v>10</v>
      </c>
      <c r="H42" s="131">
        <v>799</v>
      </c>
      <c r="I42" s="131">
        <f t="shared" si="1"/>
        <v>7990</v>
      </c>
      <c r="J42" s="131" t="s">
        <v>1159</v>
      </c>
      <c r="K42" s="131" t="s">
        <v>1260</v>
      </c>
    </row>
    <row r="43" spans="1:11" ht="16.5" customHeight="1" x14ac:dyDescent="0.25">
      <c r="A43" s="136">
        <v>1146</v>
      </c>
      <c r="B43" s="132">
        <v>45636</v>
      </c>
      <c r="C43" s="131" t="s">
        <v>1200</v>
      </c>
      <c r="D43" s="131" t="s">
        <v>20</v>
      </c>
      <c r="E43" s="131" t="s">
        <v>988</v>
      </c>
      <c r="F43" s="131" t="s">
        <v>1170</v>
      </c>
      <c r="G43" s="131">
        <v>4</v>
      </c>
      <c r="H43" s="131">
        <v>2499</v>
      </c>
      <c r="I43" s="131">
        <f t="shared" si="1"/>
        <v>9996</v>
      </c>
      <c r="J43" s="131" t="s">
        <v>1169</v>
      </c>
      <c r="K43" s="131" t="s">
        <v>1260</v>
      </c>
    </row>
    <row r="44" spans="1:11" ht="16.5" customHeight="1" x14ac:dyDescent="0.25">
      <c r="A44" s="136">
        <v>1074</v>
      </c>
      <c r="B44" s="132">
        <v>45586</v>
      </c>
      <c r="C44" s="131" t="s">
        <v>1201</v>
      </c>
      <c r="D44" s="131" t="s">
        <v>8</v>
      </c>
      <c r="E44" s="131" t="s">
        <v>988</v>
      </c>
      <c r="F44" s="131" t="s">
        <v>984</v>
      </c>
      <c r="G44" s="131">
        <v>8</v>
      </c>
      <c r="H44" s="131">
        <v>199</v>
      </c>
      <c r="I44" s="131">
        <f t="shared" si="1"/>
        <v>1592</v>
      </c>
      <c r="J44" s="131" t="s">
        <v>1169</v>
      </c>
      <c r="K44" s="131" t="s">
        <v>1260</v>
      </c>
    </row>
    <row r="45" spans="1:11" ht="16.5" customHeight="1" x14ac:dyDescent="0.25">
      <c r="A45" s="136">
        <v>1046</v>
      </c>
      <c r="B45" s="132">
        <v>45532</v>
      </c>
      <c r="C45" s="131" t="s">
        <v>1230</v>
      </c>
      <c r="D45" s="131" t="s">
        <v>20</v>
      </c>
      <c r="E45" s="131" t="s">
        <v>1160</v>
      </c>
      <c r="F45" s="131" t="s">
        <v>1161</v>
      </c>
      <c r="G45" s="131">
        <v>11</v>
      </c>
      <c r="H45" s="131">
        <v>1999</v>
      </c>
      <c r="I45" s="131">
        <f t="shared" si="1"/>
        <v>21989</v>
      </c>
      <c r="J45" s="131" t="s">
        <v>1257</v>
      </c>
      <c r="K45" s="131" t="s">
        <v>1260</v>
      </c>
    </row>
    <row r="46" spans="1:11" ht="16.5" customHeight="1" x14ac:dyDescent="0.25">
      <c r="A46" s="136">
        <v>1067</v>
      </c>
      <c r="B46" s="132">
        <v>45651</v>
      </c>
      <c r="C46" s="131" t="s">
        <v>1250</v>
      </c>
      <c r="D46" s="131" t="s">
        <v>20</v>
      </c>
      <c r="E46" s="131" t="s">
        <v>1172</v>
      </c>
      <c r="F46" s="131" t="s">
        <v>1175</v>
      </c>
      <c r="G46" s="131">
        <v>9</v>
      </c>
      <c r="H46" s="131">
        <v>1199</v>
      </c>
      <c r="I46" s="131">
        <f t="shared" si="1"/>
        <v>10791</v>
      </c>
      <c r="J46" s="131" t="s">
        <v>1259</v>
      </c>
      <c r="K46" s="131" t="s">
        <v>1260</v>
      </c>
    </row>
    <row r="47" spans="1:11" ht="16.5" customHeight="1" x14ac:dyDescent="0.25">
      <c r="A47" s="136">
        <v>1001</v>
      </c>
      <c r="B47" s="132">
        <v>45393</v>
      </c>
      <c r="C47" s="131" t="s">
        <v>1251</v>
      </c>
      <c r="D47" s="131" t="s">
        <v>8</v>
      </c>
      <c r="E47" s="131" t="s">
        <v>28</v>
      </c>
      <c r="F47" s="131" t="s">
        <v>1171</v>
      </c>
      <c r="G47" s="131">
        <v>2</v>
      </c>
      <c r="H47" s="131">
        <v>399</v>
      </c>
      <c r="I47" s="131">
        <f t="shared" si="1"/>
        <v>798</v>
      </c>
      <c r="J47" s="131" t="s">
        <v>1159</v>
      </c>
      <c r="K47" s="131" t="s">
        <v>1260</v>
      </c>
    </row>
    <row r="48" spans="1:11" ht="16.5" customHeight="1" x14ac:dyDescent="0.25">
      <c r="A48" s="136">
        <v>1058</v>
      </c>
      <c r="B48" s="132">
        <f>B40</f>
        <v>45431</v>
      </c>
      <c r="C48" s="131" t="s">
        <v>1191</v>
      </c>
      <c r="D48" s="131" t="s">
        <v>12</v>
      </c>
      <c r="E48" s="131" t="s">
        <v>1192</v>
      </c>
      <c r="F48" s="131" t="s">
        <v>984</v>
      </c>
      <c r="G48" s="131">
        <v>5</v>
      </c>
      <c r="H48" s="131">
        <v>1499</v>
      </c>
      <c r="I48" s="131">
        <f t="shared" si="1"/>
        <v>7495</v>
      </c>
      <c r="J48" s="131" t="s">
        <v>1133</v>
      </c>
      <c r="K48" s="131" t="s">
        <v>1260</v>
      </c>
    </row>
    <row r="49" spans="1:11" ht="16.5" customHeight="1" x14ac:dyDescent="0.25">
      <c r="A49" s="136">
        <v>1012</v>
      </c>
      <c r="B49" s="132">
        <v>45301</v>
      </c>
      <c r="C49" s="131" t="s">
        <v>1231</v>
      </c>
      <c r="D49" s="131" t="s">
        <v>8</v>
      </c>
      <c r="E49" s="131" t="s">
        <v>28</v>
      </c>
      <c r="F49" s="131" t="s">
        <v>1182</v>
      </c>
      <c r="G49" s="131">
        <v>2</v>
      </c>
      <c r="H49" s="131">
        <v>499</v>
      </c>
      <c r="I49" s="131">
        <f t="shared" si="1"/>
        <v>998</v>
      </c>
      <c r="J49" s="131" t="s">
        <v>1133</v>
      </c>
      <c r="K49" s="131" t="s">
        <v>1260</v>
      </c>
    </row>
    <row r="50" spans="1:11" ht="16.5" customHeight="1" x14ac:dyDescent="0.25">
      <c r="A50" s="136">
        <v>1151</v>
      </c>
      <c r="B50" s="132">
        <v>45599</v>
      </c>
      <c r="C50" s="131" t="s">
        <v>1202</v>
      </c>
      <c r="D50" s="131" t="s">
        <v>8</v>
      </c>
      <c r="E50" s="131" t="s">
        <v>1258</v>
      </c>
      <c r="F50" s="131" t="s">
        <v>1162</v>
      </c>
      <c r="G50" s="131">
        <v>9</v>
      </c>
      <c r="H50" s="131">
        <v>999</v>
      </c>
      <c r="I50" s="131">
        <f t="shared" si="1"/>
        <v>8991</v>
      </c>
      <c r="J50" s="131" t="s">
        <v>1257</v>
      </c>
      <c r="K50" s="131" t="s">
        <v>1260</v>
      </c>
    </row>
    <row r="51" spans="1:11" ht="16.5" customHeight="1" x14ac:dyDescent="0.25">
      <c r="A51" s="136">
        <v>1117</v>
      </c>
      <c r="B51" s="132">
        <v>45520</v>
      </c>
      <c r="C51" s="131" t="s">
        <v>1232</v>
      </c>
      <c r="D51" s="131" t="s">
        <v>12</v>
      </c>
      <c r="E51" s="131" t="s">
        <v>28</v>
      </c>
      <c r="F51" s="131" t="s">
        <v>1168</v>
      </c>
      <c r="G51" s="131">
        <v>1</v>
      </c>
      <c r="H51" s="131">
        <v>599</v>
      </c>
      <c r="I51" s="131">
        <f t="shared" si="1"/>
        <v>599</v>
      </c>
      <c r="J51" s="131" t="s">
        <v>1130</v>
      </c>
      <c r="K51" s="131" t="s">
        <v>1260</v>
      </c>
    </row>
    <row r="52" spans="1:11" ht="16.5" customHeight="1" x14ac:dyDescent="0.25">
      <c r="A52" s="136">
        <v>1048</v>
      </c>
      <c r="B52" s="132">
        <v>45421</v>
      </c>
      <c r="C52" s="131" t="s">
        <v>1252</v>
      </c>
      <c r="D52" s="131" t="s">
        <v>8</v>
      </c>
      <c r="E52" s="131" t="s">
        <v>1258</v>
      </c>
      <c r="F52" s="131" t="s">
        <v>1162</v>
      </c>
      <c r="G52" s="131">
        <v>5</v>
      </c>
      <c r="H52" s="131">
        <v>1499</v>
      </c>
      <c r="I52" s="131">
        <f t="shared" si="1"/>
        <v>7495</v>
      </c>
      <c r="J52" s="131" t="s">
        <v>1133</v>
      </c>
      <c r="K52" s="131" t="s">
        <v>1260</v>
      </c>
    </row>
    <row r="53" spans="1:11" ht="16.5" customHeight="1" x14ac:dyDescent="0.25">
      <c r="A53" s="136">
        <v>1158</v>
      </c>
      <c r="B53" s="132">
        <v>45457</v>
      </c>
      <c r="C53" s="131" t="s">
        <v>1233</v>
      </c>
      <c r="D53" s="131" t="s">
        <v>16</v>
      </c>
      <c r="E53" s="131" t="s">
        <v>1172</v>
      </c>
      <c r="F53" s="131" t="s">
        <v>1203</v>
      </c>
      <c r="G53" s="131">
        <v>7</v>
      </c>
      <c r="H53" s="131">
        <v>399</v>
      </c>
      <c r="I53" s="131">
        <f t="shared" si="1"/>
        <v>2793</v>
      </c>
      <c r="J53" s="131" t="s">
        <v>1130</v>
      </c>
      <c r="K53" s="131" t="s">
        <v>1204</v>
      </c>
    </row>
    <row r="54" spans="1:11" ht="16.5" customHeight="1" x14ac:dyDescent="0.25">
      <c r="A54" s="136">
        <v>1139</v>
      </c>
      <c r="B54" s="132">
        <v>45336</v>
      </c>
      <c r="C54" s="131" t="s">
        <v>1205</v>
      </c>
      <c r="D54" s="131" t="s">
        <v>8</v>
      </c>
      <c r="E54" s="131" t="s">
        <v>988</v>
      </c>
      <c r="F54" s="131" t="s">
        <v>1206</v>
      </c>
      <c r="G54" s="131">
        <v>6</v>
      </c>
      <c r="H54" s="131">
        <v>599</v>
      </c>
      <c r="I54" s="131">
        <f t="shared" si="1"/>
        <v>3594</v>
      </c>
      <c r="J54" s="131" t="s">
        <v>1257</v>
      </c>
      <c r="K54" s="131" t="s">
        <v>1260</v>
      </c>
    </row>
    <row r="55" spans="1:11" ht="16.5" customHeight="1" x14ac:dyDescent="0.25">
      <c r="A55" s="136">
        <v>1063</v>
      </c>
      <c r="B55" s="132">
        <v>45400</v>
      </c>
      <c r="C55" s="131" t="s">
        <v>1253</v>
      </c>
      <c r="D55" s="131" t="s">
        <v>16</v>
      </c>
      <c r="E55" s="131" t="s">
        <v>28</v>
      </c>
      <c r="F55" s="131" t="s">
        <v>1168</v>
      </c>
      <c r="G55" s="131">
        <v>2</v>
      </c>
      <c r="H55" s="131">
        <v>1499</v>
      </c>
      <c r="I55" s="131">
        <f t="shared" si="1"/>
        <v>2998</v>
      </c>
      <c r="J55" s="131" t="s">
        <v>1259</v>
      </c>
      <c r="K55" s="131" t="s">
        <v>1184</v>
      </c>
    </row>
    <row r="56" spans="1:11" ht="16.5" customHeight="1" x14ac:dyDescent="0.25">
      <c r="A56" s="136">
        <v>1153</v>
      </c>
      <c r="B56" s="132">
        <v>45526</v>
      </c>
      <c r="C56" s="131" t="s">
        <v>1234</v>
      </c>
      <c r="D56" s="131" t="s">
        <v>12</v>
      </c>
      <c r="E56" s="131" t="s">
        <v>988</v>
      </c>
      <c r="F56" s="131" t="s">
        <v>1207</v>
      </c>
      <c r="G56" s="131">
        <v>9</v>
      </c>
      <c r="H56" s="131">
        <v>699</v>
      </c>
      <c r="I56" s="131">
        <f t="shared" si="1"/>
        <v>6291</v>
      </c>
      <c r="J56" s="131" t="s">
        <v>1257</v>
      </c>
      <c r="K56" s="131" t="s">
        <v>1184</v>
      </c>
    </row>
    <row r="57" spans="1:11" ht="16.5" customHeight="1" x14ac:dyDescent="0.25">
      <c r="A57" s="136">
        <v>1107</v>
      </c>
      <c r="B57" s="132">
        <v>45551</v>
      </c>
      <c r="C57" s="131" t="s">
        <v>1208</v>
      </c>
      <c r="D57" s="131" t="s">
        <v>12</v>
      </c>
      <c r="E57" s="131" t="s">
        <v>1172</v>
      </c>
      <c r="F57" s="131" t="s">
        <v>1203</v>
      </c>
      <c r="G57" s="131">
        <v>7</v>
      </c>
      <c r="H57" s="131">
        <v>699</v>
      </c>
      <c r="I57" s="131">
        <f t="shared" si="1"/>
        <v>4893</v>
      </c>
      <c r="J57" s="131" t="s">
        <v>1159</v>
      </c>
      <c r="K57" s="131" t="s">
        <v>1260</v>
      </c>
    </row>
    <row r="58" spans="1:11" ht="16.5" customHeight="1" x14ac:dyDescent="0.25">
      <c r="A58" s="136">
        <v>1030</v>
      </c>
      <c r="B58" s="132">
        <v>45453</v>
      </c>
      <c r="C58" s="131" t="s">
        <v>1235</v>
      </c>
      <c r="D58" s="131" t="s">
        <v>20</v>
      </c>
      <c r="E58" s="131" t="s">
        <v>988</v>
      </c>
      <c r="F58" s="131" t="s">
        <v>1170</v>
      </c>
      <c r="G58" s="131">
        <v>7</v>
      </c>
      <c r="H58" s="131">
        <v>1199</v>
      </c>
      <c r="I58" s="131">
        <f t="shared" si="1"/>
        <v>8393</v>
      </c>
      <c r="J58" s="131" t="s">
        <v>1163</v>
      </c>
      <c r="K58" s="131" t="s">
        <v>1260</v>
      </c>
    </row>
    <row r="59" spans="1:11" ht="16.5" customHeight="1" x14ac:dyDescent="0.25">
      <c r="A59" s="136">
        <v>1144</v>
      </c>
      <c r="B59" s="132">
        <v>45370</v>
      </c>
      <c r="C59" s="131" t="s">
        <v>1209</v>
      </c>
      <c r="D59" s="131" t="s">
        <v>8</v>
      </c>
      <c r="E59" s="131" t="s">
        <v>28</v>
      </c>
      <c r="F59" s="131" t="s">
        <v>1210</v>
      </c>
      <c r="G59" s="131">
        <v>5</v>
      </c>
      <c r="H59" s="131">
        <v>499</v>
      </c>
      <c r="I59" s="131">
        <f t="shared" si="1"/>
        <v>2495</v>
      </c>
      <c r="J59" s="131" t="s">
        <v>1257</v>
      </c>
      <c r="K59" s="131" t="s">
        <v>1184</v>
      </c>
    </row>
    <row r="60" spans="1:11" ht="16.5" customHeight="1" x14ac:dyDescent="0.25">
      <c r="A60" s="136">
        <v>1092</v>
      </c>
      <c r="B60" s="132">
        <v>45480</v>
      </c>
      <c r="C60" s="131" t="s">
        <v>1236</v>
      </c>
      <c r="D60" s="131" t="s">
        <v>20</v>
      </c>
      <c r="E60" s="131" t="s">
        <v>28</v>
      </c>
      <c r="F60" s="131" t="s">
        <v>1182</v>
      </c>
      <c r="G60" s="131">
        <v>3</v>
      </c>
      <c r="H60" s="131">
        <v>1999</v>
      </c>
      <c r="I60" s="131">
        <f t="shared" si="1"/>
        <v>5997</v>
      </c>
      <c r="J60" s="131" t="s">
        <v>1163</v>
      </c>
      <c r="K60" s="131" t="s">
        <v>1260</v>
      </c>
    </row>
    <row r="61" spans="1:11" ht="16.5" customHeight="1" x14ac:dyDescent="0.25">
      <c r="A61" s="136">
        <v>1060</v>
      </c>
      <c r="B61" s="132">
        <v>45618</v>
      </c>
      <c r="C61" s="131" t="s">
        <v>1211</v>
      </c>
      <c r="D61" s="131" t="s">
        <v>8</v>
      </c>
      <c r="E61" s="131" t="s">
        <v>1172</v>
      </c>
      <c r="F61" s="131" t="s">
        <v>1175</v>
      </c>
      <c r="G61" s="131">
        <v>6</v>
      </c>
      <c r="H61" s="131">
        <v>599</v>
      </c>
      <c r="I61" s="131">
        <f t="shared" si="1"/>
        <v>3594</v>
      </c>
      <c r="J61" s="131" t="s">
        <v>1133</v>
      </c>
      <c r="K61" s="131" t="s">
        <v>1260</v>
      </c>
    </row>
    <row r="62" spans="1:11" ht="16.5" customHeight="1" x14ac:dyDescent="0.25">
      <c r="A62" s="136">
        <v>1091</v>
      </c>
      <c r="B62" s="132">
        <v>45422</v>
      </c>
      <c r="C62" s="131" t="s">
        <v>1254</v>
      </c>
      <c r="D62" s="131" t="s">
        <v>8</v>
      </c>
      <c r="E62" s="131" t="str">
        <f>E58</f>
        <v>Electronics</v>
      </c>
      <c r="F62" s="131" t="s">
        <v>1170</v>
      </c>
      <c r="G62" s="131">
        <v>9</v>
      </c>
      <c r="H62" s="131">
        <v>999</v>
      </c>
      <c r="I62" s="131">
        <f t="shared" si="1"/>
        <v>8991</v>
      </c>
      <c r="J62" s="131" t="s">
        <v>1163</v>
      </c>
      <c r="K62" s="131" t="s">
        <v>1260</v>
      </c>
    </row>
    <row r="63" spans="1:11" ht="16.5" customHeight="1" x14ac:dyDescent="0.25">
      <c r="A63" s="136">
        <v>1016</v>
      </c>
      <c r="B63" s="132">
        <v>45580</v>
      </c>
      <c r="C63" s="131" t="s">
        <v>1212</v>
      </c>
      <c r="D63" s="131" t="s">
        <v>20</v>
      </c>
      <c r="E63" s="131" t="s">
        <v>1258</v>
      </c>
      <c r="F63" s="131" t="s">
        <v>1193</v>
      </c>
      <c r="G63" s="131">
        <v>2</v>
      </c>
      <c r="H63" s="131">
        <v>99</v>
      </c>
      <c r="I63" s="131">
        <f t="shared" si="1"/>
        <v>198</v>
      </c>
      <c r="J63" s="131" t="s">
        <v>1133</v>
      </c>
      <c r="K63" s="131" t="s">
        <v>1260</v>
      </c>
    </row>
    <row r="64" spans="1:11" ht="16.5" customHeight="1" x14ac:dyDescent="0.25">
      <c r="A64" s="136">
        <v>1004</v>
      </c>
      <c r="B64" s="132">
        <v>45379</v>
      </c>
      <c r="C64" s="131" t="s">
        <v>1213</v>
      </c>
      <c r="D64" s="131" t="s">
        <v>12</v>
      </c>
      <c r="E64" s="131" t="s">
        <v>1258</v>
      </c>
      <c r="F64" s="131" t="s">
        <v>1214</v>
      </c>
      <c r="G64" s="131">
        <v>5</v>
      </c>
      <c r="H64" s="131">
        <v>199</v>
      </c>
      <c r="I64" s="131">
        <f t="shared" si="1"/>
        <v>995</v>
      </c>
      <c r="J64" s="131" t="s">
        <v>1163</v>
      </c>
      <c r="K64" s="131" t="s">
        <v>1260</v>
      </c>
    </row>
    <row r="65" spans="1:11" ht="16.5" customHeight="1" x14ac:dyDescent="0.25">
      <c r="A65" s="136">
        <v>1119</v>
      </c>
      <c r="B65" s="132">
        <f>B68</f>
        <v>45532</v>
      </c>
      <c r="C65" s="131" t="s">
        <v>1255</v>
      </c>
      <c r="D65" s="131" t="str">
        <f>D64</f>
        <v>South</v>
      </c>
      <c r="E65" s="131" t="s">
        <v>1160</v>
      </c>
      <c r="F65" s="131" t="s">
        <v>1158</v>
      </c>
      <c r="G65" s="131">
        <v>10</v>
      </c>
      <c r="H65" s="131">
        <v>199</v>
      </c>
      <c r="I65" s="131">
        <f t="shared" si="1"/>
        <v>1990</v>
      </c>
      <c r="J65" s="131" t="s">
        <v>1130</v>
      </c>
      <c r="K65" s="131" t="s">
        <v>1184</v>
      </c>
    </row>
    <row r="66" spans="1:11" ht="16.5" customHeight="1" x14ac:dyDescent="0.25">
      <c r="A66" s="136">
        <v>1150</v>
      </c>
      <c r="B66" s="132">
        <v>45526</v>
      </c>
      <c r="C66" s="131" t="s">
        <v>1215</v>
      </c>
      <c r="D66" s="131" t="s">
        <v>16</v>
      </c>
      <c r="E66" s="131" t="s">
        <v>28</v>
      </c>
      <c r="F66" s="131" t="s">
        <v>1178</v>
      </c>
      <c r="G66" s="131">
        <v>10</v>
      </c>
      <c r="H66" s="131">
        <v>249</v>
      </c>
      <c r="I66" s="131">
        <f t="shared" ref="I66:I71" si="2">G66*H66</f>
        <v>2490</v>
      </c>
      <c r="J66" s="131" t="s">
        <v>1133</v>
      </c>
      <c r="K66" s="131" t="s">
        <v>1260</v>
      </c>
    </row>
    <row r="67" spans="1:11" ht="16.5" customHeight="1" x14ac:dyDescent="0.25">
      <c r="A67" s="136">
        <v>1075</v>
      </c>
      <c r="B67" s="132">
        <v>45497</v>
      </c>
      <c r="C67" s="131" t="s">
        <v>1237</v>
      </c>
      <c r="D67" s="131" t="s">
        <v>20</v>
      </c>
      <c r="E67" s="131" t="s">
        <v>1258</v>
      </c>
      <c r="F67" s="131" t="s">
        <v>1198</v>
      </c>
      <c r="G67" s="131">
        <v>2</v>
      </c>
      <c r="H67" s="131">
        <v>499</v>
      </c>
      <c r="I67" s="131">
        <f t="shared" si="2"/>
        <v>998</v>
      </c>
      <c r="J67" s="131" t="s">
        <v>1133</v>
      </c>
      <c r="K67" s="131" t="s">
        <v>1260</v>
      </c>
    </row>
    <row r="68" spans="1:11" ht="16.5" customHeight="1" x14ac:dyDescent="0.25">
      <c r="A68" s="136">
        <v>1089</v>
      </c>
      <c r="B68" s="132">
        <v>45532</v>
      </c>
      <c r="C68" s="131" t="s">
        <v>1238</v>
      </c>
      <c r="D68" s="131" t="s">
        <v>16</v>
      </c>
      <c r="E68" s="131" t="s">
        <v>1172</v>
      </c>
      <c r="F68" s="131" t="s">
        <v>1173</v>
      </c>
      <c r="G68" s="131">
        <v>9</v>
      </c>
      <c r="H68" s="131">
        <v>99</v>
      </c>
      <c r="I68" s="131">
        <f t="shared" si="2"/>
        <v>891</v>
      </c>
      <c r="J68" s="131" t="s">
        <v>1259</v>
      </c>
      <c r="K68" s="131" t="s">
        <v>1260</v>
      </c>
    </row>
    <row r="69" spans="1:11" ht="16.5" customHeight="1" x14ac:dyDescent="0.25">
      <c r="A69" s="136">
        <v>1042</v>
      </c>
      <c r="B69" s="132">
        <v>45398</v>
      </c>
      <c r="C69" s="131" t="s">
        <v>1216</v>
      </c>
      <c r="D69" s="131" t="s">
        <v>16</v>
      </c>
      <c r="E69" s="131" t="s">
        <v>1172</v>
      </c>
      <c r="F69" s="131" t="s">
        <v>1173</v>
      </c>
      <c r="G69" s="131">
        <v>12</v>
      </c>
      <c r="H69" s="131">
        <v>249</v>
      </c>
      <c r="I69" s="131">
        <f t="shared" si="2"/>
        <v>2988</v>
      </c>
      <c r="J69" s="131" t="s">
        <v>1163</v>
      </c>
      <c r="K69" s="131" t="s">
        <v>1184</v>
      </c>
    </row>
    <row r="70" spans="1:11" ht="16.5" customHeight="1" x14ac:dyDescent="0.25">
      <c r="A70" s="136">
        <v>1079</v>
      </c>
      <c r="B70" s="132">
        <v>45335</v>
      </c>
      <c r="C70" s="131" t="s">
        <v>1217</v>
      </c>
      <c r="D70" s="131" t="s">
        <v>20</v>
      </c>
      <c r="E70" s="131" t="s">
        <v>1160</v>
      </c>
      <c r="F70" s="131" t="s">
        <v>1161</v>
      </c>
      <c r="G70" s="131">
        <v>2</v>
      </c>
      <c r="H70" s="131">
        <v>799</v>
      </c>
      <c r="I70" s="131">
        <f t="shared" si="2"/>
        <v>1598</v>
      </c>
      <c r="J70" s="131" t="s">
        <v>1259</v>
      </c>
      <c r="K70" s="131" t="s">
        <v>1260</v>
      </c>
    </row>
    <row r="71" spans="1:11" ht="16.5" customHeight="1" x14ac:dyDescent="0.25">
      <c r="A71" s="136">
        <v>1134</v>
      </c>
      <c r="B71" s="132">
        <v>45648</v>
      </c>
      <c r="C71" s="131" t="s">
        <v>1218</v>
      </c>
      <c r="D71" s="131" t="s">
        <v>16</v>
      </c>
      <c r="E71" s="131" t="s">
        <v>28</v>
      </c>
      <c r="F71" s="131" t="s">
        <v>1182</v>
      </c>
      <c r="G71" s="131">
        <v>7</v>
      </c>
      <c r="H71" s="131">
        <v>1499</v>
      </c>
      <c r="I71" s="131">
        <f t="shared" si="2"/>
        <v>10493</v>
      </c>
      <c r="J71" s="131" t="s">
        <v>1163</v>
      </c>
      <c r="K71" s="131" t="s">
        <v>1260</v>
      </c>
    </row>
    <row r="73" spans="1:11" ht="16.5" customHeight="1" x14ac:dyDescent="0.25">
      <c r="I73" s="129"/>
    </row>
    <row r="74" spans="1:11" ht="16.5" customHeight="1" x14ac:dyDescent="0.25">
      <c r="I74" s="129"/>
    </row>
    <row r="75" spans="1:11" ht="16.5" customHeight="1" x14ac:dyDescent="0.25">
      <c r="I75" s="129"/>
    </row>
    <row r="76" spans="1:11" ht="16.5" customHeight="1" x14ac:dyDescent="0.25">
      <c r="I76" s="129"/>
    </row>
  </sheetData>
  <conditionalFormatting sqref="K2:K71">
    <cfRule type="containsText" dxfId="4" priority="1" operator="containsText" text="Cancelled">
      <formula>NOT(ISERROR(SEARCH("Cancelled",K2)))</formula>
    </cfRule>
    <cfRule type="containsText" dxfId="3" priority="2" operator="containsText" text="Cancelled">
      <formula>NOT(ISERROR(SEARCH("Cancelled",K2)))</formula>
    </cfRule>
    <cfRule type="containsText" dxfId="2" priority="3" operator="containsText" text="Not Available">
      <formula>NOT(ISERROR(SEARCH("Not Available",K2)))</formula>
    </cfRule>
    <cfRule type="containsText" dxfId="1" priority="4" operator="containsText" text="CANCELLED">
      <formula>NOT(ISERROR(SEARCH("CANCELLED",K2)))</formula>
    </cfRule>
    <cfRule type="containsText" dxfId="0" priority="5" operator="containsText" text="Returned">
      <formula>NOT(ISERROR(SEARCH("Returned",K2)))</formula>
    </cfRule>
  </conditionalFormatting>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3A90-15A6-4D9D-80E3-150899D84E96}">
  <sheetPr codeName="Sheet41"/>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3546-A877-4C0D-8F4F-6E68665B7C65}">
  <sheetPr codeName="Sheet34"/>
  <dimension ref="E6:M7"/>
  <sheetViews>
    <sheetView workbookViewId="0">
      <selection activeCell="Q30" sqref="Q30"/>
    </sheetView>
  </sheetViews>
  <sheetFormatPr defaultRowHeight="15" x14ac:dyDescent="0.25"/>
  <cols>
    <col min="1" max="7" width="9.140625" style="139"/>
    <col min="8" max="8" width="16.5703125" style="139" bestFit="1" customWidth="1"/>
    <col min="9" max="9" width="9.140625" style="139"/>
    <col min="10" max="10" width="19.28515625" style="139" bestFit="1" customWidth="1"/>
    <col min="11" max="11" width="9.140625" style="139"/>
    <col min="12" max="12" width="22" style="139" customWidth="1"/>
    <col min="13" max="16384" width="9.140625" style="139"/>
  </cols>
  <sheetData>
    <row r="6" spans="5:13" x14ac:dyDescent="0.25">
      <c r="E6" s="140"/>
      <c r="F6" s="140" t="s">
        <v>1278</v>
      </c>
      <c r="G6" s="141"/>
      <c r="H6" s="140" t="s">
        <v>1279</v>
      </c>
      <c r="I6" s="141"/>
      <c r="J6" s="140" t="s">
        <v>1280</v>
      </c>
      <c r="K6" s="141"/>
      <c r="L6" s="140" t="s">
        <v>1282</v>
      </c>
      <c r="M6" s="141"/>
    </row>
    <row r="7" spans="5:13" x14ac:dyDescent="0.25">
      <c r="E7" s="140"/>
      <c r="F7" s="140">
        <f>SUM(GETPIVOTDATA("Average of Quantity",Sheet8!$A$80))</f>
        <v>6.628571428571429</v>
      </c>
      <c r="G7" s="141"/>
      <c r="H7" s="140">
        <f>SUM(GETPIVOTDATA("Sum of Sales Amount",Sheet8!$A$80))</f>
        <v>347436</v>
      </c>
      <c r="I7" s="141"/>
      <c r="J7" s="140">
        <f>SUM(GETPIVOTDATA("Count of Product",Sheet8!$A$80))</f>
        <v>70</v>
      </c>
      <c r="K7" s="141"/>
      <c r="L7" s="140">
        <f>SUM(GETPIVOTDATA("Count of Customer Name",Sheet8!$A$80))</f>
        <v>70</v>
      </c>
      <c r="M7" s="14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4B62-DF4C-4CAF-9DAC-8B2BA3F8FBF4}">
  <sheetPr codeName="Sheet35"/>
  <dimension ref="A3:F4"/>
  <sheetViews>
    <sheetView workbookViewId="0">
      <selection activeCell="B4" sqref="B4"/>
    </sheetView>
  </sheetViews>
  <sheetFormatPr defaultRowHeight="15" x14ac:dyDescent="0.25"/>
  <cols>
    <col min="1" max="1" width="20" bestFit="1" customWidth="1"/>
    <col min="2" max="2" width="26.140625" bestFit="1" customWidth="1"/>
    <col min="3" max="3" width="16.5703125" bestFit="1" customWidth="1"/>
    <col min="4" max="4" width="24.5703125" bestFit="1" customWidth="1"/>
    <col min="5" max="5" width="15.42578125" bestFit="1" customWidth="1"/>
    <col min="6" max="6" width="13.42578125" bestFit="1" customWidth="1"/>
  </cols>
  <sheetData>
    <row r="3" spans="1:6" x14ac:dyDescent="0.25">
      <c r="A3" t="s">
        <v>1261</v>
      </c>
      <c r="B3" t="s">
        <v>4334</v>
      </c>
      <c r="C3" t="s">
        <v>4332</v>
      </c>
      <c r="D3" t="s">
        <v>4333</v>
      </c>
      <c r="E3" t="s">
        <v>1275</v>
      </c>
      <c r="F3" t="s">
        <v>4331</v>
      </c>
    </row>
    <row r="4" spans="1:6" x14ac:dyDescent="0.25">
      <c r="A4" s="144">
        <v>21157326.5</v>
      </c>
      <c r="B4" s="145">
        <v>2.9790000000000001</v>
      </c>
      <c r="C4">
        <v>1000</v>
      </c>
      <c r="D4" s="144">
        <v>21157.326499999999</v>
      </c>
      <c r="E4" s="142">
        <v>3066</v>
      </c>
      <c r="F4" s="144">
        <v>3947701.7899999986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B4AC-9538-4DFD-ABB3-72CAE25206B1}">
  <sheetPr codeName="Sheet37"/>
  <dimension ref="E8:Q43"/>
  <sheetViews>
    <sheetView zoomScale="77" zoomScaleNormal="77" workbookViewId="0">
      <selection activeCell="E25" sqref="E25"/>
    </sheetView>
  </sheetViews>
  <sheetFormatPr defaultRowHeight="15" x14ac:dyDescent="0.25"/>
  <cols>
    <col min="1" max="4" width="9.140625" style="152"/>
    <col min="5" max="5" width="18.28515625" style="152" bestFit="1" customWidth="1"/>
    <col min="6" max="6" width="9.140625" style="152"/>
    <col min="7" max="7" width="18.28515625" style="152" bestFit="1" customWidth="1"/>
    <col min="8" max="8" width="9.140625" style="152"/>
    <col min="9" max="9" width="17.140625" style="152" bestFit="1" customWidth="1"/>
    <col min="10" max="10" width="9.140625" style="152"/>
    <col min="11" max="11" width="20.85546875" style="152" bestFit="1" customWidth="1"/>
    <col min="12" max="12" width="9.140625" style="152"/>
    <col min="13" max="13" width="23.140625" style="152" bestFit="1" customWidth="1"/>
    <col min="14" max="14" width="9.140625" style="152"/>
    <col min="15" max="15" width="23.140625" style="152" bestFit="1" customWidth="1"/>
    <col min="16" max="16" width="9.140625" style="152"/>
    <col min="17" max="17" width="19.28515625" style="152" bestFit="1" customWidth="1"/>
    <col min="18" max="16384" width="9.140625" style="152"/>
  </cols>
  <sheetData>
    <row r="8" spans="7:17" ht="24" x14ac:dyDescent="0.4">
      <c r="G8" s="154" t="s">
        <v>4335</v>
      </c>
      <c r="H8" s="155"/>
      <c r="I8" s="154" t="s">
        <v>4336</v>
      </c>
      <c r="J8" s="155"/>
      <c r="K8" s="154" t="s">
        <v>833</v>
      </c>
      <c r="L8" s="155"/>
      <c r="M8" s="154" t="s">
        <v>4337</v>
      </c>
      <c r="N8" s="155"/>
      <c r="O8" s="154" t="s">
        <v>4338</v>
      </c>
      <c r="P8" s="155"/>
      <c r="Q8" s="154" t="s">
        <v>4339</v>
      </c>
    </row>
    <row r="9" spans="7:17" ht="24" x14ac:dyDescent="0.4">
      <c r="G9" s="154">
        <f>SUM(GETPIVOTDATA("Sum of Sales Amount",Sheet16!$A$3))</f>
        <v>21157326.5</v>
      </c>
      <c r="H9" s="155"/>
      <c r="I9" s="154">
        <f>SUM(GETPIVOTDATA("Average of Customer Rating",Sheet16!$A$3))</f>
        <v>2.9790000000000001</v>
      </c>
      <c r="J9" s="155"/>
      <c r="K9" s="154">
        <f>SUM(GETPIVOTDATA("Average of Sales Amount2",Sheet16!$A$3))</f>
        <v>21157.326499999999</v>
      </c>
      <c r="L9" s="155"/>
      <c r="M9" s="154">
        <f>SUM(GETPIVOTDATA("Count of Order ID",Sheet16!$A$3))</f>
        <v>1000</v>
      </c>
      <c r="N9" s="155"/>
      <c r="O9" s="154">
        <f>SUM(GETPIVOTDATA("Sum of Quantity",Sheet16!$A$3))</f>
        <v>3066</v>
      </c>
      <c r="P9" s="155"/>
      <c r="Q9" s="154">
        <f>SUM(GETPIVOTDATA("Sum of Profit",Sheet16!$A$3))</f>
        <v>3947701.7899999986</v>
      </c>
    </row>
    <row r="10" spans="7:17" ht="18.75" x14ac:dyDescent="0.3">
      <c r="G10" s="153"/>
    </row>
    <row r="41" spans="5:16" ht="18.75" x14ac:dyDescent="0.3">
      <c r="E41" s="153"/>
      <c r="F41" s="153"/>
      <c r="G41" s="153"/>
      <c r="H41" s="153"/>
      <c r="I41" s="153"/>
      <c r="J41" s="153"/>
      <c r="K41" s="153"/>
      <c r="L41" s="153"/>
      <c r="M41" s="153"/>
      <c r="N41" s="153"/>
      <c r="O41" s="153"/>
      <c r="P41" s="153"/>
    </row>
    <row r="42" spans="5:16" ht="18.75" x14ac:dyDescent="0.3">
      <c r="E42" s="153"/>
      <c r="F42" s="153"/>
      <c r="G42" s="153"/>
      <c r="H42" s="153"/>
      <c r="I42" s="153"/>
      <c r="J42" s="153"/>
      <c r="K42" s="153"/>
      <c r="L42" s="153"/>
      <c r="M42" s="153"/>
      <c r="N42" s="153"/>
      <c r="O42" s="153"/>
      <c r="P42" s="153"/>
    </row>
    <row r="43" spans="5:16" ht="18.75" x14ac:dyDescent="0.3">
      <c r="E43" s="153"/>
      <c r="F43" s="153"/>
      <c r="G43" s="153"/>
      <c r="H43" s="153"/>
      <c r="I43" s="153"/>
      <c r="J43" s="153"/>
      <c r="K43" s="153"/>
      <c r="L43" s="153"/>
      <c r="M43" s="153"/>
      <c r="N43" s="153"/>
      <c r="O43" s="153"/>
      <c r="P43" s="15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0BD9-C8C8-44B7-AF5B-EE0D318205A7}">
  <sheetPr codeName="Sheet36"/>
  <dimension ref="A1:S1001"/>
  <sheetViews>
    <sheetView zoomScale="84" zoomScaleNormal="84" workbookViewId="0">
      <selection activeCell="D22" sqref="D22"/>
    </sheetView>
  </sheetViews>
  <sheetFormatPr defaultColWidth="11.140625" defaultRowHeight="15" x14ac:dyDescent="0.25"/>
  <cols>
    <col min="1" max="1" width="13.7109375" bestFit="1" customWidth="1"/>
    <col min="2" max="2" width="18.7109375" bestFit="1" customWidth="1"/>
    <col min="3" max="3" width="17" bestFit="1" customWidth="1"/>
    <col min="4" max="4" width="20.42578125" bestFit="1" customWidth="1"/>
    <col min="5" max="5" width="13" bestFit="1" customWidth="1"/>
    <col min="6" max="6" width="14.140625" bestFit="1" customWidth="1"/>
    <col min="7" max="7" width="11.5703125" bestFit="1" customWidth="1"/>
    <col min="8" max="8" width="13.85546875" bestFit="1" customWidth="1"/>
    <col min="9" max="9" width="14.7109375" bestFit="1" customWidth="1"/>
    <col min="10" max="10" width="13.85546875" bestFit="1" customWidth="1"/>
    <col min="11" max="11" width="18.140625" bestFit="1" customWidth="1"/>
    <col min="13" max="13" width="21.28515625" bestFit="1" customWidth="1"/>
    <col min="15" max="15" width="13" bestFit="1" customWidth="1"/>
    <col min="16" max="16" width="16.5703125" bestFit="1" customWidth="1"/>
    <col min="17" max="17" width="19.7109375" bestFit="1" customWidth="1"/>
    <col min="18" max="18" width="20.7109375" bestFit="1" customWidth="1"/>
  </cols>
  <sheetData>
    <row r="1" spans="1:19" x14ac:dyDescent="0.25">
      <c r="A1" s="146" t="s">
        <v>139</v>
      </c>
      <c r="B1" s="146" t="s">
        <v>1154</v>
      </c>
      <c r="C1" s="146" t="s">
        <v>1283</v>
      </c>
      <c r="D1" s="146" t="s">
        <v>1120</v>
      </c>
      <c r="E1" s="146" t="s">
        <v>673</v>
      </c>
      <c r="F1" s="146" t="s">
        <v>23</v>
      </c>
      <c r="G1" s="146" t="s">
        <v>1284</v>
      </c>
      <c r="H1" s="146" t="s">
        <v>127</v>
      </c>
      <c r="I1" s="146" t="s">
        <v>1155</v>
      </c>
      <c r="J1" s="146" t="s">
        <v>1285</v>
      </c>
      <c r="K1" s="146" t="s">
        <v>1156</v>
      </c>
      <c r="L1" s="146" t="s">
        <v>1286</v>
      </c>
      <c r="M1" s="146" t="s">
        <v>1157</v>
      </c>
      <c r="N1" s="146" t="s">
        <v>1287</v>
      </c>
      <c r="O1" s="146" t="s">
        <v>1288</v>
      </c>
      <c r="P1" s="146" t="s">
        <v>1289</v>
      </c>
      <c r="Q1" s="146" t="s">
        <v>1290</v>
      </c>
      <c r="R1" s="146" t="s">
        <v>1291</v>
      </c>
    </row>
    <row r="2" spans="1:19" x14ac:dyDescent="0.25">
      <c r="A2" s="5" t="s">
        <v>1292</v>
      </c>
      <c r="B2" s="147">
        <v>45862</v>
      </c>
      <c r="C2" s="5" t="s">
        <v>1293</v>
      </c>
      <c r="D2" s="5" t="s">
        <v>1294</v>
      </c>
      <c r="E2" s="5" t="s">
        <v>1295</v>
      </c>
      <c r="F2" s="5" t="s">
        <v>985</v>
      </c>
      <c r="G2" s="5" t="s">
        <v>1296</v>
      </c>
      <c r="H2" s="148">
        <v>5</v>
      </c>
      <c r="I2" s="149">
        <v>6059</v>
      </c>
      <c r="J2" s="150">
        <v>0</v>
      </c>
      <c r="K2" s="149">
        <v>30295</v>
      </c>
      <c r="L2" s="149">
        <v>3949.04</v>
      </c>
      <c r="M2" s="5" t="s">
        <v>1130</v>
      </c>
      <c r="N2" s="5" t="s">
        <v>1297</v>
      </c>
      <c r="O2" s="5" t="s">
        <v>1298</v>
      </c>
      <c r="P2" s="5" t="s">
        <v>1299</v>
      </c>
      <c r="Q2" s="5" t="s">
        <v>1300</v>
      </c>
      <c r="R2" s="151">
        <v>3</v>
      </c>
      <c r="S2" s="143"/>
    </row>
    <row r="3" spans="1:19" x14ac:dyDescent="0.25">
      <c r="A3" s="5" t="s">
        <v>1301</v>
      </c>
      <c r="B3" s="147">
        <v>45762</v>
      </c>
      <c r="C3" s="5" t="s">
        <v>1302</v>
      </c>
      <c r="D3" s="5" t="s">
        <v>1303</v>
      </c>
      <c r="E3" s="5" t="s">
        <v>1295</v>
      </c>
      <c r="F3" s="5" t="s">
        <v>985</v>
      </c>
      <c r="G3" s="5" t="s">
        <v>1296</v>
      </c>
      <c r="H3" s="148">
        <v>5</v>
      </c>
      <c r="I3" s="149">
        <v>3639</v>
      </c>
      <c r="J3" s="150">
        <v>0</v>
      </c>
      <c r="K3" s="149">
        <v>18195</v>
      </c>
      <c r="L3" s="149">
        <v>5181.43</v>
      </c>
      <c r="M3" s="5" t="s">
        <v>1130</v>
      </c>
      <c r="N3" s="5" t="s">
        <v>1304</v>
      </c>
      <c r="O3" s="5" t="s">
        <v>1305</v>
      </c>
      <c r="P3" s="5" t="s">
        <v>1299</v>
      </c>
      <c r="Q3" s="5" t="s">
        <v>1306</v>
      </c>
      <c r="R3" s="151">
        <v>4</v>
      </c>
      <c r="S3" s="143"/>
    </row>
    <row r="4" spans="1:19" x14ac:dyDescent="0.25">
      <c r="A4" s="5" t="s">
        <v>1307</v>
      </c>
      <c r="B4" s="147">
        <v>45983</v>
      </c>
      <c r="C4" s="5" t="s">
        <v>1308</v>
      </c>
      <c r="D4" s="5" t="s">
        <v>1309</v>
      </c>
      <c r="E4" s="5" t="s">
        <v>1310</v>
      </c>
      <c r="F4" s="5" t="s">
        <v>1311</v>
      </c>
      <c r="G4" s="5" t="s">
        <v>1312</v>
      </c>
      <c r="H4" s="148">
        <v>4</v>
      </c>
      <c r="I4" s="149">
        <v>2520</v>
      </c>
      <c r="J4" s="150">
        <v>0</v>
      </c>
      <c r="K4" s="149">
        <v>10080</v>
      </c>
      <c r="L4" s="149">
        <v>2867.57</v>
      </c>
      <c r="M4" s="5" t="s">
        <v>1313</v>
      </c>
      <c r="N4" s="5" t="s">
        <v>1304</v>
      </c>
      <c r="O4" s="5" t="s">
        <v>1305</v>
      </c>
      <c r="P4" s="5" t="s">
        <v>1314</v>
      </c>
      <c r="Q4" s="5" t="s">
        <v>1204</v>
      </c>
      <c r="R4" s="151">
        <v>4</v>
      </c>
      <c r="S4" s="143"/>
    </row>
    <row r="5" spans="1:19" x14ac:dyDescent="0.25">
      <c r="A5" s="5" t="s">
        <v>1315</v>
      </c>
      <c r="B5" s="147">
        <v>45718</v>
      </c>
      <c r="C5" s="5" t="s">
        <v>1316</v>
      </c>
      <c r="D5" s="5" t="s">
        <v>1317</v>
      </c>
      <c r="E5" s="5" t="s">
        <v>1318</v>
      </c>
      <c r="F5" s="5" t="s">
        <v>1319</v>
      </c>
      <c r="G5" s="5" t="s">
        <v>1320</v>
      </c>
      <c r="H5" s="148">
        <v>1</v>
      </c>
      <c r="I5" s="149">
        <v>10604</v>
      </c>
      <c r="J5" s="150">
        <v>0.15</v>
      </c>
      <c r="K5" s="149">
        <v>9013.4</v>
      </c>
      <c r="L5" s="149">
        <v>862.52</v>
      </c>
      <c r="M5" s="5" t="s">
        <v>1313</v>
      </c>
      <c r="N5" s="5" t="s">
        <v>1321</v>
      </c>
      <c r="O5" s="5" t="s">
        <v>1322</v>
      </c>
      <c r="P5" s="5" t="s">
        <v>1323</v>
      </c>
      <c r="Q5" s="5" t="s">
        <v>1306</v>
      </c>
      <c r="R5" s="151">
        <v>4</v>
      </c>
      <c r="S5" s="143"/>
    </row>
    <row r="6" spans="1:19" x14ac:dyDescent="0.25">
      <c r="A6" s="5" t="s">
        <v>1324</v>
      </c>
      <c r="B6" s="147">
        <v>45721</v>
      </c>
      <c r="C6" s="5" t="s">
        <v>1325</v>
      </c>
      <c r="D6" s="5" t="s">
        <v>1326</v>
      </c>
      <c r="E6" s="5" t="s">
        <v>1310</v>
      </c>
      <c r="F6" s="5" t="s">
        <v>1311</v>
      </c>
      <c r="G6" s="5" t="s">
        <v>1312</v>
      </c>
      <c r="H6" s="148">
        <v>3</v>
      </c>
      <c r="I6" s="149">
        <v>14673</v>
      </c>
      <c r="J6" s="150">
        <v>0</v>
      </c>
      <c r="K6" s="149">
        <v>44019</v>
      </c>
      <c r="L6" s="149">
        <v>12200.93</v>
      </c>
      <c r="M6" s="5" t="s">
        <v>1313</v>
      </c>
      <c r="N6" s="5" t="s">
        <v>1304</v>
      </c>
      <c r="O6" s="5" t="s">
        <v>1305</v>
      </c>
      <c r="P6" s="5" t="s">
        <v>1327</v>
      </c>
      <c r="Q6" s="5" t="s">
        <v>1184</v>
      </c>
      <c r="R6" s="151">
        <v>2</v>
      </c>
      <c r="S6" s="143"/>
    </row>
    <row r="7" spans="1:19" x14ac:dyDescent="0.25">
      <c r="A7" s="5" t="s">
        <v>1328</v>
      </c>
      <c r="B7" s="147">
        <v>45731</v>
      </c>
      <c r="C7" s="5" t="s">
        <v>1329</v>
      </c>
      <c r="D7" s="5" t="s">
        <v>1330</v>
      </c>
      <c r="E7" s="5" t="s">
        <v>1331</v>
      </c>
      <c r="F7" s="5" t="s">
        <v>988</v>
      </c>
      <c r="G7" s="5" t="s">
        <v>1332</v>
      </c>
      <c r="H7" s="148">
        <v>1</v>
      </c>
      <c r="I7" s="149">
        <v>8627</v>
      </c>
      <c r="J7" s="150">
        <v>0.1</v>
      </c>
      <c r="K7" s="149">
        <v>7764.3</v>
      </c>
      <c r="L7" s="149">
        <v>2271.81</v>
      </c>
      <c r="M7" s="5" t="s">
        <v>1313</v>
      </c>
      <c r="N7" s="5" t="s">
        <v>1321</v>
      </c>
      <c r="O7" s="5" t="s">
        <v>1322</v>
      </c>
      <c r="P7" s="5" t="s">
        <v>1299</v>
      </c>
      <c r="Q7" s="5" t="s">
        <v>1204</v>
      </c>
      <c r="R7" s="151">
        <v>3</v>
      </c>
      <c r="S7" s="143"/>
    </row>
    <row r="8" spans="1:19" x14ac:dyDescent="0.25">
      <c r="A8" s="5" t="s">
        <v>1333</v>
      </c>
      <c r="B8" s="147">
        <v>45977</v>
      </c>
      <c r="C8" s="5" t="s">
        <v>1334</v>
      </c>
      <c r="D8" s="5" t="s">
        <v>1335</v>
      </c>
      <c r="E8" s="5" t="s">
        <v>1195</v>
      </c>
      <c r="F8" s="5" t="s">
        <v>988</v>
      </c>
      <c r="G8" s="5" t="s">
        <v>1336</v>
      </c>
      <c r="H8" s="148">
        <v>3</v>
      </c>
      <c r="I8" s="149">
        <v>5419</v>
      </c>
      <c r="J8" s="150">
        <v>0.15</v>
      </c>
      <c r="K8" s="149">
        <v>13818.45</v>
      </c>
      <c r="L8" s="149">
        <v>1723.83</v>
      </c>
      <c r="M8" s="5" t="s">
        <v>1126</v>
      </c>
      <c r="N8" s="5" t="s">
        <v>1337</v>
      </c>
      <c r="O8" s="5" t="s">
        <v>1338</v>
      </c>
      <c r="P8" s="5" t="s">
        <v>1314</v>
      </c>
      <c r="Q8" s="5" t="s">
        <v>1204</v>
      </c>
      <c r="R8" s="151">
        <v>1</v>
      </c>
      <c r="S8" s="143"/>
    </row>
    <row r="9" spans="1:19" x14ac:dyDescent="0.25">
      <c r="A9" s="5" t="s">
        <v>1339</v>
      </c>
      <c r="B9" s="147">
        <v>45806</v>
      </c>
      <c r="C9" s="5" t="s">
        <v>1340</v>
      </c>
      <c r="D9" s="5" t="s">
        <v>1341</v>
      </c>
      <c r="E9" s="5" t="s">
        <v>1342</v>
      </c>
      <c r="F9" s="5" t="s">
        <v>988</v>
      </c>
      <c r="G9" s="5" t="s">
        <v>1343</v>
      </c>
      <c r="H9" s="148">
        <v>1</v>
      </c>
      <c r="I9" s="149">
        <v>6879</v>
      </c>
      <c r="J9" s="150">
        <v>0.15</v>
      </c>
      <c r="K9" s="149">
        <v>5847.15</v>
      </c>
      <c r="L9" s="149">
        <v>953.22</v>
      </c>
      <c r="M9" s="5" t="s">
        <v>1344</v>
      </c>
      <c r="N9" s="5" t="s">
        <v>1337</v>
      </c>
      <c r="O9" s="5" t="s">
        <v>1338</v>
      </c>
      <c r="P9" s="5" t="s">
        <v>1323</v>
      </c>
      <c r="Q9" s="5" t="s">
        <v>1300</v>
      </c>
      <c r="R9" s="151">
        <v>5</v>
      </c>
      <c r="S9" s="143"/>
    </row>
    <row r="10" spans="1:19" x14ac:dyDescent="0.25">
      <c r="A10" s="5" t="s">
        <v>1345</v>
      </c>
      <c r="B10" s="147">
        <v>45746</v>
      </c>
      <c r="C10" s="5" t="s">
        <v>1346</v>
      </c>
      <c r="D10" s="5" t="s">
        <v>1347</v>
      </c>
      <c r="E10" s="5" t="s">
        <v>1195</v>
      </c>
      <c r="F10" s="5" t="s">
        <v>988</v>
      </c>
      <c r="G10" s="5" t="s">
        <v>1336</v>
      </c>
      <c r="H10" s="148">
        <v>4</v>
      </c>
      <c r="I10" s="149">
        <v>10033</v>
      </c>
      <c r="J10" s="150">
        <v>0.05</v>
      </c>
      <c r="K10" s="149">
        <v>38125.4</v>
      </c>
      <c r="L10" s="149">
        <v>8831.7900000000009</v>
      </c>
      <c r="M10" s="5" t="s">
        <v>1313</v>
      </c>
      <c r="N10" s="5" t="s">
        <v>1321</v>
      </c>
      <c r="O10" s="5" t="s">
        <v>1322</v>
      </c>
      <c r="P10" s="5" t="s">
        <v>1348</v>
      </c>
      <c r="Q10" s="5" t="s">
        <v>1204</v>
      </c>
      <c r="R10" s="151">
        <v>2</v>
      </c>
      <c r="S10" s="143"/>
    </row>
    <row r="11" spans="1:19" x14ac:dyDescent="0.25">
      <c r="A11" s="5" t="s">
        <v>1349</v>
      </c>
      <c r="B11" s="147">
        <v>45724</v>
      </c>
      <c r="C11" s="5" t="s">
        <v>1350</v>
      </c>
      <c r="D11" s="5" t="s">
        <v>1351</v>
      </c>
      <c r="E11" s="5" t="s">
        <v>1195</v>
      </c>
      <c r="F11" s="5" t="s">
        <v>988</v>
      </c>
      <c r="G11" s="5" t="s">
        <v>1336</v>
      </c>
      <c r="H11" s="148">
        <v>1</v>
      </c>
      <c r="I11" s="149">
        <v>2263</v>
      </c>
      <c r="J11" s="150">
        <v>0.1</v>
      </c>
      <c r="K11" s="149">
        <v>2036.7</v>
      </c>
      <c r="L11" s="149">
        <v>606.39</v>
      </c>
      <c r="M11" s="5" t="s">
        <v>1130</v>
      </c>
      <c r="N11" s="5" t="s">
        <v>1352</v>
      </c>
      <c r="O11" s="5" t="s">
        <v>1352</v>
      </c>
      <c r="P11" s="5" t="s">
        <v>1327</v>
      </c>
      <c r="Q11" s="5" t="s">
        <v>1300</v>
      </c>
      <c r="R11" s="151">
        <v>4</v>
      </c>
      <c r="S11" s="143"/>
    </row>
    <row r="12" spans="1:19" x14ac:dyDescent="0.25">
      <c r="A12" s="5" t="s">
        <v>1353</v>
      </c>
      <c r="B12" s="147">
        <v>45861</v>
      </c>
      <c r="C12" s="5" t="s">
        <v>1354</v>
      </c>
      <c r="D12" s="5" t="s">
        <v>1355</v>
      </c>
      <c r="E12" s="5" t="s">
        <v>1295</v>
      </c>
      <c r="F12" s="5" t="s">
        <v>985</v>
      </c>
      <c r="G12" s="5" t="s">
        <v>1296</v>
      </c>
      <c r="H12" s="148">
        <v>1</v>
      </c>
      <c r="I12" s="149">
        <v>10944</v>
      </c>
      <c r="J12" s="150">
        <v>0.05</v>
      </c>
      <c r="K12" s="149">
        <v>10396.799999999999</v>
      </c>
      <c r="L12" s="149">
        <v>3040.08</v>
      </c>
      <c r="M12" s="5" t="s">
        <v>1344</v>
      </c>
      <c r="N12" s="5" t="s">
        <v>1297</v>
      </c>
      <c r="O12" s="5" t="s">
        <v>1298</v>
      </c>
      <c r="P12" s="5" t="s">
        <v>1348</v>
      </c>
      <c r="Q12" s="5" t="s">
        <v>1204</v>
      </c>
      <c r="R12" s="151">
        <v>5</v>
      </c>
      <c r="S12" s="143"/>
    </row>
    <row r="13" spans="1:19" x14ac:dyDescent="0.25">
      <c r="A13" s="5" t="s">
        <v>1356</v>
      </c>
      <c r="B13" s="147">
        <v>45834</v>
      </c>
      <c r="C13" s="5" t="s">
        <v>1357</v>
      </c>
      <c r="D13" s="5" t="s">
        <v>1358</v>
      </c>
      <c r="E13" s="5" t="s">
        <v>1359</v>
      </c>
      <c r="F13" s="5" t="s">
        <v>1360</v>
      </c>
      <c r="G13" s="5" t="s">
        <v>1361</v>
      </c>
      <c r="H13" s="148">
        <v>2</v>
      </c>
      <c r="I13" s="149">
        <v>10645</v>
      </c>
      <c r="J13" s="150">
        <v>0.2</v>
      </c>
      <c r="K13" s="149">
        <v>17032</v>
      </c>
      <c r="L13" s="149">
        <v>3795.71</v>
      </c>
      <c r="M13" s="5" t="s">
        <v>1130</v>
      </c>
      <c r="N13" s="5" t="s">
        <v>1362</v>
      </c>
      <c r="O13" s="5" t="s">
        <v>1363</v>
      </c>
      <c r="P13" s="5" t="s">
        <v>1314</v>
      </c>
      <c r="Q13" s="5" t="s">
        <v>1184</v>
      </c>
      <c r="R13" s="151">
        <v>1</v>
      </c>
      <c r="S13" s="143"/>
    </row>
    <row r="14" spans="1:19" x14ac:dyDescent="0.25">
      <c r="A14" s="5" t="s">
        <v>1364</v>
      </c>
      <c r="B14" s="147">
        <v>45992</v>
      </c>
      <c r="C14" s="5" t="s">
        <v>1365</v>
      </c>
      <c r="D14" s="5" t="s">
        <v>1366</v>
      </c>
      <c r="E14" s="5" t="s">
        <v>1310</v>
      </c>
      <c r="F14" s="5" t="s">
        <v>1311</v>
      </c>
      <c r="G14" s="5" t="s">
        <v>1312</v>
      </c>
      <c r="H14" s="148">
        <v>4</v>
      </c>
      <c r="I14" s="149">
        <v>6772</v>
      </c>
      <c r="J14" s="150">
        <v>0</v>
      </c>
      <c r="K14" s="149">
        <v>27088</v>
      </c>
      <c r="L14" s="149">
        <v>2286.06</v>
      </c>
      <c r="M14" s="5" t="s">
        <v>1313</v>
      </c>
      <c r="N14" s="5" t="s">
        <v>1337</v>
      </c>
      <c r="O14" s="5" t="s">
        <v>1338</v>
      </c>
      <c r="P14" s="5" t="s">
        <v>1299</v>
      </c>
      <c r="Q14" s="5" t="s">
        <v>1306</v>
      </c>
      <c r="R14" s="151">
        <v>2</v>
      </c>
      <c r="S14" s="143"/>
    </row>
    <row r="15" spans="1:19" x14ac:dyDescent="0.25">
      <c r="A15" s="5" t="s">
        <v>1367</v>
      </c>
      <c r="B15" s="147">
        <v>45860</v>
      </c>
      <c r="C15" s="5" t="s">
        <v>1368</v>
      </c>
      <c r="D15" s="5" t="s">
        <v>1369</v>
      </c>
      <c r="E15" s="5" t="s">
        <v>1370</v>
      </c>
      <c r="F15" s="5" t="s">
        <v>1160</v>
      </c>
      <c r="G15" s="5" t="s">
        <v>1371</v>
      </c>
      <c r="H15" s="148">
        <v>2</v>
      </c>
      <c r="I15" s="149">
        <v>9986</v>
      </c>
      <c r="J15" s="150">
        <v>0.2</v>
      </c>
      <c r="K15" s="149">
        <v>15977.6</v>
      </c>
      <c r="L15" s="149">
        <v>1586.87</v>
      </c>
      <c r="M15" s="5" t="s">
        <v>1344</v>
      </c>
      <c r="N15" s="5" t="s">
        <v>1337</v>
      </c>
      <c r="O15" s="5" t="s">
        <v>1338</v>
      </c>
      <c r="P15" s="5" t="s">
        <v>1323</v>
      </c>
      <c r="Q15" s="5" t="s">
        <v>1204</v>
      </c>
      <c r="R15" s="151">
        <v>5</v>
      </c>
      <c r="S15" s="143"/>
    </row>
    <row r="16" spans="1:19" x14ac:dyDescent="0.25">
      <c r="A16" s="5" t="s">
        <v>1372</v>
      </c>
      <c r="B16" s="147">
        <v>45677</v>
      </c>
      <c r="C16" s="5" t="s">
        <v>1373</v>
      </c>
      <c r="D16" s="5" t="s">
        <v>1374</v>
      </c>
      <c r="E16" s="5" t="s">
        <v>1370</v>
      </c>
      <c r="F16" s="5" t="s">
        <v>1160</v>
      </c>
      <c r="G16" s="5" t="s">
        <v>1371</v>
      </c>
      <c r="H16" s="148">
        <v>2</v>
      </c>
      <c r="I16" s="149">
        <v>13915</v>
      </c>
      <c r="J16" s="150">
        <v>0.2</v>
      </c>
      <c r="K16" s="149">
        <v>22264</v>
      </c>
      <c r="L16" s="149">
        <v>4051.87</v>
      </c>
      <c r="M16" s="5" t="s">
        <v>1344</v>
      </c>
      <c r="N16" s="5" t="s">
        <v>1337</v>
      </c>
      <c r="O16" s="5" t="s">
        <v>1338</v>
      </c>
      <c r="P16" s="5" t="s">
        <v>1348</v>
      </c>
      <c r="Q16" s="5" t="s">
        <v>1306</v>
      </c>
      <c r="R16" s="151">
        <v>4</v>
      </c>
      <c r="S16" s="143"/>
    </row>
    <row r="17" spans="1:19" x14ac:dyDescent="0.25">
      <c r="A17" s="5" t="s">
        <v>1375</v>
      </c>
      <c r="B17" s="147">
        <v>45737</v>
      </c>
      <c r="C17" s="5" t="s">
        <v>1376</v>
      </c>
      <c r="D17" s="5" t="s">
        <v>1377</v>
      </c>
      <c r="E17" s="5" t="s">
        <v>1195</v>
      </c>
      <c r="F17" s="5" t="s">
        <v>988</v>
      </c>
      <c r="G17" s="5" t="s">
        <v>1336</v>
      </c>
      <c r="H17" s="148">
        <v>2</v>
      </c>
      <c r="I17" s="149">
        <v>376</v>
      </c>
      <c r="J17" s="150">
        <v>0.1</v>
      </c>
      <c r="K17" s="149">
        <v>676.8</v>
      </c>
      <c r="L17" s="149">
        <v>112.55</v>
      </c>
      <c r="M17" s="5" t="s">
        <v>1126</v>
      </c>
      <c r="N17" s="5" t="s">
        <v>1304</v>
      </c>
      <c r="O17" s="5" t="s">
        <v>1305</v>
      </c>
      <c r="P17" s="5" t="s">
        <v>1314</v>
      </c>
      <c r="Q17" s="5" t="s">
        <v>1300</v>
      </c>
      <c r="R17" s="151">
        <v>1</v>
      </c>
      <c r="S17" s="143"/>
    </row>
    <row r="18" spans="1:19" x14ac:dyDescent="0.25">
      <c r="A18" s="5" t="s">
        <v>1378</v>
      </c>
      <c r="B18" s="147">
        <v>45673</v>
      </c>
      <c r="C18" s="5" t="s">
        <v>1379</v>
      </c>
      <c r="D18" s="5" t="s">
        <v>1380</v>
      </c>
      <c r="E18" s="5" t="s">
        <v>1342</v>
      </c>
      <c r="F18" s="5" t="s">
        <v>988</v>
      </c>
      <c r="G18" s="5" t="s">
        <v>1343</v>
      </c>
      <c r="H18" s="148">
        <v>1</v>
      </c>
      <c r="I18" s="149">
        <v>14647</v>
      </c>
      <c r="J18" s="150">
        <v>0</v>
      </c>
      <c r="K18" s="149">
        <v>14647</v>
      </c>
      <c r="L18" s="149">
        <v>2334.54</v>
      </c>
      <c r="M18" s="5" t="s">
        <v>1381</v>
      </c>
      <c r="N18" s="5" t="s">
        <v>1321</v>
      </c>
      <c r="O18" s="5" t="s">
        <v>1322</v>
      </c>
      <c r="P18" s="5" t="s">
        <v>1327</v>
      </c>
      <c r="Q18" s="5" t="s">
        <v>1300</v>
      </c>
      <c r="R18" s="151">
        <v>1</v>
      </c>
      <c r="S18" s="143"/>
    </row>
    <row r="19" spans="1:19" x14ac:dyDescent="0.25">
      <c r="A19" s="5" t="s">
        <v>1382</v>
      </c>
      <c r="B19" s="147">
        <v>45944</v>
      </c>
      <c r="C19" s="5" t="s">
        <v>1383</v>
      </c>
      <c r="D19" s="5" t="s">
        <v>1384</v>
      </c>
      <c r="E19" s="5" t="s">
        <v>1195</v>
      </c>
      <c r="F19" s="5" t="s">
        <v>988</v>
      </c>
      <c r="G19" s="5" t="s">
        <v>1336</v>
      </c>
      <c r="H19" s="148">
        <v>1</v>
      </c>
      <c r="I19" s="149">
        <v>2292</v>
      </c>
      <c r="J19" s="150">
        <v>0.15</v>
      </c>
      <c r="K19" s="149">
        <v>1948.2</v>
      </c>
      <c r="L19" s="149">
        <v>275.58</v>
      </c>
      <c r="M19" s="5" t="s">
        <v>1130</v>
      </c>
      <c r="N19" s="5" t="s">
        <v>1352</v>
      </c>
      <c r="O19" s="5" t="s">
        <v>1352</v>
      </c>
      <c r="P19" s="5" t="s">
        <v>1327</v>
      </c>
      <c r="Q19" s="5" t="s">
        <v>1306</v>
      </c>
      <c r="R19" s="151">
        <v>3</v>
      </c>
      <c r="S19" s="143"/>
    </row>
    <row r="20" spans="1:19" x14ac:dyDescent="0.25">
      <c r="A20" s="5" t="s">
        <v>1385</v>
      </c>
      <c r="B20" s="147">
        <v>45906</v>
      </c>
      <c r="C20" s="5" t="s">
        <v>1386</v>
      </c>
      <c r="D20" s="5" t="s">
        <v>1387</v>
      </c>
      <c r="E20" s="5" t="s">
        <v>1359</v>
      </c>
      <c r="F20" s="5" t="s">
        <v>1360</v>
      </c>
      <c r="G20" s="5" t="s">
        <v>1361</v>
      </c>
      <c r="H20" s="148">
        <v>3</v>
      </c>
      <c r="I20" s="149">
        <v>12349</v>
      </c>
      <c r="J20" s="150">
        <v>0</v>
      </c>
      <c r="K20" s="149">
        <v>37047</v>
      </c>
      <c r="L20" s="149">
        <v>10218.56</v>
      </c>
      <c r="M20" s="5" t="s">
        <v>1313</v>
      </c>
      <c r="N20" s="5" t="s">
        <v>1352</v>
      </c>
      <c r="O20" s="5" t="s">
        <v>1352</v>
      </c>
      <c r="P20" s="5" t="s">
        <v>1327</v>
      </c>
      <c r="Q20" s="5" t="s">
        <v>1306</v>
      </c>
      <c r="R20" s="151">
        <v>5</v>
      </c>
      <c r="S20" s="143"/>
    </row>
    <row r="21" spans="1:19" x14ac:dyDescent="0.25">
      <c r="A21" s="5" t="s">
        <v>1388</v>
      </c>
      <c r="B21" s="147">
        <v>45946</v>
      </c>
      <c r="C21" s="5" t="s">
        <v>1389</v>
      </c>
      <c r="D21" s="5" t="s">
        <v>1390</v>
      </c>
      <c r="E21" s="5" t="s">
        <v>1295</v>
      </c>
      <c r="F21" s="5" t="s">
        <v>985</v>
      </c>
      <c r="G21" s="5" t="s">
        <v>1296</v>
      </c>
      <c r="H21" s="148">
        <v>1</v>
      </c>
      <c r="I21" s="149">
        <v>14227</v>
      </c>
      <c r="J21" s="150">
        <v>0.05</v>
      </c>
      <c r="K21" s="149">
        <v>13515.65</v>
      </c>
      <c r="L21" s="149">
        <v>2693.31</v>
      </c>
      <c r="M21" s="5" t="s">
        <v>1130</v>
      </c>
      <c r="N21" s="5" t="s">
        <v>1362</v>
      </c>
      <c r="O21" s="5" t="s">
        <v>1363</v>
      </c>
      <c r="P21" s="5" t="s">
        <v>1327</v>
      </c>
      <c r="Q21" s="5" t="s">
        <v>1204</v>
      </c>
      <c r="R21" s="151">
        <v>3</v>
      </c>
      <c r="S21" s="143"/>
    </row>
    <row r="22" spans="1:19" x14ac:dyDescent="0.25">
      <c r="A22" s="5" t="s">
        <v>1391</v>
      </c>
      <c r="B22" s="147">
        <v>45907</v>
      </c>
      <c r="C22" s="5" t="s">
        <v>1392</v>
      </c>
      <c r="D22" s="5" t="s">
        <v>1393</v>
      </c>
      <c r="E22" s="5" t="s">
        <v>1318</v>
      </c>
      <c r="F22" s="5" t="s">
        <v>1319</v>
      </c>
      <c r="G22" s="5" t="s">
        <v>1320</v>
      </c>
      <c r="H22" s="148">
        <v>1</v>
      </c>
      <c r="I22" s="149">
        <v>5834</v>
      </c>
      <c r="J22" s="150">
        <v>0.1</v>
      </c>
      <c r="K22" s="149">
        <v>5250.6</v>
      </c>
      <c r="L22" s="149">
        <v>1254.53</v>
      </c>
      <c r="M22" s="5" t="s">
        <v>1130</v>
      </c>
      <c r="N22" s="5" t="s">
        <v>1304</v>
      </c>
      <c r="O22" s="5" t="s">
        <v>1305</v>
      </c>
      <c r="P22" s="5" t="s">
        <v>1299</v>
      </c>
      <c r="Q22" s="5" t="s">
        <v>1300</v>
      </c>
      <c r="R22" s="151">
        <v>1</v>
      </c>
      <c r="S22" s="143"/>
    </row>
    <row r="23" spans="1:19" x14ac:dyDescent="0.25">
      <c r="A23" s="5" t="s">
        <v>1394</v>
      </c>
      <c r="B23" s="147">
        <v>45824</v>
      </c>
      <c r="C23" s="5" t="s">
        <v>1395</v>
      </c>
      <c r="D23" s="5" t="s">
        <v>1396</v>
      </c>
      <c r="E23" s="5" t="s">
        <v>1295</v>
      </c>
      <c r="F23" s="5" t="s">
        <v>985</v>
      </c>
      <c r="G23" s="5" t="s">
        <v>1296</v>
      </c>
      <c r="H23" s="148">
        <v>5</v>
      </c>
      <c r="I23" s="149">
        <v>9506</v>
      </c>
      <c r="J23" s="150">
        <v>0.1</v>
      </c>
      <c r="K23" s="149">
        <v>42777</v>
      </c>
      <c r="L23" s="149">
        <v>4112.55</v>
      </c>
      <c r="M23" s="5" t="s">
        <v>1130</v>
      </c>
      <c r="N23" s="5" t="s">
        <v>1352</v>
      </c>
      <c r="O23" s="5" t="s">
        <v>1352</v>
      </c>
      <c r="P23" s="5" t="s">
        <v>1348</v>
      </c>
      <c r="Q23" s="5" t="s">
        <v>1300</v>
      </c>
      <c r="R23" s="151">
        <v>1</v>
      </c>
      <c r="S23" s="143"/>
    </row>
    <row r="24" spans="1:19" x14ac:dyDescent="0.25">
      <c r="A24" s="5" t="s">
        <v>1397</v>
      </c>
      <c r="B24" s="147">
        <v>45921</v>
      </c>
      <c r="C24" s="5" t="s">
        <v>1398</v>
      </c>
      <c r="D24" s="5" t="s">
        <v>1399</v>
      </c>
      <c r="E24" s="5" t="s">
        <v>1195</v>
      </c>
      <c r="F24" s="5" t="s">
        <v>988</v>
      </c>
      <c r="G24" s="5" t="s">
        <v>1336</v>
      </c>
      <c r="H24" s="148">
        <v>5</v>
      </c>
      <c r="I24" s="149">
        <v>3449</v>
      </c>
      <c r="J24" s="150">
        <v>0.1</v>
      </c>
      <c r="K24" s="149">
        <v>15520.5</v>
      </c>
      <c r="L24" s="149">
        <v>2777.94</v>
      </c>
      <c r="M24" s="5" t="s">
        <v>1344</v>
      </c>
      <c r="N24" s="5" t="s">
        <v>1321</v>
      </c>
      <c r="O24" s="5" t="s">
        <v>1322</v>
      </c>
      <c r="P24" s="5" t="s">
        <v>1348</v>
      </c>
      <c r="Q24" s="5" t="s">
        <v>1204</v>
      </c>
      <c r="R24" s="151">
        <v>5</v>
      </c>
      <c r="S24" s="143"/>
    </row>
    <row r="25" spans="1:19" x14ac:dyDescent="0.25">
      <c r="A25" s="5" t="s">
        <v>1400</v>
      </c>
      <c r="B25" s="147">
        <v>45969</v>
      </c>
      <c r="C25" s="5" t="s">
        <v>1401</v>
      </c>
      <c r="D25" s="5" t="s">
        <v>1402</v>
      </c>
      <c r="E25" s="5" t="s">
        <v>1359</v>
      </c>
      <c r="F25" s="5" t="s">
        <v>1360</v>
      </c>
      <c r="G25" s="5" t="s">
        <v>1361</v>
      </c>
      <c r="H25" s="148">
        <v>1</v>
      </c>
      <c r="I25" s="149">
        <v>5044</v>
      </c>
      <c r="J25" s="150">
        <v>0.05</v>
      </c>
      <c r="K25" s="149">
        <v>4791.8</v>
      </c>
      <c r="L25" s="149">
        <v>930.63</v>
      </c>
      <c r="M25" s="5" t="s">
        <v>1381</v>
      </c>
      <c r="N25" s="5" t="s">
        <v>1321</v>
      </c>
      <c r="O25" s="5" t="s">
        <v>1322</v>
      </c>
      <c r="P25" s="5" t="s">
        <v>1348</v>
      </c>
      <c r="Q25" s="5" t="s">
        <v>1300</v>
      </c>
      <c r="R25" s="151">
        <v>1</v>
      </c>
      <c r="S25" s="143"/>
    </row>
    <row r="26" spans="1:19" x14ac:dyDescent="0.25">
      <c r="A26" s="5" t="s">
        <v>1403</v>
      </c>
      <c r="B26" s="147">
        <v>45946</v>
      </c>
      <c r="C26" s="5" t="s">
        <v>1404</v>
      </c>
      <c r="D26" s="5" t="s">
        <v>1405</v>
      </c>
      <c r="E26" s="5" t="s">
        <v>1195</v>
      </c>
      <c r="F26" s="5" t="s">
        <v>988</v>
      </c>
      <c r="G26" s="5" t="s">
        <v>1336</v>
      </c>
      <c r="H26" s="148">
        <v>4</v>
      </c>
      <c r="I26" s="149">
        <v>7740</v>
      </c>
      <c r="J26" s="150">
        <v>0.05</v>
      </c>
      <c r="K26" s="149">
        <v>29412</v>
      </c>
      <c r="L26" s="149">
        <v>3783.96</v>
      </c>
      <c r="M26" s="5" t="s">
        <v>1381</v>
      </c>
      <c r="N26" s="5" t="s">
        <v>1362</v>
      </c>
      <c r="O26" s="5" t="s">
        <v>1363</v>
      </c>
      <c r="P26" s="5" t="s">
        <v>1314</v>
      </c>
      <c r="Q26" s="5" t="s">
        <v>1306</v>
      </c>
      <c r="R26" s="151">
        <v>1</v>
      </c>
      <c r="S26" s="143"/>
    </row>
    <row r="27" spans="1:19" x14ac:dyDescent="0.25">
      <c r="A27" s="5" t="s">
        <v>1406</v>
      </c>
      <c r="B27" s="147">
        <v>45668</v>
      </c>
      <c r="C27" s="5" t="s">
        <v>1407</v>
      </c>
      <c r="D27" s="5" t="s">
        <v>1408</v>
      </c>
      <c r="E27" s="5" t="s">
        <v>1359</v>
      </c>
      <c r="F27" s="5" t="s">
        <v>1360</v>
      </c>
      <c r="G27" s="5" t="s">
        <v>1361</v>
      </c>
      <c r="H27" s="148">
        <v>1</v>
      </c>
      <c r="I27" s="149">
        <v>9093</v>
      </c>
      <c r="J27" s="150">
        <v>0.2</v>
      </c>
      <c r="K27" s="149">
        <v>7274.4</v>
      </c>
      <c r="L27" s="149">
        <v>760.2</v>
      </c>
      <c r="M27" s="5" t="s">
        <v>1381</v>
      </c>
      <c r="N27" s="5" t="s">
        <v>1304</v>
      </c>
      <c r="O27" s="5" t="s">
        <v>1305</v>
      </c>
      <c r="P27" s="5" t="s">
        <v>1327</v>
      </c>
      <c r="Q27" s="5" t="s">
        <v>1300</v>
      </c>
      <c r="R27" s="151">
        <v>1</v>
      </c>
      <c r="S27" s="143"/>
    </row>
    <row r="28" spans="1:19" x14ac:dyDescent="0.25">
      <c r="A28" s="5" t="s">
        <v>1409</v>
      </c>
      <c r="B28" s="147">
        <v>45920</v>
      </c>
      <c r="C28" s="5" t="s">
        <v>1410</v>
      </c>
      <c r="D28" s="5" t="s">
        <v>1411</v>
      </c>
      <c r="E28" s="5" t="s">
        <v>1359</v>
      </c>
      <c r="F28" s="5" t="s">
        <v>1360</v>
      </c>
      <c r="G28" s="5" t="s">
        <v>1361</v>
      </c>
      <c r="H28" s="148">
        <v>3</v>
      </c>
      <c r="I28" s="149">
        <v>6540</v>
      </c>
      <c r="J28" s="150">
        <v>0.15</v>
      </c>
      <c r="K28" s="149">
        <v>16677</v>
      </c>
      <c r="L28" s="149">
        <v>2304.8000000000002</v>
      </c>
      <c r="M28" s="5" t="s">
        <v>1126</v>
      </c>
      <c r="N28" s="5" t="s">
        <v>1321</v>
      </c>
      <c r="O28" s="5" t="s">
        <v>1322</v>
      </c>
      <c r="P28" s="5" t="s">
        <v>1299</v>
      </c>
      <c r="Q28" s="5" t="s">
        <v>1184</v>
      </c>
      <c r="R28" s="151">
        <v>3</v>
      </c>
      <c r="S28" s="143"/>
    </row>
    <row r="29" spans="1:19" x14ac:dyDescent="0.25">
      <c r="A29" s="5" t="s">
        <v>1412</v>
      </c>
      <c r="B29" s="147">
        <v>45942</v>
      </c>
      <c r="C29" s="5" t="s">
        <v>1413</v>
      </c>
      <c r="D29" s="5" t="s">
        <v>1414</v>
      </c>
      <c r="E29" s="5" t="s">
        <v>1318</v>
      </c>
      <c r="F29" s="5" t="s">
        <v>1319</v>
      </c>
      <c r="G29" s="5" t="s">
        <v>1320</v>
      </c>
      <c r="H29" s="148">
        <v>4</v>
      </c>
      <c r="I29" s="149">
        <v>6093</v>
      </c>
      <c r="J29" s="150">
        <v>0</v>
      </c>
      <c r="K29" s="149">
        <v>24372</v>
      </c>
      <c r="L29" s="149">
        <v>3500.37</v>
      </c>
      <c r="M29" s="5" t="s">
        <v>1313</v>
      </c>
      <c r="N29" s="5" t="s">
        <v>1304</v>
      </c>
      <c r="O29" s="5" t="s">
        <v>1305</v>
      </c>
      <c r="P29" s="5" t="s">
        <v>1314</v>
      </c>
      <c r="Q29" s="5" t="s">
        <v>1306</v>
      </c>
      <c r="R29" s="151">
        <v>4</v>
      </c>
      <c r="S29" s="143"/>
    </row>
    <row r="30" spans="1:19" x14ac:dyDescent="0.25">
      <c r="A30" s="5" t="s">
        <v>1415</v>
      </c>
      <c r="B30" s="147">
        <v>45798</v>
      </c>
      <c r="C30" s="5" t="s">
        <v>1416</v>
      </c>
      <c r="D30" s="5" t="s">
        <v>1417</v>
      </c>
      <c r="E30" s="5" t="s">
        <v>1331</v>
      </c>
      <c r="F30" s="5" t="s">
        <v>988</v>
      </c>
      <c r="G30" s="5" t="s">
        <v>1332</v>
      </c>
      <c r="H30" s="148">
        <v>1</v>
      </c>
      <c r="I30" s="149">
        <v>922</v>
      </c>
      <c r="J30" s="150">
        <v>0.2</v>
      </c>
      <c r="K30" s="149">
        <v>737.6</v>
      </c>
      <c r="L30" s="149">
        <v>87.49</v>
      </c>
      <c r="M30" s="5" t="s">
        <v>1344</v>
      </c>
      <c r="N30" s="5" t="s">
        <v>1362</v>
      </c>
      <c r="O30" s="5" t="s">
        <v>1363</v>
      </c>
      <c r="P30" s="5" t="s">
        <v>1327</v>
      </c>
      <c r="Q30" s="5" t="s">
        <v>1184</v>
      </c>
      <c r="R30" s="151">
        <v>4</v>
      </c>
      <c r="S30" s="143"/>
    </row>
    <row r="31" spans="1:19" x14ac:dyDescent="0.25">
      <c r="A31" s="5" t="s">
        <v>1418</v>
      </c>
      <c r="B31" s="147">
        <v>45679</v>
      </c>
      <c r="C31" s="5" t="s">
        <v>1419</v>
      </c>
      <c r="D31" s="5" t="s">
        <v>1420</v>
      </c>
      <c r="E31" s="5" t="s">
        <v>1195</v>
      </c>
      <c r="F31" s="5" t="s">
        <v>988</v>
      </c>
      <c r="G31" s="5" t="s">
        <v>1336</v>
      </c>
      <c r="H31" s="148">
        <v>5</v>
      </c>
      <c r="I31" s="149">
        <v>7462</v>
      </c>
      <c r="J31" s="150">
        <v>0</v>
      </c>
      <c r="K31" s="149">
        <v>37310</v>
      </c>
      <c r="L31" s="149">
        <v>9002.34</v>
      </c>
      <c r="M31" s="5" t="s">
        <v>1381</v>
      </c>
      <c r="N31" s="5" t="s">
        <v>1337</v>
      </c>
      <c r="O31" s="5" t="s">
        <v>1338</v>
      </c>
      <c r="P31" s="5" t="s">
        <v>1348</v>
      </c>
      <c r="Q31" s="5" t="s">
        <v>1306</v>
      </c>
      <c r="R31" s="151">
        <v>5</v>
      </c>
      <c r="S31" s="143"/>
    </row>
    <row r="32" spans="1:19" x14ac:dyDescent="0.25">
      <c r="A32" s="5" t="s">
        <v>1421</v>
      </c>
      <c r="B32" s="147">
        <v>45804</v>
      </c>
      <c r="C32" s="5" t="s">
        <v>1422</v>
      </c>
      <c r="D32" s="5" t="s">
        <v>1423</v>
      </c>
      <c r="E32" s="5" t="s">
        <v>1370</v>
      </c>
      <c r="F32" s="5" t="s">
        <v>1160</v>
      </c>
      <c r="G32" s="5" t="s">
        <v>1371</v>
      </c>
      <c r="H32" s="148">
        <v>4</v>
      </c>
      <c r="I32" s="149">
        <v>10485</v>
      </c>
      <c r="J32" s="150">
        <v>0</v>
      </c>
      <c r="K32" s="149">
        <v>41940</v>
      </c>
      <c r="L32" s="149">
        <v>12052.56</v>
      </c>
      <c r="M32" s="5" t="s">
        <v>1381</v>
      </c>
      <c r="N32" s="5" t="s">
        <v>1304</v>
      </c>
      <c r="O32" s="5" t="s">
        <v>1305</v>
      </c>
      <c r="P32" s="5" t="s">
        <v>1327</v>
      </c>
      <c r="Q32" s="5" t="s">
        <v>1300</v>
      </c>
      <c r="R32" s="151">
        <v>3</v>
      </c>
      <c r="S32" s="143"/>
    </row>
    <row r="33" spans="1:19" x14ac:dyDescent="0.25">
      <c r="A33" s="5" t="s">
        <v>1424</v>
      </c>
      <c r="B33" s="147">
        <v>45702</v>
      </c>
      <c r="C33" s="5" t="s">
        <v>1425</v>
      </c>
      <c r="D33" s="5" t="s">
        <v>1426</v>
      </c>
      <c r="E33" s="5" t="s">
        <v>1318</v>
      </c>
      <c r="F33" s="5" t="s">
        <v>1319</v>
      </c>
      <c r="G33" s="5" t="s">
        <v>1320</v>
      </c>
      <c r="H33" s="148">
        <v>4</v>
      </c>
      <c r="I33" s="149">
        <v>13336</v>
      </c>
      <c r="J33" s="150">
        <v>0.15</v>
      </c>
      <c r="K33" s="149">
        <v>45342.400000000001</v>
      </c>
      <c r="L33" s="149">
        <v>4700.17</v>
      </c>
      <c r="M33" s="5" t="s">
        <v>1130</v>
      </c>
      <c r="N33" s="5" t="s">
        <v>1297</v>
      </c>
      <c r="O33" s="5" t="s">
        <v>1298</v>
      </c>
      <c r="P33" s="5" t="s">
        <v>1323</v>
      </c>
      <c r="Q33" s="5" t="s">
        <v>1204</v>
      </c>
      <c r="R33" s="151">
        <v>4</v>
      </c>
      <c r="S33" s="143"/>
    </row>
    <row r="34" spans="1:19" x14ac:dyDescent="0.25">
      <c r="A34" s="5" t="s">
        <v>1427</v>
      </c>
      <c r="B34" s="147">
        <v>45786</v>
      </c>
      <c r="C34" s="5" t="s">
        <v>1428</v>
      </c>
      <c r="D34" s="5" t="s">
        <v>1429</v>
      </c>
      <c r="E34" s="5" t="s">
        <v>1318</v>
      </c>
      <c r="F34" s="5" t="s">
        <v>1319</v>
      </c>
      <c r="G34" s="5" t="s">
        <v>1320</v>
      </c>
      <c r="H34" s="148">
        <v>5</v>
      </c>
      <c r="I34" s="149">
        <v>5222</v>
      </c>
      <c r="J34" s="150">
        <v>0</v>
      </c>
      <c r="K34" s="149">
        <v>26110</v>
      </c>
      <c r="L34" s="149">
        <v>6511.55</v>
      </c>
      <c r="M34" s="5" t="s">
        <v>1126</v>
      </c>
      <c r="N34" s="5" t="s">
        <v>1321</v>
      </c>
      <c r="O34" s="5" t="s">
        <v>1322</v>
      </c>
      <c r="P34" s="5" t="s">
        <v>1299</v>
      </c>
      <c r="Q34" s="5" t="s">
        <v>1184</v>
      </c>
      <c r="R34" s="151">
        <v>2</v>
      </c>
      <c r="S34" s="143"/>
    </row>
    <row r="35" spans="1:19" x14ac:dyDescent="0.25">
      <c r="A35" s="5" t="s">
        <v>1430</v>
      </c>
      <c r="B35" s="147">
        <v>45964</v>
      </c>
      <c r="C35" s="5" t="s">
        <v>1431</v>
      </c>
      <c r="D35" s="5" t="s">
        <v>1432</v>
      </c>
      <c r="E35" s="5" t="s">
        <v>1359</v>
      </c>
      <c r="F35" s="5" t="s">
        <v>1360</v>
      </c>
      <c r="G35" s="5" t="s">
        <v>1361</v>
      </c>
      <c r="H35" s="148">
        <v>4</v>
      </c>
      <c r="I35" s="149">
        <v>11845</v>
      </c>
      <c r="J35" s="150">
        <v>0</v>
      </c>
      <c r="K35" s="149">
        <v>47380</v>
      </c>
      <c r="L35" s="149">
        <v>4413.05</v>
      </c>
      <c r="M35" s="5" t="s">
        <v>1344</v>
      </c>
      <c r="N35" s="5" t="s">
        <v>1362</v>
      </c>
      <c r="O35" s="5" t="s">
        <v>1363</v>
      </c>
      <c r="P35" s="5" t="s">
        <v>1348</v>
      </c>
      <c r="Q35" s="5" t="s">
        <v>1184</v>
      </c>
      <c r="R35" s="151">
        <v>4</v>
      </c>
      <c r="S35" s="143"/>
    </row>
    <row r="36" spans="1:19" x14ac:dyDescent="0.25">
      <c r="A36" s="5" t="s">
        <v>1433</v>
      </c>
      <c r="B36" s="147">
        <v>45669</v>
      </c>
      <c r="C36" s="5" t="s">
        <v>1434</v>
      </c>
      <c r="D36" s="5" t="s">
        <v>1435</v>
      </c>
      <c r="E36" s="5" t="s">
        <v>1310</v>
      </c>
      <c r="F36" s="5" t="s">
        <v>1311</v>
      </c>
      <c r="G36" s="5" t="s">
        <v>1312</v>
      </c>
      <c r="H36" s="148">
        <v>2</v>
      </c>
      <c r="I36" s="149">
        <v>13047</v>
      </c>
      <c r="J36" s="150">
        <v>0.2</v>
      </c>
      <c r="K36" s="149">
        <v>20875.2</v>
      </c>
      <c r="L36" s="149">
        <v>4099.34</v>
      </c>
      <c r="M36" s="5" t="s">
        <v>1126</v>
      </c>
      <c r="N36" s="5" t="s">
        <v>1352</v>
      </c>
      <c r="O36" s="5" t="s">
        <v>1352</v>
      </c>
      <c r="P36" s="5" t="s">
        <v>1299</v>
      </c>
      <c r="Q36" s="5" t="s">
        <v>1204</v>
      </c>
      <c r="R36" s="151">
        <v>5</v>
      </c>
      <c r="S36" s="143"/>
    </row>
    <row r="37" spans="1:19" x14ac:dyDescent="0.25">
      <c r="A37" s="5" t="s">
        <v>1436</v>
      </c>
      <c r="B37" s="147">
        <v>45876</v>
      </c>
      <c r="C37" s="5" t="s">
        <v>1437</v>
      </c>
      <c r="D37" s="5" t="s">
        <v>1438</v>
      </c>
      <c r="E37" s="5" t="s">
        <v>1318</v>
      </c>
      <c r="F37" s="5" t="s">
        <v>1319</v>
      </c>
      <c r="G37" s="5" t="s">
        <v>1320</v>
      </c>
      <c r="H37" s="148">
        <v>1</v>
      </c>
      <c r="I37" s="149">
        <v>2213</v>
      </c>
      <c r="J37" s="150">
        <v>0</v>
      </c>
      <c r="K37" s="149">
        <v>2213</v>
      </c>
      <c r="L37" s="149">
        <v>631.72</v>
      </c>
      <c r="M37" s="5" t="s">
        <v>1126</v>
      </c>
      <c r="N37" s="5" t="s">
        <v>1297</v>
      </c>
      <c r="O37" s="5" t="s">
        <v>1298</v>
      </c>
      <c r="P37" s="5" t="s">
        <v>1314</v>
      </c>
      <c r="Q37" s="5" t="s">
        <v>1300</v>
      </c>
      <c r="R37" s="151">
        <v>4</v>
      </c>
      <c r="S37" s="143"/>
    </row>
    <row r="38" spans="1:19" x14ac:dyDescent="0.25">
      <c r="A38" s="5" t="s">
        <v>1439</v>
      </c>
      <c r="B38" s="147">
        <v>45716</v>
      </c>
      <c r="C38" s="5" t="s">
        <v>1440</v>
      </c>
      <c r="D38" s="5" t="s">
        <v>1441</v>
      </c>
      <c r="E38" s="5" t="s">
        <v>1359</v>
      </c>
      <c r="F38" s="5" t="s">
        <v>1360</v>
      </c>
      <c r="G38" s="5" t="s">
        <v>1361</v>
      </c>
      <c r="H38" s="148">
        <v>3</v>
      </c>
      <c r="I38" s="149">
        <v>10560</v>
      </c>
      <c r="J38" s="150">
        <v>0</v>
      </c>
      <c r="K38" s="149">
        <v>31680</v>
      </c>
      <c r="L38" s="149">
        <v>8236.14</v>
      </c>
      <c r="M38" s="5" t="s">
        <v>1381</v>
      </c>
      <c r="N38" s="5" t="s">
        <v>1297</v>
      </c>
      <c r="O38" s="5" t="s">
        <v>1298</v>
      </c>
      <c r="P38" s="5" t="s">
        <v>1299</v>
      </c>
      <c r="Q38" s="5" t="s">
        <v>1300</v>
      </c>
      <c r="R38" s="151">
        <v>1</v>
      </c>
      <c r="S38" s="143"/>
    </row>
    <row r="39" spans="1:19" x14ac:dyDescent="0.25">
      <c r="A39" s="5" t="s">
        <v>1442</v>
      </c>
      <c r="B39" s="147">
        <v>45937</v>
      </c>
      <c r="C39" s="5" t="s">
        <v>1443</v>
      </c>
      <c r="D39" s="5" t="s">
        <v>1444</v>
      </c>
      <c r="E39" s="5" t="s">
        <v>1331</v>
      </c>
      <c r="F39" s="5" t="s">
        <v>988</v>
      </c>
      <c r="G39" s="5" t="s">
        <v>1332</v>
      </c>
      <c r="H39" s="148">
        <v>5</v>
      </c>
      <c r="I39" s="149">
        <v>7173</v>
      </c>
      <c r="J39" s="150">
        <v>0</v>
      </c>
      <c r="K39" s="149">
        <v>35865</v>
      </c>
      <c r="L39" s="149">
        <v>3113.64</v>
      </c>
      <c r="M39" s="5" t="s">
        <v>1130</v>
      </c>
      <c r="N39" s="5" t="s">
        <v>1352</v>
      </c>
      <c r="O39" s="5" t="s">
        <v>1352</v>
      </c>
      <c r="P39" s="5" t="s">
        <v>1327</v>
      </c>
      <c r="Q39" s="5" t="s">
        <v>1300</v>
      </c>
      <c r="R39" s="151">
        <v>3</v>
      </c>
      <c r="S39" s="143"/>
    </row>
    <row r="40" spans="1:19" x14ac:dyDescent="0.25">
      <c r="A40" s="5" t="s">
        <v>1445</v>
      </c>
      <c r="B40" s="147">
        <v>45867</v>
      </c>
      <c r="C40" s="5" t="s">
        <v>1446</v>
      </c>
      <c r="D40" s="5" t="s">
        <v>1447</v>
      </c>
      <c r="E40" s="5" t="s">
        <v>1359</v>
      </c>
      <c r="F40" s="5" t="s">
        <v>1360</v>
      </c>
      <c r="G40" s="5" t="s">
        <v>1361</v>
      </c>
      <c r="H40" s="148">
        <v>5</v>
      </c>
      <c r="I40" s="149">
        <v>4376</v>
      </c>
      <c r="J40" s="150">
        <v>0.05</v>
      </c>
      <c r="K40" s="149">
        <v>20786</v>
      </c>
      <c r="L40" s="149">
        <v>2444.35</v>
      </c>
      <c r="M40" s="5" t="s">
        <v>1313</v>
      </c>
      <c r="N40" s="5" t="s">
        <v>1304</v>
      </c>
      <c r="O40" s="5" t="s">
        <v>1305</v>
      </c>
      <c r="P40" s="5" t="s">
        <v>1299</v>
      </c>
      <c r="Q40" s="5" t="s">
        <v>1204</v>
      </c>
      <c r="R40" s="151">
        <v>2</v>
      </c>
      <c r="S40" s="143"/>
    </row>
    <row r="41" spans="1:19" x14ac:dyDescent="0.25">
      <c r="A41" s="5" t="s">
        <v>1448</v>
      </c>
      <c r="B41" s="147">
        <v>46018</v>
      </c>
      <c r="C41" s="5" t="s">
        <v>1449</v>
      </c>
      <c r="D41" s="5" t="s">
        <v>1450</v>
      </c>
      <c r="E41" s="5" t="s">
        <v>1359</v>
      </c>
      <c r="F41" s="5" t="s">
        <v>1360</v>
      </c>
      <c r="G41" s="5" t="s">
        <v>1361</v>
      </c>
      <c r="H41" s="148">
        <v>5</v>
      </c>
      <c r="I41" s="149">
        <v>13575</v>
      </c>
      <c r="J41" s="150">
        <v>0.1</v>
      </c>
      <c r="K41" s="149">
        <v>61087.5</v>
      </c>
      <c r="L41" s="149">
        <v>7373.22</v>
      </c>
      <c r="M41" s="5" t="s">
        <v>1126</v>
      </c>
      <c r="N41" s="5" t="s">
        <v>1321</v>
      </c>
      <c r="O41" s="5" t="s">
        <v>1322</v>
      </c>
      <c r="P41" s="5" t="s">
        <v>1327</v>
      </c>
      <c r="Q41" s="5" t="s">
        <v>1184</v>
      </c>
      <c r="R41" s="151">
        <v>4</v>
      </c>
      <c r="S41" s="143"/>
    </row>
    <row r="42" spans="1:19" x14ac:dyDescent="0.25">
      <c r="A42" s="5" t="s">
        <v>1451</v>
      </c>
      <c r="B42" s="147">
        <v>45955</v>
      </c>
      <c r="C42" s="5" t="s">
        <v>1452</v>
      </c>
      <c r="D42" s="5" t="s">
        <v>1453</v>
      </c>
      <c r="E42" s="5" t="s">
        <v>1359</v>
      </c>
      <c r="F42" s="5" t="s">
        <v>1360</v>
      </c>
      <c r="G42" s="5" t="s">
        <v>1361</v>
      </c>
      <c r="H42" s="148">
        <v>5</v>
      </c>
      <c r="I42" s="149">
        <v>5041</v>
      </c>
      <c r="J42" s="150">
        <v>0</v>
      </c>
      <c r="K42" s="149">
        <v>25205</v>
      </c>
      <c r="L42" s="149">
        <v>4608.2</v>
      </c>
      <c r="M42" s="5" t="s">
        <v>1130</v>
      </c>
      <c r="N42" s="5" t="s">
        <v>1352</v>
      </c>
      <c r="O42" s="5" t="s">
        <v>1352</v>
      </c>
      <c r="P42" s="5" t="s">
        <v>1299</v>
      </c>
      <c r="Q42" s="5" t="s">
        <v>1204</v>
      </c>
      <c r="R42" s="151">
        <v>3</v>
      </c>
      <c r="S42" s="143"/>
    </row>
    <row r="43" spans="1:19" x14ac:dyDescent="0.25">
      <c r="A43" s="5" t="s">
        <v>1454</v>
      </c>
      <c r="B43" s="147">
        <v>45943</v>
      </c>
      <c r="C43" s="5" t="s">
        <v>1455</v>
      </c>
      <c r="D43" s="5" t="s">
        <v>1456</v>
      </c>
      <c r="E43" s="5" t="s">
        <v>1295</v>
      </c>
      <c r="F43" s="5" t="s">
        <v>985</v>
      </c>
      <c r="G43" s="5" t="s">
        <v>1296</v>
      </c>
      <c r="H43" s="148">
        <v>4</v>
      </c>
      <c r="I43" s="149">
        <v>8384</v>
      </c>
      <c r="J43" s="150">
        <v>0.05</v>
      </c>
      <c r="K43" s="149">
        <v>31859.200000000001</v>
      </c>
      <c r="L43" s="149">
        <v>3954.28</v>
      </c>
      <c r="M43" s="5" t="s">
        <v>1381</v>
      </c>
      <c r="N43" s="5" t="s">
        <v>1297</v>
      </c>
      <c r="O43" s="5" t="s">
        <v>1298</v>
      </c>
      <c r="P43" s="5" t="s">
        <v>1323</v>
      </c>
      <c r="Q43" s="5" t="s">
        <v>1184</v>
      </c>
      <c r="R43" s="151">
        <v>3</v>
      </c>
      <c r="S43" s="143"/>
    </row>
    <row r="44" spans="1:19" x14ac:dyDescent="0.25">
      <c r="A44" s="5" t="s">
        <v>1457</v>
      </c>
      <c r="B44" s="147">
        <v>45712</v>
      </c>
      <c r="C44" s="5" t="s">
        <v>1458</v>
      </c>
      <c r="D44" s="5" t="s">
        <v>1459</v>
      </c>
      <c r="E44" s="5" t="s">
        <v>1318</v>
      </c>
      <c r="F44" s="5" t="s">
        <v>1319</v>
      </c>
      <c r="G44" s="5" t="s">
        <v>1320</v>
      </c>
      <c r="H44" s="148">
        <v>4</v>
      </c>
      <c r="I44" s="149">
        <v>5530</v>
      </c>
      <c r="J44" s="150">
        <v>0</v>
      </c>
      <c r="K44" s="149">
        <v>22120</v>
      </c>
      <c r="L44" s="149">
        <v>1930.2</v>
      </c>
      <c r="M44" s="5" t="s">
        <v>1126</v>
      </c>
      <c r="N44" s="5" t="s">
        <v>1304</v>
      </c>
      <c r="O44" s="5" t="s">
        <v>1305</v>
      </c>
      <c r="P44" s="5" t="s">
        <v>1299</v>
      </c>
      <c r="Q44" s="5" t="s">
        <v>1184</v>
      </c>
      <c r="R44" s="151">
        <v>3</v>
      </c>
      <c r="S44" s="143"/>
    </row>
    <row r="45" spans="1:19" x14ac:dyDescent="0.25">
      <c r="A45" s="5" t="s">
        <v>1460</v>
      </c>
      <c r="B45" s="147">
        <v>45736</v>
      </c>
      <c r="C45" s="5" t="s">
        <v>1461</v>
      </c>
      <c r="D45" s="5" t="s">
        <v>1462</v>
      </c>
      <c r="E45" s="5" t="s">
        <v>1342</v>
      </c>
      <c r="F45" s="5" t="s">
        <v>988</v>
      </c>
      <c r="G45" s="5" t="s">
        <v>1343</v>
      </c>
      <c r="H45" s="148">
        <v>4</v>
      </c>
      <c r="I45" s="149">
        <v>6441</v>
      </c>
      <c r="J45" s="150">
        <v>0.1</v>
      </c>
      <c r="K45" s="149">
        <v>23187.599999999999</v>
      </c>
      <c r="L45" s="149">
        <v>3689</v>
      </c>
      <c r="M45" s="5" t="s">
        <v>1381</v>
      </c>
      <c r="N45" s="5" t="s">
        <v>1321</v>
      </c>
      <c r="O45" s="5" t="s">
        <v>1322</v>
      </c>
      <c r="P45" s="5" t="s">
        <v>1299</v>
      </c>
      <c r="Q45" s="5" t="s">
        <v>1204</v>
      </c>
      <c r="R45" s="151">
        <v>1</v>
      </c>
      <c r="S45" s="143"/>
    </row>
    <row r="46" spans="1:19" x14ac:dyDescent="0.25">
      <c r="A46" s="5" t="s">
        <v>1463</v>
      </c>
      <c r="B46" s="147">
        <v>45868</v>
      </c>
      <c r="C46" s="5" t="s">
        <v>1464</v>
      </c>
      <c r="D46" s="5" t="s">
        <v>1465</v>
      </c>
      <c r="E46" s="5" t="s">
        <v>1310</v>
      </c>
      <c r="F46" s="5" t="s">
        <v>1311</v>
      </c>
      <c r="G46" s="5" t="s">
        <v>1312</v>
      </c>
      <c r="H46" s="148">
        <v>2</v>
      </c>
      <c r="I46" s="149">
        <v>1418</v>
      </c>
      <c r="J46" s="150">
        <v>0.1</v>
      </c>
      <c r="K46" s="149">
        <v>2552.4</v>
      </c>
      <c r="L46" s="149">
        <v>601.80999999999995</v>
      </c>
      <c r="M46" s="5" t="s">
        <v>1344</v>
      </c>
      <c r="N46" s="5" t="s">
        <v>1297</v>
      </c>
      <c r="O46" s="5" t="s">
        <v>1298</v>
      </c>
      <c r="P46" s="5" t="s">
        <v>1314</v>
      </c>
      <c r="Q46" s="5" t="s">
        <v>1306</v>
      </c>
      <c r="R46" s="151">
        <v>2</v>
      </c>
      <c r="S46" s="143"/>
    </row>
    <row r="47" spans="1:19" x14ac:dyDescent="0.25">
      <c r="A47" s="5" t="s">
        <v>1466</v>
      </c>
      <c r="B47" s="147">
        <v>45939</v>
      </c>
      <c r="C47" s="5" t="s">
        <v>1467</v>
      </c>
      <c r="D47" s="5" t="s">
        <v>1468</v>
      </c>
      <c r="E47" s="5" t="s">
        <v>1310</v>
      </c>
      <c r="F47" s="5" t="s">
        <v>1311</v>
      </c>
      <c r="G47" s="5" t="s">
        <v>1312</v>
      </c>
      <c r="H47" s="148">
        <v>3</v>
      </c>
      <c r="I47" s="149">
        <v>4273</v>
      </c>
      <c r="J47" s="150">
        <v>0.05</v>
      </c>
      <c r="K47" s="149">
        <v>12178.05</v>
      </c>
      <c r="L47" s="149">
        <v>2135.1</v>
      </c>
      <c r="M47" s="5" t="s">
        <v>1344</v>
      </c>
      <c r="N47" s="5" t="s">
        <v>1297</v>
      </c>
      <c r="O47" s="5" t="s">
        <v>1298</v>
      </c>
      <c r="P47" s="5" t="s">
        <v>1323</v>
      </c>
      <c r="Q47" s="5" t="s">
        <v>1300</v>
      </c>
      <c r="R47" s="151">
        <v>4</v>
      </c>
      <c r="S47" s="143"/>
    </row>
    <row r="48" spans="1:19" x14ac:dyDescent="0.25">
      <c r="A48" s="5" t="s">
        <v>1469</v>
      </c>
      <c r="B48" s="147">
        <v>45977</v>
      </c>
      <c r="C48" s="5" t="s">
        <v>1470</v>
      </c>
      <c r="D48" s="5" t="s">
        <v>1471</v>
      </c>
      <c r="E48" s="5" t="s">
        <v>1318</v>
      </c>
      <c r="F48" s="5" t="s">
        <v>1319</v>
      </c>
      <c r="G48" s="5" t="s">
        <v>1320</v>
      </c>
      <c r="H48" s="148">
        <v>5</v>
      </c>
      <c r="I48" s="149">
        <v>10157</v>
      </c>
      <c r="J48" s="150">
        <v>0.15</v>
      </c>
      <c r="K48" s="149">
        <v>43167.25</v>
      </c>
      <c r="L48" s="149">
        <v>3840.8</v>
      </c>
      <c r="M48" s="5" t="s">
        <v>1126</v>
      </c>
      <c r="N48" s="5" t="s">
        <v>1337</v>
      </c>
      <c r="O48" s="5" t="s">
        <v>1338</v>
      </c>
      <c r="P48" s="5" t="s">
        <v>1323</v>
      </c>
      <c r="Q48" s="5" t="s">
        <v>1204</v>
      </c>
      <c r="R48" s="151">
        <v>4</v>
      </c>
      <c r="S48" s="143"/>
    </row>
    <row r="49" spans="1:19" x14ac:dyDescent="0.25">
      <c r="A49" s="5" t="s">
        <v>1472</v>
      </c>
      <c r="B49" s="147">
        <v>45766</v>
      </c>
      <c r="C49" s="5" t="s">
        <v>1473</v>
      </c>
      <c r="D49" s="5" t="s">
        <v>1474</v>
      </c>
      <c r="E49" s="5" t="s">
        <v>1318</v>
      </c>
      <c r="F49" s="5" t="s">
        <v>1319</v>
      </c>
      <c r="G49" s="5" t="s">
        <v>1320</v>
      </c>
      <c r="H49" s="148">
        <v>5</v>
      </c>
      <c r="I49" s="149">
        <v>1929</v>
      </c>
      <c r="J49" s="150">
        <v>0</v>
      </c>
      <c r="K49" s="149">
        <v>9645</v>
      </c>
      <c r="L49" s="149">
        <v>2807.44</v>
      </c>
      <c r="M49" s="5" t="s">
        <v>1130</v>
      </c>
      <c r="N49" s="5" t="s">
        <v>1297</v>
      </c>
      <c r="O49" s="5" t="s">
        <v>1298</v>
      </c>
      <c r="P49" s="5" t="s">
        <v>1314</v>
      </c>
      <c r="Q49" s="5" t="s">
        <v>1184</v>
      </c>
      <c r="R49" s="151">
        <v>1</v>
      </c>
      <c r="S49" s="143"/>
    </row>
    <row r="50" spans="1:19" x14ac:dyDescent="0.25">
      <c r="A50" s="5" t="s">
        <v>1475</v>
      </c>
      <c r="B50" s="147">
        <v>45925</v>
      </c>
      <c r="C50" s="5" t="s">
        <v>1476</v>
      </c>
      <c r="D50" s="5" t="s">
        <v>1477</v>
      </c>
      <c r="E50" s="5" t="s">
        <v>1310</v>
      </c>
      <c r="F50" s="5" t="s">
        <v>1311</v>
      </c>
      <c r="G50" s="5" t="s">
        <v>1312</v>
      </c>
      <c r="H50" s="148">
        <v>5</v>
      </c>
      <c r="I50" s="149">
        <v>12705</v>
      </c>
      <c r="J50" s="150">
        <v>0.05</v>
      </c>
      <c r="K50" s="149">
        <v>60348.75</v>
      </c>
      <c r="L50" s="149">
        <v>16431.96</v>
      </c>
      <c r="M50" s="5" t="s">
        <v>1126</v>
      </c>
      <c r="N50" s="5" t="s">
        <v>1352</v>
      </c>
      <c r="O50" s="5" t="s">
        <v>1352</v>
      </c>
      <c r="P50" s="5" t="s">
        <v>1314</v>
      </c>
      <c r="Q50" s="5" t="s">
        <v>1184</v>
      </c>
      <c r="R50" s="151">
        <v>5</v>
      </c>
      <c r="S50" s="143"/>
    </row>
    <row r="51" spans="1:19" x14ac:dyDescent="0.25">
      <c r="A51" s="5" t="s">
        <v>1478</v>
      </c>
      <c r="B51" s="147">
        <v>45891</v>
      </c>
      <c r="C51" s="5" t="s">
        <v>1479</v>
      </c>
      <c r="D51" s="5" t="s">
        <v>1480</v>
      </c>
      <c r="E51" s="5" t="s">
        <v>1318</v>
      </c>
      <c r="F51" s="5" t="s">
        <v>1319</v>
      </c>
      <c r="G51" s="5" t="s">
        <v>1320</v>
      </c>
      <c r="H51" s="148">
        <v>1</v>
      </c>
      <c r="I51" s="149">
        <v>1606</v>
      </c>
      <c r="J51" s="150">
        <v>0.05</v>
      </c>
      <c r="K51" s="149">
        <v>1525.7</v>
      </c>
      <c r="L51" s="149">
        <v>168.29</v>
      </c>
      <c r="M51" s="5" t="s">
        <v>1126</v>
      </c>
      <c r="N51" s="5" t="s">
        <v>1304</v>
      </c>
      <c r="O51" s="5" t="s">
        <v>1305</v>
      </c>
      <c r="P51" s="5" t="s">
        <v>1299</v>
      </c>
      <c r="Q51" s="5" t="s">
        <v>1306</v>
      </c>
      <c r="R51" s="151">
        <v>3</v>
      </c>
      <c r="S51" s="143"/>
    </row>
    <row r="52" spans="1:19" x14ac:dyDescent="0.25">
      <c r="A52" s="5" t="s">
        <v>1481</v>
      </c>
      <c r="B52" s="147">
        <v>45887</v>
      </c>
      <c r="C52" s="5" t="s">
        <v>1482</v>
      </c>
      <c r="D52" s="5" t="s">
        <v>1483</v>
      </c>
      <c r="E52" s="5" t="s">
        <v>1359</v>
      </c>
      <c r="F52" s="5" t="s">
        <v>1360</v>
      </c>
      <c r="G52" s="5" t="s">
        <v>1361</v>
      </c>
      <c r="H52" s="148">
        <v>3</v>
      </c>
      <c r="I52" s="149">
        <v>4010</v>
      </c>
      <c r="J52" s="150">
        <v>0</v>
      </c>
      <c r="K52" s="149">
        <v>12030</v>
      </c>
      <c r="L52" s="149">
        <v>2381.2199999999998</v>
      </c>
      <c r="M52" s="5" t="s">
        <v>1130</v>
      </c>
      <c r="N52" s="5" t="s">
        <v>1362</v>
      </c>
      <c r="O52" s="5" t="s">
        <v>1363</v>
      </c>
      <c r="P52" s="5" t="s">
        <v>1327</v>
      </c>
      <c r="Q52" s="5" t="s">
        <v>1300</v>
      </c>
      <c r="R52" s="151">
        <v>5</v>
      </c>
      <c r="S52" s="143"/>
    </row>
    <row r="53" spans="1:19" x14ac:dyDescent="0.25">
      <c r="A53" s="5" t="s">
        <v>1484</v>
      </c>
      <c r="B53" s="147">
        <v>45793</v>
      </c>
      <c r="C53" s="5" t="s">
        <v>1485</v>
      </c>
      <c r="D53" s="5" t="s">
        <v>1486</v>
      </c>
      <c r="E53" s="5" t="s">
        <v>1331</v>
      </c>
      <c r="F53" s="5" t="s">
        <v>988</v>
      </c>
      <c r="G53" s="5" t="s">
        <v>1332</v>
      </c>
      <c r="H53" s="148">
        <v>1</v>
      </c>
      <c r="I53" s="149">
        <v>11223</v>
      </c>
      <c r="J53" s="150">
        <v>0.1</v>
      </c>
      <c r="K53" s="149">
        <v>10100.700000000001</v>
      </c>
      <c r="L53" s="149">
        <v>1781.78</v>
      </c>
      <c r="M53" s="5" t="s">
        <v>1130</v>
      </c>
      <c r="N53" s="5" t="s">
        <v>1352</v>
      </c>
      <c r="O53" s="5" t="s">
        <v>1352</v>
      </c>
      <c r="P53" s="5" t="s">
        <v>1314</v>
      </c>
      <c r="Q53" s="5" t="s">
        <v>1204</v>
      </c>
      <c r="R53" s="151">
        <v>5</v>
      </c>
      <c r="S53" s="143"/>
    </row>
    <row r="54" spans="1:19" x14ac:dyDescent="0.25">
      <c r="A54" s="5" t="s">
        <v>1487</v>
      </c>
      <c r="B54" s="147">
        <v>45781</v>
      </c>
      <c r="C54" s="5" t="s">
        <v>1488</v>
      </c>
      <c r="D54" s="5" t="s">
        <v>1489</v>
      </c>
      <c r="E54" s="5" t="s">
        <v>1318</v>
      </c>
      <c r="F54" s="5" t="s">
        <v>1319</v>
      </c>
      <c r="G54" s="5" t="s">
        <v>1320</v>
      </c>
      <c r="H54" s="148">
        <v>3</v>
      </c>
      <c r="I54" s="149">
        <v>12301</v>
      </c>
      <c r="J54" s="150">
        <v>0.2</v>
      </c>
      <c r="K54" s="149">
        <v>29522.400000000001</v>
      </c>
      <c r="L54" s="149">
        <v>8586.01</v>
      </c>
      <c r="M54" s="5" t="s">
        <v>1313</v>
      </c>
      <c r="N54" s="5" t="s">
        <v>1304</v>
      </c>
      <c r="O54" s="5" t="s">
        <v>1305</v>
      </c>
      <c r="P54" s="5" t="s">
        <v>1323</v>
      </c>
      <c r="Q54" s="5" t="s">
        <v>1184</v>
      </c>
      <c r="R54" s="151">
        <v>1</v>
      </c>
      <c r="S54" s="143"/>
    </row>
    <row r="55" spans="1:19" x14ac:dyDescent="0.25">
      <c r="A55" s="5" t="s">
        <v>1490</v>
      </c>
      <c r="B55" s="147">
        <v>45826</v>
      </c>
      <c r="C55" s="5" t="s">
        <v>1491</v>
      </c>
      <c r="D55" s="5" t="s">
        <v>1492</v>
      </c>
      <c r="E55" s="5" t="s">
        <v>1370</v>
      </c>
      <c r="F55" s="5" t="s">
        <v>1160</v>
      </c>
      <c r="G55" s="5" t="s">
        <v>1371</v>
      </c>
      <c r="H55" s="148">
        <v>5</v>
      </c>
      <c r="I55" s="149">
        <v>7917</v>
      </c>
      <c r="J55" s="150">
        <v>0.1</v>
      </c>
      <c r="K55" s="149">
        <v>35626.5</v>
      </c>
      <c r="L55" s="149">
        <v>3853.96</v>
      </c>
      <c r="M55" s="5" t="s">
        <v>1313</v>
      </c>
      <c r="N55" s="5" t="s">
        <v>1321</v>
      </c>
      <c r="O55" s="5" t="s">
        <v>1322</v>
      </c>
      <c r="P55" s="5" t="s">
        <v>1323</v>
      </c>
      <c r="Q55" s="5" t="s">
        <v>1204</v>
      </c>
      <c r="R55" s="151">
        <v>2</v>
      </c>
      <c r="S55" s="143"/>
    </row>
    <row r="56" spans="1:19" x14ac:dyDescent="0.25">
      <c r="A56" s="5" t="s">
        <v>1493</v>
      </c>
      <c r="B56" s="147">
        <v>45981</v>
      </c>
      <c r="C56" s="5" t="s">
        <v>1494</v>
      </c>
      <c r="D56" s="5" t="s">
        <v>1495</v>
      </c>
      <c r="E56" s="5" t="s">
        <v>1195</v>
      </c>
      <c r="F56" s="5" t="s">
        <v>988</v>
      </c>
      <c r="G56" s="5" t="s">
        <v>1336</v>
      </c>
      <c r="H56" s="148">
        <v>5</v>
      </c>
      <c r="I56" s="149">
        <v>8293</v>
      </c>
      <c r="J56" s="150">
        <v>0.15</v>
      </c>
      <c r="K56" s="149">
        <v>35245.25</v>
      </c>
      <c r="L56" s="149">
        <v>9186.43</v>
      </c>
      <c r="M56" s="5" t="s">
        <v>1344</v>
      </c>
      <c r="N56" s="5" t="s">
        <v>1352</v>
      </c>
      <c r="O56" s="5" t="s">
        <v>1352</v>
      </c>
      <c r="P56" s="5" t="s">
        <v>1314</v>
      </c>
      <c r="Q56" s="5" t="s">
        <v>1184</v>
      </c>
      <c r="R56" s="151">
        <v>3</v>
      </c>
      <c r="S56" s="143"/>
    </row>
    <row r="57" spans="1:19" x14ac:dyDescent="0.25">
      <c r="A57" s="5" t="s">
        <v>1496</v>
      </c>
      <c r="B57" s="147">
        <v>45941</v>
      </c>
      <c r="C57" s="5" t="s">
        <v>1497</v>
      </c>
      <c r="D57" s="5" t="s">
        <v>1498</v>
      </c>
      <c r="E57" s="5" t="s">
        <v>1370</v>
      </c>
      <c r="F57" s="5" t="s">
        <v>1160</v>
      </c>
      <c r="G57" s="5" t="s">
        <v>1371</v>
      </c>
      <c r="H57" s="148">
        <v>4</v>
      </c>
      <c r="I57" s="149">
        <v>1371</v>
      </c>
      <c r="J57" s="150">
        <v>0.1</v>
      </c>
      <c r="K57" s="149">
        <v>4935.6000000000004</v>
      </c>
      <c r="L57" s="149">
        <v>537.57000000000005</v>
      </c>
      <c r="M57" s="5" t="s">
        <v>1130</v>
      </c>
      <c r="N57" s="5" t="s">
        <v>1362</v>
      </c>
      <c r="O57" s="5" t="s">
        <v>1363</v>
      </c>
      <c r="P57" s="5" t="s">
        <v>1299</v>
      </c>
      <c r="Q57" s="5" t="s">
        <v>1184</v>
      </c>
      <c r="R57" s="151">
        <v>5</v>
      </c>
      <c r="S57" s="143"/>
    </row>
    <row r="58" spans="1:19" x14ac:dyDescent="0.25">
      <c r="A58" s="5" t="s">
        <v>1499</v>
      </c>
      <c r="B58" s="147">
        <v>45806</v>
      </c>
      <c r="C58" s="5" t="s">
        <v>1500</v>
      </c>
      <c r="D58" s="5" t="s">
        <v>1501</v>
      </c>
      <c r="E58" s="5" t="s">
        <v>1295</v>
      </c>
      <c r="F58" s="5" t="s">
        <v>985</v>
      </c>
      <c r="G58" s="5" t="s">
        <v>1296</v>
      </c>
      <c r="H58" s="148">
        <v>4</v>
      </c>
      <c r="I58" s="149">
        <v>11778</v>
      </c>
      <c r="J58" s="150">
        <v>0.15</v>
      </c>
      <c r="K58" s="149">
        <v>40045.199999999997</v>
      </c>
      <c r="L58" s="149">
        <v>7779.25</v>
      </c>
      <c r="M58" s="5" t="s">
        <v>1344</v>
      </c>
      <c r="N58" s="5" t="s">
        <v>1321</v>
      </c>
      <c r="O58" s="5" t="s">
        <v>1322</v>
      </c>
      <c r="P58" s="5" t="s">
        <v>1323</v>
      </c>
      <c r="Q58" s="5" t="s">
        <v>1300</v>
      </c>
      <c r="R58" s="151">
        <v>3</v>
      </c>
      <c r="S58" s="143"/>
    </row>
    <row r="59" spans="1:19" x14ac:dyDescent="0.25">
      <c r="A59" s="5" t="s">
        <v>1502</v>
      </c>
      <c r="B59" s="147">
        <v>45692</v>
      </c>
      <c r="C59" s="5" t="s">
        <v>1503</v>
      </c>
      <c r="D59" s="5" t="s">
        <v>1504</v>
      </c>
      <c r="E59" s="5" t="s">
        <v>1370</v>
      </c>
      <c r="F59" s="5" t="s">
        <v>1160</v>
      </c>
      <c r="G59" s="5" t="s">
        <v>1371</v>
      </c>
      <c r="H59" s="148">
        <v>1</v>
      </c>
      <c r="I59" s="149">
        <v>3052</v>
      </c>
      <c r="J59" s="150">
        <v>0.1</v>
      </c>
      <c r="K59" s="149">
        <v>2746.8</v>
      </c>
      <c r="L59" s="149">
        <v>592.41999999999996</v>
      </c>
      <c r="M59" s="5" t="s">
        <v>1130</v>
      </c>
      <c r="N59" s="5" t="s">
        <v>1352</v>
      </c>
      <c r="O59" s="5" t="s">
        <v>1352</v>
      </c>
      <c r="P59" s="5" t="s">
        <v>1348</v>
      </c>
      <c r="Q59" s="5" t="s">
        <v>1300</v>
      </c>
      <c r="R59" s="151">
        <v>3</v>
      </c>
      <c r="S59" s="143"/>
    </row>
    <row r="60" spans="1:19" x14ac:dyDescent="0.25">
      <c r="A60" s="5" t="s">
        <v>1505</v>
      </c>
      <c r="B60" s="147">
        <v>45689</v>
      </c>
      <c r="C60" s="5" t="s">
        <v>1506</v>
      </c>
      <c r="D60" s="5" t="s">
        <v>1507</v>
      </c>
      <c r="E60" s="5" t="s">
        <v>1310</v>
      </c>
      <c r="F60" s="5" t="s">
        <v>1311</v>
      </c>
      <c r="G60" s="5" t="s">
        <v>1312</v>
      </c>
      <c r="H60" s="148">
        <v>1</v>
      </c>
      <c r="I60" s="149">
        <v>555</v>
      </c>
      <c r="J60" s="150">
        <v>0.05</v>
      </c>
      <c r="K60" s="149">
        <v>527.25</v>
      </c>
      <c r="L60" s="149">
        <v>92.44</v>
      </c>
      <c r="M60" s="5" t="s">
        <v>1130</v>
      </c>
      <c r="N60" s="5" t="s">
        <v>1337</v>
      </c>
      <c r="O60" s="5" t="s">
        <v>1338</v>
      </c>
      <c r="P60" s="5" t="s">
        <v>1327</v>
      </c>
      <c r="Q60" s="5" t="s">
        <v>1204</v>
      </c>
      <c r="R60" s="151">
        <v>2</v>
      </c>
      <c r="S60" s="143"/>
    </row>
    <row r="61" spans="1:19" x14ac:dyDescent="0.25">
      <c r="A61" s="5" t="s">
        <v>1508</v>
      </c>
      <c r="B61" s="147">
        <v>45876</v>
      </c>
      <c r="C61" s="5" t="s">
        <v>1509</v>
      </c>
      <c r="D61" s="5" t="s">
        <v>1510</v>
      </c>
      <c r="E61" s="5" t="s">
        <v>1310</v>
      </c>
      <c r="F61" s="5" t="s">
        <v>1311</v>
      </c>
      <c r="G61" s="5" t="s">
        <v>1312</v>
      </c>
      <c r="H61" s="148">
        <v>2</v>
      </c>
      <c r="I61" s="149">
        <v>14129</v>
      </c>
      <c r="J61" s="150">
        <v>0.1</v>
      </c>
      <c r="K61" s="149">
        <v>25432.2</v>
      </c>
      <c r="L61" s="149">
        <v>7431.99</v>
      </c>
      <c r="M61" s="5" t="s">
        <v>1344</v>
      </c>
      <c r="N61" s="5" t="s">
        <v>1362</v>
      </c>
      <c r="O61" s="5" t="s">
        <v>1363</v>
      </c>
      <c r="P61" s="5" t="s">
        <v>1314</v>
      </c>
      <c r="Q61" s="5" t="s">
        <v>1306</v>
      </c>
      <c r="R61" s="151">
        <v>3</v>
      </c>
      <c r="S61" s="143"/>
    </row>
    <row r="62" spans="1:19" x14ac:dyDescent="0.25">
      <c r="A62" s="5" t="s">
        <v>1511</v>
      </c>
      <c r="B62" s="147">
        <v>46004</v>
      </c>
      <c r="C62" s="5" t="s">
        <v>1512</v>
      </c>
      <c r="D62" s="5" t="s">
        <v>1513</v>
      </c>
      <c r="E62" s="5" t="s">
        <v>1318</v>
      </c>
      <c r="F62" s="5" t="s">
        <v>1319</v>
      </c>
      <c r="G62" s="5" t="s">
        <v>1320</v>
      </c>
      <c r="H62" s="148">
        <v>1</v>
      </c>
      <c r="I62" s="149">
        <v>4150</v>
      </c>
      <c r="J62" s="150">
        <v>0.2</v>
      </c>
      <c r="K62" s="149">
        <v>3320</v>
      </c>
      <c r="L62" s="149">
        <v>617.32000000000005</v>
      </c>
      <c r="M62" s="5" t="s">
        <v>1344</v>
      </c>
      <c r="N62" s="5" t="s">
        <v>1337</v>
      </c>
      <c r="O62" s="5" t="s">
        <v>1338</v>
      </c>
      <c r="P62" s="5" t="s">
        <v>1327</v>
      </c>
      <c r="Q62" s="5" t="s">
        <v>1184</v>
      </c>
      <c r="R62" s="151">
        <v>2</v>
      </c>
      <c r="S62" s="143"/>
    </row>
    <row r="63" spans="1:19" x14ac:dyDescent="0.25">
      <c r="A63" s="5" t="s">
        <v>1514</v>
      </c>
      <c r="B63" s="147">
        <v>46016</v>
      </c>
      <c r="C63" s="5" t="s">
        <v>1515</v>
      </c>
      <c r="D63" s="5" t="s">
        <v>1516</v>
      </c>
      <c r="E63" s="5" t="s">
        <v>1318</v>
      </c>
      <c r="F63" s="5" t="s">
        <v>1319</v>
      </c>
      <c r="G63" s="5" t="s">
        <v>1320</v>
      </c>
      <c r="H63" s="148">
        <v>4</v>
      </c>
      <c r="I63" s="149">
        <v>8431</v>
      </c>
      <c r="J63" s="150">
        <v>0.05</v>
      </c>
      <c r="K63" s="149">
        <v>32037.8</v>
      </c>
      <c r="L63" s="149">
        <v>7717.74</v>
      </c>
      <c r="M63" s="5" t="s">
        <v>1381</v>
      </c>
      <c r="N63" s="5" t="s">
        <v>1321</v>
      </c>
      <c r="O63" s="5" t="s">
        <v>1322</v>
      </c>
      <c r="P63" s="5" t="s">
        <v>1323</v>
      </c>
      <c r="Q63" s="5" t="s">
        <v>1184</v>
      </c>
      <c r="R63" s="151">
        <v>4</v>
      </c>
      <c r="S63" s="143"/>
    </row>
    <row r="64" spans="1:19" x14ac:dyDescent="0.25">
      <c r="A64" s="5" t="s">
        <v>1517</v>
      </c>
      <c r="B64" s="147">
        <v>45667</v>
      </c>
      <c r="C64" s="5" t="s">
        <v>1518</v>
      </c>
      <c r="D64" s="5" t="s">
        <v>1519</v>
      </c>
      <c r="E64" s="5" t="s">
        <v>1295</v>
      </c>
      <c r="F64" s="5" t="s">
        <v>985</v>
      </c>
      <c r="G64" s="5" t="s">
        <v>1296</v>
      </c>
      <c r="H64" s="148">
        <v>4</v>
      </c>
      <c r="I64" s="149">
        <v>2076</v>
      </c>
      <c r="J64" s="150">
        <v>0.05</v>
      </c>
      <c r="K64" s="149">
        <v>7888.8</v>
      </c>
      <c r="L64" s="149">
        <v>2158.61</v>
      </c>
      <c r="M64" s="5" t="s">
        <v>1126</v>
      </c>
      <c r="N64" s="5" t="s">
        <v>1321</v>
      </c>
      <c r="O64" s="5" t="s">
        <v>1322</v>
      </c>
      <c r="P64" s="5" t="s">
        <v>1348</v>
      </c>
      <c r="Q64" s="5" t="s">
        <v>1204</v>
      </c>
      <c r="R64" s="151">
        <v>3</v>
      </c>
      <c r="S64" s="143"/>
    </row>
    <row r="65" spans="1:19" x14ac:dyDescent="0.25">
      <c r="A65" s="5" t="s">
        <v>1520</v>
      </c>
      <c r="B65" s="147">
        <v>45696</v>
      </c>
      <c r="C65" s="5" t="s">
        <v>1521</v>
      </c>
      <c r="D65" s="5" t="s">
        <v>1522</v>
      </c>
      <c r="E65" s="5" t="s">
        <v>1310</v>
      </c>
      <c r="F65" s="5" t="s">
        <v>1311</v>
      </c>
      <c r="G65" s="5" t="s">
        <v>1312</v>
      </c>
      <c r="H65" s="148">
        <v>5</v>
      </c>
      <c r="I65" s="149">
        <v>6870</v>
      </c>
      <c r="J65" s="150">
        <v>0.2</v>
      </c>
      <c r="K65" s="149">
        <v>27480</v>
      </c>
      <c r="L65" s="149">
        <v>7091.58</v>
      </c>
      <c r="M65" s="5" t="s">
        <v>1126</v>
      </c>
      <c r="N65" s="5" t="s">
        <v>1304</v>
      </c>
      <c r="O65" s="5" t="s">
        <v>1305</v>
      </c>
      <c r="P65" s="5" t="s">
        <v>1299</v>
      </c>
      <c r="Q65" s="5" t="s">
        <v>1306</v>
      </c>
      <c r="R65" s="151">
        <v>5</v>
      </c>
      <c r="S65" s="143"/>
    </row>
    <row r="66" spans="1:19" x14ac:dyDescent="0.25">
      <c r="A66" s="5" t="s">
        <v>1523</v>
      </c>
      <c r="B66" s="147">
        <v>45665</v>
      </c>
      <c r="C66" s="5" t="s">
        <v>1524</v>
      </c>
      <c r="D66" s="5" t="s">
        <v>1525</v>
      </c>
      <c r="E66" s="5" t="s">
        <v>1342</v>
      </c>
      <c r="F66" s="5" t="s">
        <v>988</v>
      </c>
      <c r="G66" s="5" t="s">
        <v>1343</v>
      </c>
      <c r="H66" s="148">
        <v>1</v>
      </c>
      <c r="I66" s="149">
        <v>11061</v>
      </c>
      <c r="J66" s="150">
        <v>0.1</v>
      </c>
      <c r="K66" s="149">
        <v>9954.9</v>
      </c>
      <c r="L66" s="149">
        <v>2358.17</v>
      </c>
      <c r="M66" s="5" t="s">
        <v>1126</v>
      </c>
      <c r="N66" s="5" t="s">
        <v>1321</v>
      </c>
      <c r="O66" s="5" t="s">
        <v>1322</v>
      </c>
      <c r="P66" s="5" t="s">
        <v>1314</v>
      </c>
      <c r="Q66" s="5" t="s">
        <v>1300</v>
      </c>
      <c r="R66" s="151">
        <v>1</v>
      </c>
      <c r="S66" s="143"/>
    </row>
    <row r="67" spans="1:19" x14ac:dyDescent="0.25">
      <c r="A67" s="5" t="s">
        <v>1526</v>
      </c>
      <c r="B67" s="147">
        <v>45730</v>
      </c>
      <c r="C67" s="5" t="s">
        <v>1527</v>
      </c>
      <c r="D67" s="5" t="s">
        <v>1528</v>
      </c>
      <c r="E67" s="5" t="s">
        <v>1342</v>
      </c>
      <c r="F67" s="5" t="s">
        <v>988</v>
      </c>
      <c r="G67" s="5" t="s">
        <v>1343</v>
      </c>
      <c r="H67" s="148">
        <v>1</v>
      </c>
      <c r="I67" s="149">
        <v>2429</v>
      </c>
      <c r="J67" s="150">
        <v>0.1</v>
      </c>
      <c r="K67" s="149">
        <v>2186.1</v>
      </c>
      <c r="L67" s="149">
        <v>314.51</v>
      </c>
      <c r="M67" s="5" t="s">
        <v>1344</v>
      </c>
      <c r="N67" s="5" t="s">
        <v>1337</v>
      </c>
      <c r="O67" s="5" t="s">
        <v>1338</v>
      </c>
      <c r="P67" s="5" t="s">
        <v>1327</v>
      </c>
      <c r="Q67" s="5" t="s">
        <v>1306</v>
      </c>
      <c r="R67" s="151">
        <v>3</v>
      </c>
      <c r="S67" s="143"/>
    </row>
    <row r="68" spans="1:19" x14ac:dyDescent="0.25">
      <c r="A68" s="5" t="s">
        <v>1529</v>
      </c>
      <c r="B68" s="147">
        <v>45787</v>
      </c>
      <c r="C68" s="5" t="s">
        <v>1530</v>
      </c>
      <c r="D68" s="5" t="s">
        <v>1531</v>
      </c>
      <c r="E68" s="5" t="s">
        <v>1318</v>
      </c>
      <c r="F68" s="5" t="s">
        <v>1319</v>
      </c>
      <c r="G68" s="5" t="s">
        <v>1320</v>
      </c>
      <c r="H68" s="148">
        <v>1</v>
      </c>
      <c r="I68" s="149">
        <v>10878</v>
      </c>
      <c r="J68" s="150">
        <v>0.15</v>
      </c>
      <c r="K68" s="149">
        <v>9246.2999999999993</v>
      </c>
      <c r="L68" s="149">
        <v>2276.25</v>
      </c>
      <c r="M68" s="5" t="s">
        <v>1381</v>
      </c>
      <c r="N68" s="5" t="s">
        <v>1337</v>
      </c>
      <c r="O68" s="5" t="s">
        <v>1338</v>
      </c>
      <c r="P68" s="5" t="s">
        <v>1323</v>
      </c>
      <c r="Q68" s="5" t="s">
        <v>1300</v>
      </c>
      <c r="R68" s="151">
        <v>5</v>
      </c>
      <c r="S68" s="143"/>
    </row>
    <row r="69" spans="1:19" x14ac:dyDescent="0.25">
      <c r="A69" s="5" t="s">
        <v>1532</v>
      </c>
      <c r="B69" s="147">
        <v>45742</v>
      </c>
      <c r="C69" s="5" t="s">
        <v>1533</v>
      </c>
      <c r="D69" s="5" t="s">
        <v>1534</v>
      </c>
      <c r="E69" s="5" t="s">
        <v>1370</v>
      </c>
      <c r="F69" s="5" t="s">
        <v>1160</v>
      </c>
      <c r="G69" s="5" t="s">
        <v>1371</v>
      </c>
      <c r="H69" s="148">
        <v>4</v>
      </c>
      <c r="I69" s="149">
        <v>1521</v>
      </c>
      <c r="J69" s="150">
        <v>0.05</v>
      </c>
      <c r="K69" s="149">
        <v>5779.8</v>
      </c>
      <c r="L69" s="149">
        <v>840.58</v>
      </c>
      <c r="M69" s="5" t="s">
        <v>1381</v>
      </c>
      <c r="N69" s="5" t="s">
        <v>1297</v>
      </c>
      <c r="O69" s="5" t="s">
        <v>1298</v>
      </c>
      <c r="P69" s="5" t="s">
        <v>1327</v>
      </c>
      <c r="Q69" s="5" t="s">
        <v>1306</v>
      </c>
      <c r="R69" s="151">
        <v>5</v>
      </c>
      <c r="S69" s="143"/>
    </row>
    <row r="70" spans="1:19" x14ac:dyDescent="0.25">
      <c r="A70" s="5" t="s">
        <v>1535</v>
      </c>
      <c r="B70" s="147">
        <v>45755</v>
      </c>
      <c r="C70" s="5" t="s">
        <v>1536</v>
      </c>
      <c r="D70" s="5" t="s">
        <v>1537</v>
      </c>
      <c r="E70" s="5" t="s">
        <v>1331</v>
      </c>
      <c r="F70" s="5" t="s">
        <v>988</v>
      </c>
      <c r="G70" s="5" t="s">
        <v>1332</v>
      </c>
      <c r="H70" s="148">
        <v>3</v>
      </c>
      <c r="I70" s="149">
        <v>3089</v>
      </c>
      <c r="J70" s="150">
        <v>0.05</v>
      </c>
      <c r="K70" s="149">
        <v>8803.65</v>
      </c>
      <c r="L70" s="149">
        <v>1314.66</v>
      </c>
      <c r="M70" s="5" t="s">
        <v>1126</v>
      </c>
      <c r="N70" s="5" t="s">
        <v>1321</v>
      </c>
      <c r="O70" s="5" t="s">
        <v>1322</v>
      </c>
      <c r="P70" s="5" t="s">
        <v>1299</v>
      </c>
      <c r="Q70" s="5" t="s">
        <v>1184</v>
      </c>
      <c r="R70" s="151">
        <v>1</v>
      </c>
      <c r="S70" s="143"/>
    </row>
    <row r="71" spans="1:19" x14ac:dyDescent="0.25">
      <c r="A71" s="5" t="s">
        <v>1538</v>
      </c>
      <c r="B71" s="147">
        <v>45754</v>
      </c>
      <c r="C71" s="5" t="s">
        <v>1539</v>
      </c>
      <c r="D71" s="5" t="s">
        <v>1540</v>
      </c>
      <c r="E71" s="5" t="s">
        <v>1318</v>
      </c>
      <c r="F71" s="5" t="s">
        <v>1319</v>
      </c>
      <c r="G71" s="5" t="s">
        <v>1320</v>
      </c>
      <c r="H71" s="148">
        <v>5</v>
      </c>
      <c r="I71" s="149">
        <v>7711</v>
      </c>
      <c r="J71" s="150">
        <v>0.2</v>
      </c>
      <c r="K71" s="149">
        <v>30844</v>
      </c>
      <c r="L71" s="149">
        <v>7039.26</v>
      </c>
      <c r="M71" s="5" t="s">
        <v>1126</v>
      </c>
      <c r="N71" s="5" t="s">
        <v>1297</v>
      </c>
      <c r="O71" s="5" t="s">
        <v>1298</v>
      </c>
      <c r="P71" s="5" t="s">
        <v>1327</v>
      </c>
      <c r="Q71" s="5" t="s">
        <v>1300</v>
      </c>
      <c r="R71" s="151">
        <v>2</v>
      </c>
      <c r="S71" s="143"/>
    </row>
    <row r="72" spans="1:19" x14ac:dyDescent="0.25">
      <c r="A72" s="5" t="s">
        <v>1541</v>
      </c>
      <c r="B72" s="147">
        <v>45743</v>
      </c>
      <c r="C72" s="5" t="s">
        <v>1542</v>
      </c>
      <c r="D72" s="5" t="s">
        <v>1543</v>
      </c>
      <c r="E72" s="5" t="s">
        <v>1342</v>
      </c>
      <c r="F72" s="5" t="s">
        <v>988</v>
      </c>
      <c r="G72" s="5" t="s">
        <v>1343</v>
      </c>
      <c r="H72" s="148">
        <v>3</v>
      </c>
      <c r="I72" s="149">
        <v>1554</v>
      </c>
      <c r="J72" s="150">
        <v>0.05</v>
      </c>
      <c r="K72" s="149">
        <v>4428.8999999999996</v>
      </c>
      <c r="L72" s="149">
        <v>972.64</v>
      </c>
      <c r="M72" s="5" t="s">
        <v>1130</v>
      </c>
      <c r="N72" s="5" t="s">
        <v>1352</v>
      </c>
      <c r="O72" s="5" t="s">
        <v>1352</v>
      </c>
      <c r="P72" s="5" t="s">
        <v>1299</v>
      </c>
      <c r="Q72" s="5" t="s">
        <v>1204</v>
      </c>
      <c r="R72" s="151">
        <v>3</v>
      </c>
      <c r="S72" s="143"/>
    </row>
    <row r="73" spans="1:19" x14ac:dyDescent="0.25">
      <c r="A73" s="5" t="s">
        <v>1544</v>
      </c>
      <c r="B73" s="147">
        <v>45694</v>
      </c>
      <c r="C73" s="5" t="s">
        <v>1545</v>
      </c>
      <c r="D73" s="5" t="s">
        <v>1546</v>
      </c>
      <c r="E73" s="5" t="s">
        <v>1342</v>
      </c>
      <c r="F73" s="5" t="s">
        <v>988</v>
      </c>
      <c r="G73" s="5" t="s">
        <v>1343</v>
      </c>
      <c r="H73" s="148">
        <v>5</v>
      </c>
      <c r="I73" s="149">
        <v>6638</v>
      </c>
      <c r="J73" s="150">
        <v>0.2</v>
      </c>
      <c r="K73" s="149">
        <v>26552</v>
      </c>
      <c r="L73" s="149">
        <v>7955.76</v>
      </c>
      <c r="M73" s="5" t="s">
        <v>1381</v>
      </c>
      <c r="N73" s="5" t="s">
        <v>1362</v>
      </c>
      <c r="O73" s="5" t="s">
        <v>1363</v>
      </c>
      <c r="P73" s="5" t="s">
        <v>1314</v>
      </c>
      <c r="Q73" s="5" t="s">
        <v>1204</v>
      </c>
      <c r="R73" s="151">
        <v>4</v>
      </c>
      <c r="S73" s="143"/>
    </row>
    <row r="74" spans="1:19" x14ac:dyDescent="0.25">
      <c r="A74" s="5" t="s">
        <v>1547</v>
      </c>
      <c r="B74" s="147">
        <v>45878</v>
      </c>
      <c r="C74" s="5" t="s">
        <v>1548</v>
      </c>
      <c r="D74" s="5" t="s">
        <v>1549</v>
      </c>
      <c r="E74" s="5" t="s">
        <v>1295</v>
      </c>
      <c r="F74" s="5" t="s">
        <v>985</v>
      </c>
      <c r="G74" s="5" t="s">
        <v>1296</v>
      </c>
      <c r="H74" s="148">
        <v>1</v>
      </c>
      <c r="I74" s="149">
        <v>13527</v>
      </c>
      <c r="J74" s="150">
        <v>0.15</v>
      </c>
      <c r="K74" s="149">
        <v>11497.95</v>
      </c>
      <c r="L74" s="149">
        <v>2882.83</v>
      </c>
      <c r="M74" s="5" t="s">
        <v>1381</v>
      </c>
      <c r="N74" s="5" t="s">
        <v>1362</v>
      </c>
      <c r="O74" s="5" t="s">
        <v>1363</v>
      </c>
      <c r="P74" s="5" t="s">
        <v>1314</v>
      </c>
      <c r="Q74" s="5" t="s">
        <v>1306</v>
      </c>
      <c r="R74" s="151">
        <v>4</v>
      </c>
      <c r="S74" s="143"/>
    </row>
    <row r="75" spans="1:19" x14ac:dyDescent="0.25">
      <c r="A75" s="5" t="s">
        <v>1550</v>
      </c>
      <c r="B75" s="147">
        <v>45838</v>
      </c>
      <c r="C75" s="5" t="s">
        <v>1551</v>
      </c>
      <c r="D75" s="5" t="s">
        <v>1552</v>
      </c>
      <c r="E75" s="5" t="s">
        <v>1331</v>
      </c>
      <c r="F75" s="5" t="s">
        <v>988</v>
      </c>
      <c r="G75" s="5" t="s">
        <v>1332</v>
      </c>
      <c r="H75" s="148">
        <v>1</v>
      </c>
      <c r="I75" s="149">
        <v>4990</v>
      </c>
      <c r="J75" s="150">
        <v>0.1</v>
      </c>
      <c r="K75" s="149">
        <v>4491</v>
      </c>
      <c r="L75" s="149">
        <v>1156.99</v>
      </c>
      <c r="M75" s="5" t="s">
        <v>1344</v>
      </c>
      <c r="N75" s="5" t="s">
        <v>1352</v>
      </c>
      <c r="O75" s="5" t="s">
        <v>1352</v>
      </c>
      <c r="P75" s="5" t="s">
        <v>1323</v>
      </c>
      <c r="Q75" s="5" t="s">
        <v>1184</v>
      </c>
      <c r="R75" s="151">
        <v>1</v>
      </c>
      <c r="S75" s="143"/>
    </row>
    <row r="76" spans="1:19" x14ac:dyDescent="0.25">
      <c r="A76" s="5" t="s">
        <v>1553</v>
      </c>
      <c r="B76" s="147">
        <v>45742</v>
      </c>
      <c r="C76" s="5" t="s">
        <v>1554</v>
      </c>
      <c r="D76" s="5" t="s">
        <v>1555</v>
      </c>
      <c r="E76" s="5" t="s">
        <v>1331</v>
      </c>
      <c r="F76" s="5" t="s">
        <v>988</v>
      </c>
      <c r="G76" s="5" t="s">
        <v>1332</v>
      </c>
      <c r="H76" s="148">
        <v>1</v>
      </c>
      <c r="I76" s="149">
        <v>2631</v>
      </c>
      <c r="J76" s="150">
        <v>0.15</v>
      </c>
      <c r="K76" s="149">
        <v>2236.35</v>
      </c>
      <c r="L76" s="149">
        <v>180.54</v>
      </c>
      <c r="M76" s="5" t="s">
        <v>1126</v>
      </c>
      <c r="N76" s="5" t="s">
        <v>1337</v>
      </c>
      <c r="O76" s="5" t="s">
        <v>1338</v>
      </c>
      <c r="P76" s="5" t="s">
        <v>1314</v>
      </c>
      <c r="Q76" s="5" t="s">
        <v>1184</v>
      </c>
      <c r="R76" s="151">
        <v>5</v>
      </c>
      <c r="S76" s="143"/>
    </row>
    <row r="77" spans="1:19" x14ac:dyDescent="0.25">
      <c r="A77" s="5" t="s">
        <v>1556</v>
      </c>
      <c r="B77" s="147">
        <v>45659</v>
      </c>
      <c r="C77" s="5" t="s">
        <v>1557</v>
      </c>
      <c r="D77" s="5" t="s">
        <v>1558</v>
      </c>
      <c r="E77" s="5" t="s">
        <v>1318</v>
      </c>
      <c r="F77" s="5" t="s">
        <v>1319</v>
      </c>
      <c r="G77" s="5" t="s">
        <v>1320</v>
      </c>
      <c r="H77" s="148">
        <v>4</v>
      </c>
      <c r="I77" s="149">
        <v>5699</v>
      </c>
      <c r="J77" s="150">
        <v>0.15</v>
      </c>
      <c r="K77" s="149">
        <v>19376.599999999999</v>
      </c>
      <c r="L77" s="149">
        <v>4328.46</v>
      </c>
      <c r="M77" s="5" t="s">
        <v>1126</v>
      </c>
      <c r="N77" s="5" t="s">
        <v>1304</v>
      </c>
      <c r="O77" s="5" t="s">
        <v>1305</v>
      </c>
      <c r="P77" s="5" t="s">
        <v>1299</v>
      </c>
      <c r="Q77" s="5" t="s">
        <v>1300</v>
      </c>
      <c r="R77" s="151">
        <v>2</v>
      </c>
      <c r="S77" s="143"/>
    </row>
    <row r="78" spans="1:19" x14ac:dyDescent="0.25">
      <c r="A78" s="5" t="s">
        <v>1559</v>
      </c>
      <c r="B78" s="147">
        <v>45864</v>
      </c>
      <c r="C78" s="5" t="s">
        <v>1560</v>
      </c>
      <c r="D78" s="5" t="s">
        <v>1561</v>
      </c>
      <c r="E78" s="5" t="s">
        <v>1310</v>
      </c>
      <c r="F78" s="5" t="s">
        <v>1311</v>
      </c>
      <c r="G78" s="5" t="s">
        <v>1312</v>
      </c>
      <c r="H78" s="148">
        <v>1</v>
      </c>
      <c r="I78" s="149">
        <v>6334</v>
      </c>
      <c r="J78" s="150">
        <v>0.05</v>
      </c>
      <c r="K78" s="149">
        <v>6017.3</v>
      </c>
      <c r="L78" s="149">
        <v>651.79999999999995</v>
      </c>
      <c r="M78" s="5" t="s">
        <v>1130</v>
      </c>
      <c r="N78" s="5" t="s">
        <v>1362</v>
      </c>
      <c r="O78" s="5" t="s">
        <v>1363</v>
      </c>
      <c r="P78" s="5" t="s">
        <v>1327</v>
      </c>
      <c r="Q78" s="5" t="s">
        <v>1184</v>
      </c>
      <c r="R78" s="151">
        <v>5</v>
      </c>
      <c r="S78" s="143"/>
    </row>
    <row r="79" spans="1:19" x14ac:dyDescent="0.25">
      <c r="A79" s="5" t="s">
        <v>1562</v>
      </c>
      <c r="B79" s="147">
        <v>45846</v>
      </c>
      <c r="C79" s="5" t="s">
        <v>1563</v>
      </c>
      <c r="D79" s="5" t="s">
        <v>1564</v>
      </c>
      <c r="E79" s="5" t="s">
        <v>1310</v>
      </c>
      <c r="F79" s="5" t="s">
        <v>1311</v>
      </c>
      <c r="G79" s="5" t="s">
        <v>1312</v>
      </c>
      <c r="H79" s="148">
        <v>5</v>
      </c>
      <c r="I79" s="149">
        <v>12258</v>
      </c>
      <c r="J79" s="150">
        <v>0.15</v>
      </c>
      <c r="K79" s="149">
        <v>52096.5</v>
      </c>
      <c r="L79" s="149">
        <v>14972.14</v>
      </c>
      <c r="M79" s="5" t="s">
        <v>1313</v>
      </c>
      <c r="N79" s="5" t="s">
        <v>1352</v>
      </c>
      <c r="O79" s="5" t="s">
        <v>1352</v>
      </c>
      <c r="P79" s="5" t="s">
        <v>1327</v>
      </c>
      <c r="Q79" s="5" t="s">
        <v>1184</v>
      </c>
      <c r="R79" s="151">
        <v>2</v>
      </c>
      <c r="S79" s="143"/>
    </row>
    <row r="80" spans="1:19" x14ac:dyDescent="0.25">
      <c r="A80" s="5" t="s">
        <v>1565</v>
      </c>
      <c r="B80" s="147">
        <v>45658</v>
      </c>
      <c r="C80" s="5" t="s">
        <v>1566</v>
      </c>
      <c r="D80" s="5" t="s">
        <v>1567</v>
      </c>
      <c r="E80" s="5" t="s">
        <v>1318</v>
      </c>
      <c r="F80" s="5" t="s">
        <v>1319</v>
      </c>
      <c r="G80" s="5" t="s">
        <v>1320</v>
      </c>
      <c r="H80" s="148">
        <v>2</v>
      </c>
      <c r="I80" s="149">
        <v>1324</v>
      </c>
      <c r="J80" s="150">
        <v>0.1</v>
      </c>
      <c r="K80" s="149">
        <v>2383.1999999999998</v>
      </c>
      <c r="L80" s="149">
        <v>256.42</v>
      </c>
      <c r="M80" s="5" t="s">
        <v>1126</v>
      </c>
      <c r="N80" s="5" t="s">
        <v>1352</v>
      </c>
      <c r="O80" s="5" t="s">
        <v>1352</v>
      </c>
      <c r="P80" s="5" t="s">
        <v>1314</v>
      </c>
      <c r="Q80" s="5" t="s">
        <v>1300</v>
      </c>
      <c r="R80" s="151">
        <v>4</v>
      </c>
      <c r="S80" s="143"/>
    </row>
    <row r="81" spans="1:19" x14ac:dyDescent="0.25">
      <c r="A81" s="5" t="s">
        <v>1568</v>
      </c>
      <c r="B81" s="147">
        <v>45998</v>
      </c>
      <c r="C81" s="5" t="s">
        <v>1569</v>
      </c>
      <c r="D81" s="5" t="s">
        <v>1570</v>
      </c>
      <c r="E81" s="5" t="s">
        <v>1342</v>
      </c>
      <c r="F81" s="5" t="s">
        <v>988</v>
      </c>
      <c r="G81" s="5" t="s">
        <v>1343</v>
      </c>
      <c r="H81" s="148">
        <v>2</v>
      </c>
      <c r="I81" s="149">
        <v>7820</v>
      </c>
      <c r="J81" s="150">
        <v>0</v>
      </c>
      <c r="K81" s="149">
        <v>15640</v>
      </c>
      <c r="L81" s="149">
        <v>1937.83</v>
      </c>
      <c r="M81" s="5" t="s">
        <v>1344</v>
      </c>
      <c r="N81" s="5" t="s">
        <v>1337</v>
      </c>
      <c r="O81" s="5" t="s">
        <v>1338</v>
      </c>
      <c r="P81" s="5" t="s">
        <v>1348</v>
      </c>
      <c r="Q81" s="5" t="s">
        <v>1300</v>
      </c>
      <c r="R81" s="151">
        <v>4</v>
      </c>
      <c r="S81" s="143"/>
    </row>
    <row r="82" spans="1:19" x14ac:dyDescent="0.25">
      <c r="A82" s="5" t="s">
        <v>1571</v>
      </c>
      <c r="B82" s="147">
        <v>46016</v>
      </c>
      <c r="C82" s="5" t="s">
        <v>1572</v>
      </c>
      <c r="D82" s="5" t="s">
        <v>1573</v>
      </c>
      <c r="E82" s="5" t="s">
        <v>1359</v>
      </c>
      <c r="F82" s="5" t="s">
        <v>1360</v>
      </c>
      <c r="G82" s="5" t="s">
        <v>1361</v>
      </c>
      <c r="H82" s="148">
        <v>4</v>
      </c>
      <c r="I82" s="149">
        <v>13480</v>
      </c>
      <c r="J82" s="150">
        <v>0</v>
      </c>
      <c r="K82" s="149">
        <v>53920</v>
      </c>
      <c r="L82" s="149">
        <v>8675.89</v>
      </c>
      <c r="M82" s="5" t="s">
        <v>1381</v>
      </c>
      <c r="N82" s="5" t="s">
        <v>1304</v>
      </c>
      <c r="O82" s="5" t="s">
        <v>1305</v>
      </c>
      <c r="P82" s="5" t="s">
        <v>1348</v>
      </c>
      <c r="Q82" s="5" t="s">
        <v>1300</v>
      </c>
      <c r="R82" s="151">
        <v>2</v>
      </c>
      <c r="S82" s="143"/>
    </row>
    <row r="83" spans="1:19" x14ac:dyDescent="0.25">
      <c r="A83" s="5" t="s">
        <v>1574</v>
      </c>
      <c r="B83" s="147">
        <v>45783</v>
      </c>
      <c r="C83" s="5" t="s">
        <v>1575</v>
      </c>
      <c r="D83" s="5" t="s">
        <v>1576</v>
      </c>
      <c r="E83" s="5" t="s">
        <v>1342</v>
      </c>
      <c r="F83" s="5" t="s">
        <v>988</v>
      </c>
      <c r="G83" s="5" t="s">
        <v>1343</v>
      </c>
      <c r="H83" s="148">
        <v>3</v>
      </c>
      <c r="I83" s="149">
        <v>5604</v>
      </c>
      <c r="J83" s="150">
        <v>0.1</v>
      </c>
      <c r="K83" s="149">
        <v>15130.8</v>
      </c>
      <c r="L83" s="149">
        <v>3452.17</v>
      </c>
      <c r="M83" s="5" t="s">
        <v>1381</v>
      </c>
      <c r="N83" s="5" t="s">
        <v>1304</v>
      </c>
      <c r="O83" s="5" t="s">
        <v>1305</v>
      </c>
      <c r="P83" s="5" t="s">
        <v>1314</v>
      </c>
      <c r="Q83" s="5" t="s">
        <v>1300</v>
      </c>
      <c r="R83" s="151">
        <v>3</v>
      </c>
      <c r="S83" s="143"/>
    </row>
    <row r="84" spans="1:19" x14ac:dyDescent="0.25">
      <c r="A84" s="5" t="s">
        <v>1577</v>
      </c>
      <c r="B84" s="147">
        <v>45738</v>
      </c>
      <c r="C84" s="5" t="s">
        <v>1578</v>
      </c>
      <c r="D84" s="5" t="s">
        <v>1579</v>
      </c>
      <c r="E84" s="5" t="s">
        <v>1331</v>
      </c>
      <c r="F84" s="5" t="s">
        <v>988</v>
      </c>
      <c r="G84" s="5" t="s">
        <v>1332</v>
      </c>
      <c r="H84" s="148">
        <v>2</v>
      </c>
      <c r="I84" s="149">
        <v>12085</v>
      </c>
      <c r="J84" s="150">
        <v>0.15</v>
      </c>
      <c r="K84" s="149">
        <v>20544.5</v>
      </c>
      <c r="L84" s="149">
        <v>6046.3</v>
      </c>
      <c r="M84" s="5" t="s">
        <v>1313</v>
      </c>
      <c r="N84" s="5" t="s">
        <v>1362</v>
      </c>
      <c r="O84" s="5" t="s">
        <v>1363</v>
      </c>
      <c r="P84" s="5" t="s">
        <v>1348</v>
      </c>
      <c r="Q84" s="5" t="s">
        <v>1204</v>
      </c>
      <c r="R84" s="151">
        <v>4</v>
      </c>
      <c r="S84" s="143"/>
    </row>
    <row r="85" spans="1:19" x14ac:dyDescent="0.25">
      <c r="A85" s="5" t="s">
        <v>1580</v>
      </c>
      <c r="B85" s="147">
        <v>45984</v>
      </c>
      <c r="C85" s="5" t="s">
        <v>1581</v>
      </c>
      <c r="D85" s="5" t="s">
        <v>1582</v>
      </c>
      <c r="E85" s="5" t="s">
        <v>1359</v>
      </c>
      <c r="F85" s="5" t="s">
        <v>1360</v>
      </c>
      <c r="G85" s="5" t="s">
        <v>1361</v>
      </c>
      <c r="H85" s="148">
        <v>3</v>
      </c>
      <c r="I85" s="149">
        <v>1512</v>
      </c>
      <c r="J85" s="150">
        <v>0.05</v>
      </c>
      <c r="K85" s="149">
        <v>4309.2</v>
      </c>
      <c r="L85" s="149">
        <v>413.66</v>
      </c>
      <c r="M85" s="5" t="s">
        <v>1126</v>
      </c>
      <c r="N85" s="5" t="s">
        <v>1304</v>
      </c>
      <c r="O85" s="5" t="s">
        <v>1305</v>
      </c>
      <c r="P85" s="5" t="s">
        <v>1314</v>
      </c>
      <c r="Q85" s="5" t="s">
        <v>1300</v>
      </c>
      <c r="R85" s="151">
        <v>3</v>
      </c>
      <c r="S85" s="143"/>
    </row>
    <row r="86" spans="1:19" x14ac:dyDescent="0.25">
      <c r="A86" s="5" t="s">
        <v>1583</v>
      </c>
      <c r="B86" s="147">
        <v>45974</v>
      </c>
      <c r="C86" s="5" t="s">
        <v>1584</v>
      </c>
      <c r="D86" s="5" t="s">
        <v>1585</v>
      </c>
      <c r="E86" s="5" t="s">
        <v>1318</v>
      </c>
      <c r="F86" s="5" t="s">
        <v>1319</v>
      </c>
      <c r="G86" s="5" t="s">
        <v>1320</v>
      </c>
      <c r="H86" s="148">
        <v>5</v>
      </c>
      <c r="I86" s="149">
        <v>5534</v>
      </c>
      <c r="J86" s="150">
        <v>0.15</v>
      </c>
      <c r="K86" s="149">
        <v>23519.5</v>
      </c>
      <c r="L86" s="149">
        <v>2901.48</v>
      </c>
      <c r="M86" s="5" t="s">
        <v>1381</v>
      </c>
      <c r="N86" s="5" t="s">
        <v>1321</v>
      </c>
      <c r="O86" s="5" t="s">
        <v>1322</v>
      </c>
      <c r="P86" s="5" t="s">
        <v>1327</v>
      </c>
      <c r="Q86" s="5" t="s">
        <v>1300</v>
      </c>
      <c r="R86" s="151">
        <v>5</v>
      </c>
      <c r="S86" s="143"/>
    </row>
    <row r="87" spans="1:19" x14ac:dyDescent="0.25">
      <c r="A87" s="5" t="s">
        <v>1586</v>
      </c>
      <c r="B87" s="147">
        <v>45913</v>
      </c>
      <c r="C87" s="5" t="s">
        <v>1587</v>
      </c>
      <c r="D87" s="5" t="s">
        <v>1588</v>
      </c>
      <c r="E87" s="5" t="s">
        <v>1310</v>
      </c>
      <c r="F87" s="5" t="s">
        <v>1311</v>
      </c>
      <c r="G87" s="5" t="s">
        <v>1312</v>
      </c>
      <c r="H87" s="148">
        <v>3</v>
      </c>
      <c r="I87" s="149">
        <v>11347</v>
      </c>
      <c r="J87" s="150">
        <v>0</v>
      </c>
      <c r="K87" s="149">
        <v>34041</v>
      </c>
      <c r="L87" s="149">
        <v>5648.16</v>
      </c>
      <c r="M87" s="5" t="s">
        <v>1126</v>
      </c>
      <c r="N87" s="5" t="s">
        <v>1297</v>
      </c>
      <c r="O87" s="5" t="s">
        <v>1298</v>
      </c>
      <c r="P87" s="5" t="s">
        <v>1348</v>
      </c>
      <c r="Q87" s="5" t="s">
        <v>1184</v>
      </c>
      <c r="R87" s="151">
        <v>5</v>
      </c>
      <c r="S87" s="143"/>
    </row>
    <row r="88" spans="1:19" x14ac:dyDescent="0.25">
      <c r="A88" s="5" t="s">
        <v>1589</v>
      </c>
      <c r="B88" s="147">
        <v>45735</v>
      </c>
      <c r="C88" s="5" t="s">
        <v>1590</v>
      </c>
      <c r="D88" s="5" t="s">
        <v>1591</v>
      </c>
      <c r="E88" s="5" t="s">
        <v>1342</v>
      </c>
      <c r="F88" s="5" t="s">
        <v>988</v>
      </c>
      <c r="G88" s="5" t="s">
        <v>1343</v>
      </c>
      <c r="H88" s="148">
        <v>2</v>
      </c>
      <c r="I88" s="149">
        <v>11737</v>
      </c>
      <c r="J88" s="150">
        <v>0.1</v>
      </c>
      <c r="K88" s="149">
        <v>21126.6</v>
      </c>
      <c r="L88" s="149">
        <v>3159.32</v>
      </c>
      <c r="M88" s="5" t="s">
        <v>1130</v>
      </c>
      <c r="N88" s="5" t="s">
        <v>1321</v>
      </c>
      <c r="O88" s="5" t="s">
        <v>1322</v>
      </c>
      <c r="P88" s="5" t="s">
        <v>1323</v>
      </c>
      <c r="Q88" s="5" t="s">
        <v>1300</v>
      </c>
      <c r="R88" s="151">
        <v>5</v>
      </c>
      <c r="S88" s="143"/>
    </row>
    <row r="89" spans="1:19" x14ac:dyDescent="0.25">
      <c r="A89" s="5" t="s">
        <v>1592</v>
      </c>
      <c r="B89" s="147">
        <v>45868</v>
      </c>
      <c r="C89" s="5" t="s">
        <v>1593</v>
      </c>
      <c r="D89" s="5" t="s">
        <v>1594</v>
      </c>
      <c r="E89" s="5" t="s">
        <v>1318</v>
      </c>
      <c r="F89" s="5" t="s">
        <v>1319</v>
      </c>
      <c r="G89" s="5" t="s">
        <v>1320</v>
      </c>
      <c r="H89" s="148">
        <v>2</v>
      </c>
      <c r="I89" s="149">
        <v>8996</v>
      </c>
      <c r="J89" s="150">
        <v>0.2</v>
      </c>
      <c r="K89" s="149">
        <v>14393.6</v>
      </c>
      <c r="L89" s="149">
        <v>2067.09</v>
      </c>
      <c r="M89" s="5" t="s">
        <v>1313</v>
      </c>
      <c r="N89" s="5" t="s">
        <v>1362</v>
      </c>
      <c r="O89" s="5" t="s">
        <v>1363</v>
      </c>
      <c r="P89" s="5" t="s">
        <v>1323</v>
      </c>
      <c r="Q89" s="5" t="s">
        <v>1300</v>
      </c>
      <c r="R89" s="151">
        <v>3</v>
      </c>
      <c r="S89" s="143"/>
    </row>
    <row r="90" spans="1:19" x14ac:dyDescent="0.25">
      <c r="A90" s="5" t="s">
        <v>1595</v>
      </c>
      <c r="B90" s="147">
        <v>45969</v>
      </c>
      <c r="C90" s="5" t="s">
        <v>1596</v>
      </c>
      <c r="D90" s="5" t="s">
        <v>1597</v>
      </c>
      <c r="E90" s="5" t="s">
        <v>1342</v>
      </c>
      <c r="F90" s="5" t="s">
        <v>988</v>
      </c>
      <c r="G90" s="5" t="s">
        <v>1343</v>
      </c>
      <c r="H90" s="148">
        <v>5</v>
      </c>
      <c r="I90" s="149">
        <v>699</v>
      </c>
      <c r="J90" s="150">
        <v>0.1</v>
      </c>
      <c r="K90" s="149">
        <v>3145.5</v>
      </c>
      <c r="L90" s="149">
        <v>440.77</v>
      </c>
      <c r="M90" s="5" t="s">
        <v>1313</v>
      </c>
      <c r="N90" s="5" t="s">
        <v>1337</v>
      </c>
      <c r="O90" s="5" t="s">
        <v>1338</v>
      </c>
      <c r="P90" s="5" t="s">
        <v>1314</v>
      </c>
      <c r="Q90" s="5" t="s">
        <v>1184</v>
      </c>
      <c r="R90" s="151">
        <v>4</v>
      </c>
      <c r="S90" s="143"/>
    </row>
    <row r="91" spans="1:19" x14ac:dyDescent="0.25">
      <c r="A91" s="5" t="s">
        <v>1598</v>
      </c>
      <c r="B91" s="147">
        <v>45665</v>
      </c>
      <c r="C91" s="5" t="s">
        <v>1599</v>
      </c>
      <c r="D91" s="5" t="s">
        <v>1600</v>
      </c>
      <c r="E91" s="5" t="s">
        <v>1310</v>
      </c>
      <c r="F91" s="5" t="s">
        <v>1311</v>
      </c>
      <c r="G91" s="5" t="s">
        <v>1312</v>
      </c>
      <c r="H91" s="148">
        <v>3</v>
      </c>
      <c r="I91" s="149">
        <v>10363</v>
      </c>
      <c r="J91" s="150">
        <v>0.05</v>
      </c>
      <c r="K91" s="149">
        <v>29534.55</v>
      </c>
      <c r="L91" s="149">
        <v>6281.41</v>
      </c>
      <c r="M91" s="5" t="s">
        <v>1344</v>
      </c>
      <c r="N91" s="5" t="s">
        <v>1297</v>
      </c>
      <c r="O91" s="5" t="s">
        <v>1298</v>
      </c>
      <c r="P91" s="5" t="s">
        <v>1299</v>
      </c>
      <c r="Q91" s="5" t="s">
        <v>1204</v>
      </c>
      <c r="R91" s="151">
        <v>2</v>
      </c>
      <c r="S91" s="143"/>
    </row>
    <row r="92" spans="1:19" x14ac:dyDescent="0.25">
      <c r="A92" s="5" t="s">
        <v>1601</v>
      </c>
      <c r="B92" s="147">
        <v>46018</v>
      </c>
      <c r="C92" s="5" t="s">
        <v>1602</v>
      </c>
      <c r="D92" s="5" t="s">
        <v>1603</v>
      </c>
      <c r="E92" s="5" t="s">
        <v>1295</v>
      </c>
      <c r="F92" s="5" t="s">
        <v>985</v>
      </c>
      <c r="G92" s="5" t="s">
        <v>1296</v>
      </c>
      <c r="H92" s="148">
        <v>5</v>
      </c>
      <c r="I92" s="149">
        <v>5820</v>
      </c>
      <c r="J92" s="150">
        <v>0.2</v>
      </c>
      <c r="K92" s="149">
        <v>23280</v>
      </c>
      <c r="L92" s="149">
        <v>2011.32</v>
      </c>
      <c r="M92" s="5" t="s">
        <v>1313</v>
      </c>
      <c r="N92" s="5" t="s">
        <v>1297</v>
      </c>
      <c r="O92" s="5" t="s">
        <v>1298</v>
      </c>
      <c r="P92" s="5" t="s">
        <v>1323</v>
      </c>
      <c r="Q92" s="5" t="s">
        <v>1306</v>
      </c>
      <c r="R92" s="151">
        <v>1</v>
      </c>
      <c r="S92" s="143"/>
    </row>
    <row r="93" spans="1:19" x14ac:dyDescent="0.25">
      <c r="A93" s="5" t="s">
        <v>1604</v>
      </c>
      <c r="B93" s="147">
        <v>45680</v>
      </c>
      <c r="C93" s="5" t="s">
        <v>1605</v>
      </c>
      <c r="D93" s="5" t="s">
        <v>1606</v>
      </c>
      <c r="E93" s="5" t="s">
        <v>1295</v>
      </c>
      <c r="F93" s="5" t="s">
        <v>985</v>
      </c>
      <c r="G93" s="5" t="s">
        <v>1296</v>
      </c>
      <c r="H93" s="148">
        <v>4</v>
      </c>
      <c r="I93" s="149">
        <v>3081</v>
      </c>
      <c r="J93" s="150">
        <v>0</v>
      </c>
      <c r="K93" s="149">
        <v>12324</v>
      </c>
      <c r="L93" s="149">
        <v>2308.41</v>
      </c>
      <c r="M93" s="5" t="s">
        <v>1313</v>
      </c>
      <c r="N93" s="5" t="s">
        <v>1321</v>
      </c>
      <c r="O93" s="5" t="s">
        <v>1322</v>
      </c>
      <c r="P93" s="5" t="s">
        <v>1314</v>
      </c>
      <c r="Q93" s="5" t="s">
        <v>1184</v>
      </c>
      <c r="R93" s="151">
        <v>1</v>
      </c>
      <c r="S93" s="143"/>
    </row>
    <row r="94" spans="1:19" x14ac:dyDescent="0.25">
      <c r="A94" s="5" t="s">
        <v>1607</v>
      </c>
      <c r="B94" s="147">
        <v>45761</v>
      </c>
      <c r="C94" s="5" t="s">
        <v>1608</v>
      </c>
      <c r="D94" s="5" t="s">
        <v>1609</v>
      </c>
      <c r="E94" s="5" t="s">
        <v>1331</v>
      </c>
      <c r="F94" s="5" t="s">
        <v>988</v>
      </c>
      <c r="G94" s="5" t="s">
        <v>1332</v>
      </c>
      <c r="H94" s="148">
        <v>4</v>
      </c>
      <c r="I94" s="149">
        <v>1188</v>
      </c>
      <c r="J94" s="150">
        <v>0.1</v>
      </c>
      <c r="K94" s="149">
        <v>4276.8</v>
      </c>
      <c r="L94" s="149">
        <v>1106.72</v>
      </c>
      <c r="M94" s="5" t="s">
        <v>1126</v>
      </c>
      <c r="N94" s="5" t="s">
        <v>1362</v>
      </c>
      <c r="O94" s="5" t="s">
        <v>1363</v>
      </c>
      <c r="P94" s="5" t="s">
        <v>1323</v>
      </c>
      <c r="Q94" s="5" t="s">
        <v>1300</v>
      </c>
      <c r="R94" s="151">
        <v>1</v>
      </c>
      <c r="S94" s="143"/>
    </row>
    <row r="95" spans="1:19" x14ac:dyDescent="0.25">
      <c r="A95" s="5" t="s">
        <v>1610</v>
      </c>
      <c r="B95" s="147">
        <v>45818</v>
      </c>
      <c r="C95" s="5" t="s">
        <v>1611</v>
      </c>
      <c r="D95" s="5" t="s">
        <v>1612</v>
      </c>
      <c r="E95" s="5" t="s">
        <v>1359</v>
      </c>
      <c r="F95" s="5" t="s">
        <v>1360</v>
      </c>
      <c r="G95" s="5" t="s">
        <v>1361</v>
      </c>
      <c r="H95" s="148">
        <v>1</v>
      </c>
      <c r="I95" s="149">
        <v>9949</v>
      </c>
      <c r="J95" s="150">
        <v>0.2</v>
      </c>
      <c r="K95" s="149">
        <v>7959.2</v>
      </c>
      <c r="L95" s="149">
        <v>1343.69</v>
      </c>
      <c r="M95" s="5" t="s">
        <v>1381</v>
      </c>
      <c r="N95" s="5" t="s">
        <v>1337</v>
      </c>
      <c r="O95" s="5" t="s">
        <v>1338</v>
      </c>
      <c r="P95" s="5" t="s">
        <v>1299</v>
      </c>
      <c r="Q95" s="5" t="s">
        <v>1306</v>
      </c>
      <c r="R95" s="151">
        <v>5</v>
      </c>
      <c r="S95" s="143"/>
    </row>
    <row r="96" spans="1:19" x14ac:dyDescent="0.25">
      <c r="A96" s="5" t="s">
        <v>1613</v>
      </c>
      <c r="B96" s="147">
        <v>45692</v>
      </c>
      <c r="C96" s="5" t="s">
        <v>1614</v>
      </c>
      <c r="D96" s="5" t="s">
        <v>1615</v>
      </c>
      <c r="E96" s="5" t="s">
        <v>1318</v>
      </c>
      <c r="F96" s="5" t="s">
        <v>1319</v>
      </c>
      <c r="G96" s="5" t="s">
        <v>1320</v>
      </c>
      <c r="H96" s="148">
        <v>3</v>
      </c>
      <c r="I96" s="149">
        <v>2874</v>
      </c>
      <c r="J96" s="150">
        <v>0.15</v>
      </c>
      <c r="K96" s="149">
        <v>7328.7</v>
      </c>
      <c r="L96" s="149">
        <v>1577.22</v>
      </c>
      <c r="M96" s="5" t="s">
        <v>1344</v>
      </c>
      <c r="N96" s="5" t="s">
        <v>1352</v>
      </c>
      <c r="O96" s="5" t="s">
        <v>1352</v>
      </c>
      <c r="P96" s="5" t="s">
        <v>1314</v>
      </c>
      <c r="Q96" s="5" t="s">
        <v>1306</v>
      </c>
      <c r="R96" s="151">
        <v>1</v>
      </c>
      <c r="S96" s="143"/>
    </row>
    <row r="97" spans="1:19" x14ac:dyDescent="0.25">
      <c r="A97" s="5" t="s">
        <v>1616</v>
      </c>
      <c r="B97" s="147">
        <v>45750</v>
      </c>
      <c r="C97" s="5" t="s">
        <v>1617</v>
      </c>
      <c r="D97" s="5" t="s">
        <v>1618</v>
      </c>
      <c r="E97" s="5" t="s">
        <v>1370</v>
      </c>
      <c r="F97" s="5" t="s">
        <v>1160</v>
      </c>
      <c r="G97" s="5" t="s">
        <v>1371</v>
      </c>
      <c r="H97" s="148">
        <v>5</v>
      </c>
      <c r="I97" s="149">
        <v>14098</v>
      </c>
      <c r="J97" s="150">
        <v>0</v>
      </c>
      <c r="K97" s="149">
        <v>70490</v>
      </c>
      <c r="L97" s="149">
        <v>15796.83</v>
      </c>
      <c r="M97" s="5" t="s">
        <v>1381</v>
      </c>
      <c r="N97" s="5" t="s">
        <v>1304</v>
      </c>
      <c r="O97" s="5" t="s">
        <v>1305</v>
      </c>
      <c r="P97" s="5" t="s">
        <v>1299</v>
      </c>
      <c r="Q97" s="5" t="s">
        <v>1306</v>
      </c>
      <c r="R97" s="151">
        <v>5</v>
      </c>
      <c r="S97" s="143"/>
    </row>
    <row r="98" spans="1:19" x14ac:dyDescent="0.25">
      <c r="A98" s="5" t="s">
        <v>1619</v>
      </c>
      <c r="B98" s="147">
        <v>45890</v>
      </c>
      <c r="C98" s="5" t="s">
        <v>1620</v>
      </c>
      <c r="D98" s="5" t="s">
        <v>1621</v>
      </c>
      <c r="E98" s="5" t="s">
        <v>1359</v>
      </c>
      <c r="F98" s="5" t="s">
        <v>1360</v>
      </c>
      <c r="G98" s="5" t="s">
        <v>1361</v>
      </c>
      <c r="H98" s="148">
        <v>5</v>
      </c>
      <c r="I98" s="149">
        <v>14866</v>
      </c>
      <c r="J98" s="150">
        <v>0.15</v>
      </c>
      <c r="K98" s="149">
        <v>63180.5</v>
      </c>
      <c r="L98" s="149">
        <v>9640.6200000000008</v>
      </c>
      <c r="M98" s="5" t="s">
        <v>1313</v>
      </c>
      <c r="N98" s="5" t="s">
        <v>1362</v>
      </c>
      <c r="O98" s="5" t="s">
        <v>1363</v>
      </c>
      <c r="P98" s="5" t="s">
        <v>1348</v>
      </c>
      <c r="Q98" s="5" t="s">
        <v>1306</v>
      </c>
      <c r="R98" s="151">
        <v>3</v>
      </c>
      <c r="S98" s="143"/>
    </row>
    <row r="99" spans="1:19" x14ac:dyDescent="0.25">
      <c r="A99" s="5" t="s">
        <v>1622</v>
      </c>
      <c r="B99" s="147">
        <v>45869</v>
      </c>
      <c r="C99" s="5" t="s">
        <v>1623</v>
      </c>
      <c r="D99" s="5" t="s">
        <v>1624</v>
      </c>
      <c r="E99" s="5" t="s">
        <v>1342</v>
      </c>
      <c r="F99" s="5" t="s">
        <v>988</v>
      </c>
      <c r="G99" s="5" t="s">
        <v>1343</v>
      </c>
      <c r="H99" s="148">
        <v>5</v>
      </c>
      <c r="I99" s="149">
        <v>9530</v>
      </c>
      <c r="J99" s="150">
        <v>0.1</v>
      </c>
      <c r="K99" s="149">
        <v>42885</v>
      </c>
      <c r="L99" s="149">
        <v>7214.88</v>
      </c>
      <c r="M99" s="5" t="s">
        <v>1313</v>
      </c>
      <c r="N99" s="5" t="s">
        <v>1352</v>
      </c>
      <c r="O99" s="5" t="s">
        <v>1352</v>
      </c>
      <c r="P99" s="5" t="s">
        <v>1327</v>
      </c>
      <c r="Q99" s="5" t="s">
        <v>1300</v>
      </c>
      <c r="R99" s="151">
        <v>3</v>
      </c>
      <c r="S99" s="143"/>
    </row>
    <row r="100" spans="1:19" x14ac:dyDescent="0.25">
      <c r="A100" s="5" t="s">
        <v>1625</v>
      </c>
      <c r="B100" s="147">
        <v>45937</v>
      </c>
      <c r="C100" s="5" t="s">
        <v>1626</v>
      </c>
      <c r="D100" s="5" t="s">
        <v>1627</v>
      </c>
      <c r="E100" s="5" t="s">
        <v>1331</v>
      </c>
      <c r="F100" s="5" t="s">
        <v>988</v>
      </c>
      <c r="G100" s="5" t="s">
        <v>1332</v>
      </c>
      <c r="H100" s="148">
        <v>1</v>
      </c>
      <c r="I100" s="149">
        <v>10215</v>
      </c>
      <c r="J100" s="150">
        <v>0.15</v>
      </c>
      <c r="K100" s="149">
        <v>8682.75</v>
      </c>
      <c r="L100" s="149">
        <v>2089.6799999999998</v>
      </c>
      <c r="M100" s="5" t="s">
        <v>1126</v>
      </c>
      <c r="N100" s="5" t="s">
        <v>1337</v>
      </c>
      <c r="O100" s="5" t="s">
        <v>1338</v>
      </c>
      <c r="P100" s="5" t="s">
        <v>1314</v>
      </c>
      <c r="Q100" s="5" t="s">
        <v>1300</v>
      </c>
      <c r="R100" s="151">
        <v>2</v>
      </c>
      <c r="S100" s="143"/>
    </row>
    <row r="101" spans="1:19" x14ac:dyDescent="0.25">
      <c r="A101" s="5" t="s">
        <v>1628</v>
      </c>
      <c r="B101" s="147">
        <v>45878</v>
      </c>
      <c r="C101" s="5" t="s">
        <v>1629</v>
      </c>
      <c r="D101" s="5" t="s">
        <v>1630</v>
      </c>
      <c r="E101" s="5" t="s">
        <v>1295</v>
      </c>
      <c r="F101" s="5" t="s">
        <v>985</v>
      </c>
      <c r="G101" s="5" t="s">
        <v>1296</v>
      </c>
      <c r="H101" s="148">
        <v>5</v>
      </c>
      <c r="I101" s="149">
        <v>14345</v>
      </c>
      <c r="J101" s="150">
        <v>0.1</v>
      </c>
      <c r="K101" s="149">
        <v>64552.5</v>
      </c>
      <c r="L101" s="149">
        <v>6007.35</v>
      </c>
      <c r="M101" s="5" t="s">
        <v>1381</v>
      </c>
      <c r="N101" s="5" t="s">
        <v>1362</v>
      </c>
      <c r="O101" s="5" t="s">
        <v>1363</v>
      </c>
      <c r="P101" s="5" t="s">
        <v>1348</v>
      </c>
      <c r="Q101" s="5" t="s">
        <v>1306</v>
      </c>
      <c r="R101" s="151">
        <v>5</v>
      </c>
      <c r="S101" s="143"/>
    </row>
    <row r="102" spans="1:19" x14ac:dyDescent="0.25">
      <c r="A102" s="5" t="s">
        <v>1631</v>
      </c>
      <c r="B102" s="147">
        <v>45876</v>
      </c>
      <c r="C102" s="5" t="s">
        <v>1632</v>
      </c>
      <c r="D102" s="5" t="s">
        <v>1633</v>
      </c>
      <c r="E102" s="5" t="s">
        <v>1370</v>
      </c>
      <c r="F102" s="5" t="s">
        <v>1160</v>
      </c>
      <c r="G102" s="5" t="s">
        <v>1371</v>
      </c>
      <c r="H102" s="148">
        <v>2</v>
      </c>
      <c r="I102" s="149">
        <v>11139</v>
      </c>
      <c r="J102" s="150">
        <v>0.05</v>
      </c>
      <c r="K102" s="149">
        <v>21164.1</v>
      </c>
      <c r="L102" s="149">
        <v>5096.42</v>
      </c>
      <c r="M102" s="5" t="s">
        <v>1381</v>
      </c>
      <c r="N102" s="5" t="s">
        <v>1352</v>
      </c>
      <c r="O102" s="5" t="s">
        <v>1352</v>
      </c>
      <c r="P102" s="5" t="s">
        <v>1348</v>
      </c>
      <c r="Q102" s="5" t="s">
        <v>1204</v>
      </c>
      <c r="R102" s="151">
        <v>4</v>
      </c>
      <c r="S102" s="143"/>
    </row>
    <row r="103" spans="1:19" x14ac:dyDescent="0.25">
      <c r="A103" s="5" t="s">
        <v>1634</v>
      </c>
      <c r="B103" s="147">
        <v>45725</v>
      </c>
      <c r="C103" s="5" t="s">
        <v>1635</v>
      </c>
      <c r="D103" s="5" t="s">
        <v>1636</v>
      </c>
      <c r="E103" s="5" t="s">
        <v>1370</v>
      </c>
      <c r="F103" s="5" t="s">
        <v>1160</v>
      </c>
      <c r="G103" s="5" t="s">
        <v>1371</v>
      </c>
      <c r="H103" s="148">
        <v>2</v>
      </c>
      <c r="I103" s="149">
        <v>12657</v>
      </c>
      <c r="J103" s="150">
        <v>0</v>
      </c>
      <c r="K103" s="149">
        <v>25314</v>
      </c>
      <c r="L103" s="149">
        <v>4750.67</v>
      </c>
      <c r="M103" s="5" t="s">
        <v>1344</v>
      </c>
      <c r="N103" s="5" t="s">
        <v>1362</v>
      </c>
      <c r="O103" s="5" t="s">
        <v>1363</v>
      </c>
      <c r="P103" s="5" t="s">
        <v>1299</v>
      </c>
      <c r="Q103" s="5" t="s">
        <v>1306</v>
      </c>
      <c r="R103" s="151">
        <v>4</v>
      </c>
      <c r="S103" s="143"/>
    </row>
    <row r="104" spans="1:19" x14ac:dyDescent="0.25">
      <c r="A104" s="5" t="s">
        <v>1637</v>
      </c>
      <c r="B104" s="147">
        <v>45767</v>
      </c>
      <c r="C104" s="5" t="s">
        <v>1638</v>
      </c>
      <c r="D104" s="5" t="s">
        <v>1639</v>
      </c>
      <c r="E104" s="5" t="s">
        <v>1310</v>
      </c>
      <c r="F104" s="5" t="s">
        <v>1311</v>
      </c>
      <c r="G104" s="5" t="s">
        <v>1312</v>
      </c>
      <c r="H104" s="148">
        <v>4</v>
      </c>
      <c r="I104" s="149">
        <v>8551</v>
      </c>
      <c r="J104" s="150">
        <v>0.2</v>
      </c>
      <c r="K104" s="149">
        <v>27363.200000000001</v>
      </c>
      <c r="L104" s="149">
        <v>6030.08</v>
      </c>
      <c r="M104" s="5" t="s">
        <v>1344</v>
      </c>
      <c r="N104" s="5" t="s">
        <v>1337</v>
      </c>
      <c r="O104" s="5" t="s">
        <v>1338</v>
      </c>
      <c r="P104" s="5" t="s">
        <v>1314</v>
      </c>
      <c r="Q104" s="5" t="s">
        <v>1184</v>
      </c>
      <c r="R104" s="151">
        <v>2</v>
      </c>
      <c r="S104" s="143"/>
    </row>
    <row r="105" spans="1:19" x14ac:dyDescent="0.25">
      <c r="A105" s="5" t="s">
        <v>1640</v>
      </c>
      <c r="B105" s="147">
        <v>45971</v>
      </c>
      <c r="C105" s="5" t="s">
        <v>1641</v>
      </c>
      <c r="D105" s="5" t="s">
        <v>1642</v>
      </c>
      <c r="E105" s="5" t="s">
        <v>1331</v>
      </c>
      <c r="F105" s="5" t="s">
        <v>988</v>
      </c>
      <c r="G105" s="5" t="s">
        <v>1332</v>
      </c>
      <c r="H105" s="148">
        <v>1</v>
      </c>
      <c r="I105" s="149">
        <v>1313</v>
      </c>
      <c r="J105" s="150">
        <v>0.2</v>
      </c>
      <c r="K105" s="149">
        <v>1050.4000000000001</v>
      </c>
      <c r="L105" s="149">
        <v>312.73</v>
      </c>
      <c r="M105" s="5" t="s">
        <v>1313</v>
      </c>
      <c r="N105" s="5" t="s">
        <v>1321</v>
      </c>
      <c r="O105" s="5" t="s">
        <v>1322</v>
      </c>
      <c r="P105" s="5" t="s">
        <v>1314</v>
      </c>
      <c r="Q105" s="5" t="s">
        <v>1204</v>
      </c>
      <c r="R105" s="151">
        <v>5</v>
      </c>
      <c r="S105" s="143"/>
    </row>
    <row r="106" spans="1:19" x14ac:dyDescent="0.25">
      <c r="A106" s="5" t="s">
        <v>1643</v>
      </c>
      <c r="B106" s="147">
        <v>45688</v>
      </c>
      <c r="C106" s="5" t="s">
        <v>1644</v>
      </c>
      <c r="D106" s="5" t="s">
        <v>1645</v>
      </c>
      <c r="E106" s="5" t="s">
        <v>1318</v>
      </c>
      <c r="F106" s="5" t="s">
        <v>1319</v>
      </c>
      <c r="G106" s="5" t="s">
        <v>1320</v>
      </c>
      <c r="H106" s="148">
        <v>5</v>
      </c>
      <c r="I106" s="149">
        <v>367</v>
      </c>
      <c r="J106" s="150">
        <v>0.15</v>
      </c>
      <c r="K106" s="149">
        <v>1559.75</v>
      </c>
      <c r="L106" s="149">
        <v>271.98</v>
      </c>
      <c r="M106" s="5" t="s">
        <v>1130</v>
      </c>
      <c r="N106" s="5" t="s">
        <v>1304</v>
      </c>
      <c r="O106" s="5" t="s">
        <v>1305</v>
      </c>
      <c r="P106" s="5" t="s">
        <v>1327</v>
      </c>
      <c r="Q106" s="5" t="s">
        <v>1306</v>
      </c>
      <c r="R106" s="151">
        <v>3</v>
      </c>
      <c r="S106" s="143"/>
    </row>
    <row r="107" spans="1:19" x14ac:dyDescent="0.25">
      <c r="A107" s="5" t="s">
        <v>1646</v>
      </c>
      <c r="B107" s="147">
        <v>45958</v>
      </c>
      <c r="C107" s="5" t="s">
        <v>1647</v>
      </c>
      <c r="D107" s="5" t="s">
        <v>1648</v>
      </c>
      <c r="E107" s="5" t="s">
        <v>1295</v>
      </c>
      <c r="F107" s="5" t="s">
        <v>985</v>
      </c>
      <c r="G107" s="5" t="s">
        <v>1296</v>
      </c>
      <c r="H107" s="148">
        <v>5</v>
      </c>
      <c r="I107" s="149">
        <v>6642</v>
      </c>
      <c r="J107" s="150">
        <v>0.05</v>
      </c>
      <c r="K107" s="149">
        <v>31549.5</v>
      </c>
      <c r="L107" s="149">
        <v>6738.91</v>
      </c>
      <c r="M107" s="5" t="s">
        <v>1313</v>
      </c>
      <c r="N107" s="5" t="s">
        <v>1321</v>
      </c>
      <c r="O107" s="5" t="s">
        <v>1322</v>
      </c>
      <c r="P107" s="5" t="s">
        <v>1314</v>
      </c>
      <c r="Q107" s="5" t="s">
        <v>1306</v>
      </c>
      <c r="R107" s="151">
        <v>4</v>
      </c>
      <c r="S107" s="143"/>
    </row>
    <row r="108" spans="1:19" x14ac:dyDescent="0.25">
      <c r="A108" s="5" t="s">
        <v>1649</v>
      </c>
      <c r="B108" s="147">
        <v>45767</v>
      </c>
      <c r="C108" s="5" t="s">
        <v>1650</v>
      </c>
      <c r="D108" s="5" t="s">
        <v>1651</v>
      </c>
      <c r="E108" s="5" t="s">
        <v>1331</v>
      </c>
      <c r="F108" s="5" t="s">
        <v>988</v>
      </c>
      <c r="G108" s="5" t="s">
        <v>1332</v>
      </c>
      <c r="H108" s="148">
        <v>4</v>
      </c>
      <c r="I108" s="149">
        <v>1524</v>
      </c>
      <c r="J108" s="150">
        <v>0</v>
      </c>
      <c r="K108" s="149">
        <v>6096</v>
      </c>
      <c r="L108" s="149">
        <v>773.28</v>
      </c>
      <c r="M108" s="5" t="s">
        <v>1126</v>
      </c>
      <c r="N108" s="5" t="s">
        <v>1362</v>
      </c>
      <c r="O108" s="5" t="s">
        <v>1363</v>
      </c>
      <c r="P108" s="5" t="s">
        <v>1323</v>
      </c>
      <c r="Q108" s="5" t="s">
        <v>1306</v>
      </c>
      <c r="R108" s="151">
        <v>3</v>
      </c>
      <c r="S108" s="143"/>
    </row>
    <row r="109" spans="1:19" x14ac:dyDescent="0.25">
      <c r="A109" s="5" t="s">
        <v>1652</v>
      </c>
      <c r="B109" s="147">
        <v>45996</v>
      </c>
      <c r="C109" s="5" t="s">
        <v>1653</v>
      </c>
      <c r="D109" s="5" t="s">
        <v>1654</v>
      </c>
      <c r="E109" s="5" t="s">
        <v>1310</v>
      </c>
      <c r="F109" s="5" t="s">
        <v>1311</v>
      </c>
      <c r="G109" s="5" t="s">
        <v>1312</v>
      </c>
      <c r="H109" s="148">
        <v>2</v>
      </c>
      <c r="I109" s="149">
        <v>10999</v>
      </c>
      <c r="J109" s="150">
        <v>0.05</v>
      </c>
      <c r="K109" s="149">
        <v>20898.099999999999</v>
      </c>
      <c r="L109" s="149">
        <v>6197.31</v>
      </c>
      <c r="M109" s="5" t="s">
        <v>1313</v>
      </c>
      <c r="N109" s="5" t="s">
        <v>1297</v>
      </c>
      <c r="O109" s="5" t="s">
        <v>1298</v>
      </c>
      <c r="P109" s="5" t="s">
        <v>1299</v>
      </c>
      <c r="Q109" s="5" t="s">
        <v>1184</v>
      </c>
      <c r="R109" s="151">
        <v>2</v>
      </c>
      <c r="S109" s="143"/>
    </row>
    <row r="110" spans="1:19" x14ac:dyDescent="0.25">
      <c r="A110" s="5" t="s">
        <v>1655</v>
      </c>
      <c r="B110" s="147">
        <v>45812</v>
      </c>
      <c r="C110" s="5" t="s">
        <v>1656</v>
      </c>
      <c r="D110" s="5" t="s">
        <v>1657</v>
      </c>
      <c r="E110" s="5" t="s">
        <v>1331</v>
      </c>
      <c r="F110" s="5" t="s">
        <v>988</v>
      </c>
      <c r="G110" s="5" t="s">
        <v>1332</v>
      </c>
      <c r="H110" s="148">
        <v>4</v>
      </c>
      <c r="I110" s="149">
        <v>9608</v>
      </c>
      <c r="J110" s="150">
        <v>0</v>
      </c>
      <c r="K110" s="149">
        <v>38432</v>
      </c>
      <c r="L110" s="149">
        <v>8114.32</v>
      </c>
      <c r="M110" s="5" t="s">
        <v>1381</v>
      </c>
      <c r="N110" s="5" t="s">
        <v>1304</v>
      </c>
      <c r="O110" s="5" t="s">
        <v>1305</v>
      </c>
      <c r="P110" s="5" t="s">
        <v>1314</v>
      </c>
      <c r="Q110" s="5" t="s">
        <v>1184</v>
      </c>
      <c r="R110" s="151">
        <v>2</v>
      </c>
      <c r="S110" s="143"/>
    </row>
    <row r="111" spans="1:19" x14ac:dyDescent="0.25">
      <c r="A111" s="5" t="s">
        <v>1658</v>
      </c>
      <c r="B111" s="147">
        <v>45736</v>
      </c>
      <c r="C111" s="5" t="s">
        <v>1659</v>
      </c>
      <c r="D111" s="5" t="s">
        <v>1660</v>
      </c>
      <c r="E111" s="5" t="s">
        <v>1295</v>
      </c>
      <c r="F111" s="5" t="s">
        <v>985</v>
      </c>
      <c r="G111" s="5" t="s">
        <v>1296</v>
      </c>
      <c r="H111" s="148">
        <v>2</v>
      </c>
      <c r="I111" s="149">
        <v>3129</v>
      </c>
      <c r="J111" s="150">
        <v>0.2</v>
      </c>
      <c r="K111" s="149">
        <v>5006.3999999999996</v>
      </c>
      <c r="L111" s="149">
        <v>541.16</v>
      </c>
      <c r="M111" s="5" t="s">
        <v>1313</v>
      </c>
      <c r="N111" s="5" t="s">
        <v>1321</v>
      </c>
      <c r="O111" s="5" t="s">
        <v>1322</v>
      </c>
      <c r="P111" s="5" t="s">
        <v>1327</v>
      </c>
      <c r="Q111" s="5" t="s">
        <v>1184</v>
      </c>
      <c r="R111" s="151">
        <v>3</v>
      </c>
      <c r="S111" s="143"/>
    </row>
    <row r="112" spans="1:19" x14ac:dyDescent="0.25">
      <c r="A112" s="5" t="s">
        <v>1661</v>
      </c>
      <c r="B112" s="147">
        <v>45740</v>
      </c>
      <c r="C112" s="5" t="s">
        <v>1662</v>
      </c>
      <c r="D112" s="5" t="s">
        <v>1663</v>
      </c>
      <c r="E112" s="5" t="s">
        <v>1342</v>
      </c>
      <c r="F112" s="5" t="s">
        <v>988</v>
      </c>
      <c r="G112" s="5" t="s">
        <v>1343</v>
      </c>
      <c r="H112" s="148">
        <v>5</v>
      </c>
      <c r="I112" s="149">
        <v>5313</v>
      </c>
      <c r="J112" s="150">
        <v>0.2</v>
      </c>
      <c r="K112" s="149">
        <v>21252</v>
      </c>
      <c r="L112" s="149">
        <v>2143.0300000000002</v>
      </c>
      <c r="M112" s="5" t="s">
        <v>1130</v>
      </c>
      <c r="N112" s="5" t="s">
        <v>1321</v>
      </c>
      <c r="O112" s="5" t="s">
        <v>1322</v>
      </c>
      <c r="P112" s="5" t="s">
        <v>1348</v>
      </c>
      <c r="Q112" s="5" t="s">
        <v>1204</v>
      </c>
      <c r="R112" s="151">
        <v>5</v>
      </c>
      <c r="S112" s="143"/>
    </row>
    <row r="113" spans="1:19" x14ac:dyDescent="0.25">
      <c r="A113" s="5" t="s">
        <v>1664</v>
      </c>
      <c r="B113" s="147">
        <v>45788</v>
      </c>
      <c r="C113" s="5" t="s">
        <v>1665</v>
      </c>
      <c r="D113" s="5" t="s">
        <v>1666</v>
      </c>
      <c r="E113" s="5" t="s">
        <v>1310</v>
      </c>
      <c r="F113" s="5" t="s">
        <v>1311</v>
      </c>
      <c r="G113" s="5" t="s">
        <v>1312</v>
      </c>
      <c r="H113" s="148">
        <v>5</v>
      </c>
      <c r="I113" s="149">
        <v>11556</v>
      </c>
      <c r="J113" s="150">
        <v>0.2</v>
      </c>
      <c r="K113" s="149">
        <v>46224</v>
      </c>
      <c r="L113" s="149">
        <v>6179.37</v>
      </c>
      <c r="M113" s="5" t="s">
        <v>1126</v>
      </c>
      <c r="N113" s="5" t="s">
        <v>1337</v>
      </c>
      <c r="O113" s="5" t="s">
        <v>1338</v>
      </c>
      <c r="P113" s="5" t="s">
        <v>1323</v>
      </c>
      <c r="Q113" s="5" t="s">
        <v>1306</v>
      </c>
      <c r="R113" s="151">
        <v>1</v>
      </c>
      <c r="S113" s="143"/>
    </row>
    <row r="114" spans="1:19" x14ac:dyDescent="0.25">
      <c r="A114" s="5" t="s">
        <v>1667</v>
      </c>
      <c r="B114" s="147">
        <v>45778</v>
      </c>
      <c r="C114" s="5" t="s">
        <v>1668</v>
      </c>
      <c r="D114" s="5" t="s">
        <v>1669</v>
      </c>
      <c r="E114" s="5" t="s">
        <v>1318</v>
      </c>
      <c r="F114" s="5" t="s">
        <v>1319</v>
      </c>
      <c r="G114" s="5" t="s">
        <v>1320</v>
      </c>
      <c r="H114" s="148">
        <v>4</v>
      </c>
      <c r="I114" s="149">
        <v>1076</v>
      </c>
      <c r="J114" s="150">
        <v>0</v>
      </c>
      <c r="K114" s="149">
        <v>4304</v>
      </c>
      <c r="L114" s="149">
        <v>687.86</v>
      </c>
      <c r="M114" s="5" t="s">
        <v>1130</v>
      </c>
      <c r="N114" s="5" t="s">
        <v>1337</v>
      </c>
      <c r="O114" s="5" t="s">
        <v>1338</v>
      </c>
      <c r="P114" s="5" t="s">
        <v>1323</v>
      </c>
      <c r="Q114" s="5" t="s">
        <v>1300</v>
      </c>
      <c r="R114" s="151">
        <v>3</v>
      </c>
      <c r="S114" s="143"/>
    </row>
    <row r="115" spans="1:19" x14ac:dyDescent="0.25">
      <c r="A115" s="5" t="s">
        <v>1670</v>
      </c>
      <c r="B115" s="147">
        <v>45822</v>
      </c>
      <c r="C115" s="5" t="s">
        <v>1671</v>
      </c>
      <c r="D115" s="5" t="s">
        <v>1672</v>
      </c>
      <c r="E115" s="5" t="s">
        <v>1342</v>
      </c>
      <c r="F115" s="5" t="s">
        <v>988</v>
      </c>
      <c r="G115" s="5" t="s">
        <v>1343</v>
      </c>
      <c r="H115" s="148">
        <v>2</v>
      </c>
      <c r="I115" s="149">
        <v>14926</v>
      </c>
      <c r="J115" s="150">
        <v>0.1</v>
      </c>
      <c r="K115" s="149">
        <v>26866.799999999999</v>
      </c>
      <c r="L115" s="149">
        <v>3432.82</v>
      </c>
      <c r="M115" s="5" t="s">
        <v>1130</v>
      </c>
      <c r="N115" s="5" t="s">
        <v>1297</v>
      </c>
      <c r="O115" s="5" t="s">
        <v>1298</v>
      </c>
      <c r="P115" s="5" t="s">
        <v>1314</v>
      </c>
      <c r="Q115" s="5" t="s">
        <v>1300</v>
      </c>
      <c r="R115" s="151">
        <v>5</v>
      </c>
      <c r="S115" s="143"/>
    </row>
    <row r="116" spans="1:19" x14ac:dyDescent="0.25">
      <c r="A116" s="5" t="s">
        <v>1673</v>
      </c>
      <c r="B116" s="147">
        <v>45886</v>
      </c>
      <c r="C116" s="5" t="s">
        <v>1674</v>
      </c>
      <c r="D116" s="5" t="s">
        <v>1675</v>
      </c>
      <c r="E116" s="5" t="s">
        <v>1331</v>
      </c>
      <c r="F116" s="5" t="s">
        <v>988</v>
      </c>
      <c r="G116" s="5" t="s">
        <v>1332</v>
      </c>
      <c r="H116" s="148">
        <v>2</v>
      </c>
      <c r="I116" s="149">
        <v>8938</v>
      </c>
      <c r="J116" s="150">
        <v>0.15</v>
      </c>
      <c r="K116" s="149">
        <v>15194.6</v>
      </c>
      <c r="L116" s="149">
        <v>1446.01</v>
      </c>
      <c r="M116" s="5" t="s">
        <v>1381</v>
      </c>
      <c r="N116" s="5" t="s">
        <v>1362</v>
      </c>
      <c r="O116" s="5" t="s">
        <v>1363</v>
      </c>
      <c r="P116" s="5" t="s">
        <v>1314</v>
      </c>
      <c r="Q116" s="5" t="s">
        <v>1306</v>
      </c>
      <c r="R116" s="151">
        <v>2</v>
      </c>
      <c r="S116" s="143"/>
    </row>
    <row r="117" spans="1:19" x14ac:dyDescent="0.25">
      <c r="A117" s="5" t="s">
        <v>1676</v>
      </c>
      <c r="B117" s="147">
        <v>45701</v>
      </c>
      <c r="C117" s="5" t="s">
        <v>1677</v>
      </c>
      <c r="D117" s="5" t="s">
        <v>1678</v>
      </c>
      <c r="E117" s="5" t="s">
        <v>1359</v>
      </c>
      <c r="F117" s="5" t="s">
        <v>1360</v>
      </c>
      <c r="G117" s="5" t="s">
        <v>1361</v>
      </c>
      <c r="H117" s="148">
        <v>2</v>
      </c>
      <c r="I117" s="149">
        <v>7453</v>
      </c>
      <c r="J117" s="150">
        <v>0.05</v>
      </c>
      <c r="K117" s="149">
        <v>14160.7</v>
      </c>
      <c r="L117" s="149">
        <v>3816.98</v>
      </c>
      <c r="M117" s="5" t="s">
        <v>1381</v>
      </c>
      <c r="N117" s="5" t="s">
        <v>1337</v>
      </c>
      <c r="O117" s="5" t="s">
        <v>1338</v>
      </c>
      <c r="P117" s="5" t="s">
        <v>1314</v>
      </c>
      <c r="Q117" s="5" t="s">
        <v>1306</v>
      </c>
      <c r="R117" s="151">
        <v>5</v>
      </c>
      <c r="S117" s="143"/>
    </row>
    <row r="118" spans="1:19" x14ac:dyDescent="0.25">
      <c r="A118" s="5" t="s">
        <v>1679</v>
      </c>
      <c r="B118" s="147">
        <v>45738</v>
      </c>
      <c r="C118" s="5" t="s">
        <v>1680</v>
      </c>
      <c r="D118" s="5" t="s">
        <v>1681</v>
      </c>
      <c r="E118" s="5" t="s">
        <v>1342</v>
      </c>
      <c r="F118" s="5" t="s">
        <v>988</v>
      </c>
      <c r="G118" s="5" t="s">
        <v>1343</v>
      </c>
      <c r="H118" s="148">
        <v>2</v>
      </c>
      <c r="I118" s="149">
        <v>6911</v>
      </c>
      <c r="J118" s="150">
        <v>0.2</v>
      </c>
      <c r="K118" s="149">
        <v>11057.6</v>
      </c>
      <c r="L118" s="149">
        <v>3266.76</v>
      </c>
      <c r="M118" s="5" t="s">
        <v>1130</v>
      </c>
      <c r="N118" s="5" t="s">
        <v>1321</v>
      </c>
      <c r="O118" s="5" t="s">
        <v>1322</v>
      </c>
      <c r="P118" s="5" t="s">
        <v>1348</v>
      </c>
      <c r="Q118" s="5" t="s">
        <v>1300</v>
      </c>
      <c r="R118" s="151">
        <v>5</v>
      </c>
      <c r="S118" s="143"/>
    </row>
    <row r="119" spans="1:19" x14ac:dyDescent="0.25">
      <c r="A119" s="5" t="s">
        <v>1682</v>
      </c>
      <c r="B119" s="147">
        <v>45820</v>
      </c>
      <c r="C119" s="5" t="s">
        <v>1683</v>
      </c>
      <c r="D119" s="5" t="s">
        <v>1684</v>
      </c>
      <c r="E119" s="5" t="s">
        <v>1342</v>
      </c>
      <c r="F119" s="5" t="s">
        <v>988</v>
      </c>
      <c r="G119" s="5" t="s">
        <v>1343</v>
      </c>
      <c r="H119" s="148">
        <v>5</v>
      </c>
      <c r="I119" s="149">
        <v>6737</v>
      </c>
      <c r="J119" s="150">
        <v>0.05</v>
      </c>
      <c r="K119" s="149">
        <v>32000.75</v>
      </c>
      <c r="L119" s="149">
        <v>5334.55</v>
      </c>
      <c r="M119" s="5" t="s">
        <v>1344</v>
      </c>
      <c r="N119" s="5" t="s">
        <v>1321</v>
      </c>
      <c r="O119" s="5" t="s">
        <v>1322</v>
      </c>
      <c r="P119" s="5" t="s">
        <v>1327</v>
      </c>
      <c r="Q119" s="5" t="s">
        <v>1204</v>
      </c>
      <c r="R119" s="151">
        <v>4</v>
      </c>
      <c r="S119" s="143"/>
    </row>
    <row r="120" spans="1:19" x14ac:dyDescent="0.25">
      <c r="A120" s="5" t="s">
        <v>1685</v>
      </c>
      <c r="B120" s="147">
        <v>45804</v>
      </c>
      <c r="C120" s="5" t="s">
        <v>1686</v>
      </c>
      <c r="D120" s="5" t="s">
        <v>1687</v>
      </c>
      <c r="E120" s="5" t="s">
        <v>1370</v>
      </c>
      <c r="F120" s="5" t="s">
        <v>1160</v>
      </c>
      <c r="G120" s="5" t="s">
        <v>1371</v>
      </c>
      <c r="H120" s="148">
        <v>1</v>
      </c>
      <c r="I120" s="149">
        <v>13619</v>
      </c>
      <c r="J120" s="150">
        <v>0.05</v>
      </c>
      <c r="K120" s="149">
        <v>12938.05</v>
      </c>
      <c r="L120" s="149">
        <v>1700.52</v>
      </c>
      <c r="M120" s="5" t="s">
        <v>1126</v>
      </c>
      <c r="N120" s="5" t="s">
        <v>1304</v>
      </c>
      <c r="O120" s="5" t="s">
        <v>1305</v>
      </c>
      <c r="P120" s="5" t="s">
        <v>1323</v>
      </c>
      <c r="Q120" s="5" t="s">
        <v>1184</v>
      </c>
      <c r="R120" s="151">
        <v>4</v>
      </c>
      <c r="S120" s="143"/>
    </row>
    <row r="121" spans="1:19" x14ac:dyDescent="0.25">
      <c r="A121" s="5" t="s">
        <v>1688</v>
      </c>
      <c r="B121" s="147">
        <v>45968</v>
      </c>
      <c r="C121" s="5" t="s">
        <v>1689</v>
      </c>
      <c r="D121" s="5" t="s">
        <v>1690</v>
      </c>
      <c r="E121" s="5" t="s">
        <v>1295</v>
      </c>
      <c r="F121" s="5" t="s">
        <v>985</v>
      </c>
      <c r="G121" s="5" t="s">
        <v>1296</v>
      </c>
      <c r="H121" s="148">
        <v>3</v>
      </c>
      <c r="I121" s="149">
        <v>3825</v>
      </c>
      <c r="J121" s="150">
        <v>0.15</v>
      </c>
      <c r="K121" s="149">
        <v>9753.75</v>
      </c>
      <c r="L121" s="149">
        <v>1474.95</v>
      </c>
      <c r="M121" s="5" t="s">
        <v>1313</v>
      </c>
      <c r="N121" s="5" t="s">
        <v>1321</v>
      </c>
      <c r="O121" s="5" t="s">
        <v>1322</v>
      </c>
      <c r="P121" s="5" t="s">
        <v>1299</v>
      </c>
      <c r="Q121" s="5" t="s">
        <v>1306</v>
      </c>
      <c r="R121" s="151">
        <v>3</v>
      </c>
      <c r="S121" s="143"/>
    </row>
    <row r="122" spans="1:19" x14ac:dyDescent="0.25">
      <c r="A122" s="5" t="s">
        <v>1691</v>
      </c>
      <c r="B122" s="147">
        <v>45878</v>
      </c>
      <c r="C122" s="5" t="s">
        <v>1692</v>
      </c>
      <c r="D122" s="5" t="s">
        <v>1693</v>
      </c>
      <c r="E122" s="5" t="s">
        <v>1359</v>
      </c>
      <c r="F122" s="5" t="s">
        <v>1360</v>
      </c>
      <c r="G122" s="5" t="s">
        <v>1361</v>
      </c>
      <c r="H122" s="148">
        <v>5</v>
      </c>
      <c r="I122" s="149">
        <v>11869</v>
      </c>
      <c r="J122" s="150">
        <v>0</v>
      </c>
      <c r="K122" s="149">
        <v>59345</v>
      </c>
      <c r="L122" s="149">
        <v>9894.07</v>
      </c>
      <c r="M122" s="5" t="s">
        <v>1313</v>
      </c>
      <c r="N122" s="5" t="s">
        <v>1337</v>
      </c>
      <c r="O122" s="5" t="s">
        <v>1338</v>
      </c>
      <c r="P122" s="5" t="s">
        <v>1323</v>
      </c>
      <c r="Q122" s="5" t="s">
        <v>1184</v>
      </c>
      <c r="R122" s="151">
        <v>3</v>
      </c>
      <c r="S122" s="143"/>
    </row>
    <row r="123" spans="1:19" x14ac:dyDescent="0.25">
      <c r="A123" s="5" t="s">
        <v>1694</v>
      </c>
      <c r="B123" s="147">
        <v>45924</v>
      </c>
      <c r="C123" s="5" t="s">
        <v>1695</v>
      </c>
      <c r="D123" s="5" t="s">
        <v>1696</v>
      </c>
      <c r="E123" s="5" t="s">
        <v>1295</v>
      </c>
      <c r="F123" s="5" t="s">
        <v>985</v>
      </c>
      <c r="G123" s="5" t="s">
        <v>1296</v>
      </c>
      <c r="H123" s="148">
        <v>3</v>
      </c>
      <c r="I123" s="149">
        <v>10192</v>
      </c>
      <c r="J123" s="150">
        <v>0.05</v>
      </c>
      <c r="K123" s="149">
        <v>29047.200000000001</v>
      </c>
      <c r="L123" s="149">
        <v>4841.45</v>
      </c>
      <c r="M123" s="5" t="s">
        <v>1381</v>
      </c>
      <c r="N123" s="5" t="s">
        <v>1321</v>
      </c>
      <c r="O123" s="5" t="s">
        <v>1322</v>
      </c>
      <c r="P123" s="5" t="s">
        <v>1299</v>
      </c>
      <c r="Q123" s="5" t="s">
        <v>1306</v>
      </c>
      <c r="R123" s="151">
        <v>4</v>
      </c>
      <c r="S123" s="143"/>
    </row>
    <row r="124" spans="1:19" x14ac:dyDescent="0.25">
      <c r="A124" s="5" t="s">
        <v>1697</v>
      </c>
      <c r="B124" s="147">
        <v>46003</v>
      </c>
      <c r="C124" s="5" t="s">
        <v>1698</v>
      </c>
      <c r="D124" s="5" t="s">
        <v>1699</v>
      </c>
      <c r="E124" s="5" t="s">
        <v>1318</v>
      </c>
      <c r="F124" s="5" t="s">
        <v>1319</v>
      </c>
      <c r="G124" s="5" t="s">
        <v>1320</v>
      </c>
      <c r="H124" s="148">
        <v>3</v>
      </c>
      <c r="I124" s="149">
        <v>804</v>
      </c>
      <c r="J124" s="150">
        <v>0.1</v>
      </c>
      <c r="K124" s="149">
        <v>2170.8000000000002</v>
      </c>
      <c r="L124" s="149">
        <v>211.53</v>
      </c>
      <c r="M124" s="5" t="s">
        <v>1381</v>
      </c>
      <c r="N124" s="5" t="s">
        <v>1297</v>
      </c>
      <c r="O124" s="5" t="s">
        <v>1298</v>
      </c>
      <c r="P124" s="5" t="s">
        <v>1327</v>
      </c>
      <c r="Q124" s="5" t="s">
        <v>1204</v>
      </c>
      <c r="R124" s="151">
        <v>5</v>
      </c>
      <c r="S124" s="143"/>
    </row>
    <row r="125" spans="1:19" x14ac:dyDescent="0.25">
      <c r="A125" s="5" t="s">
        <v>1700</v>
      </c>
      <c r="B125" s="147">
        <v>45914</v>
      </c>
      <c r="C125" s="5" t="s">
        <v>1701</v>
      </c>
      <c r="D125" s="5" t="s">
        <v>1702</v>
      </c>
      <c r="E125" s="5" t="s">
        <v>1195</v>
      </c>
      <c r="F125" s="5" t="s">
        <v>988</v>
      </c>
      <c r="G125" s="5" t="s">
        <v>1336</v>
      </c>
      <c r="H125" s="148">
        <v>2</v>
      </c>
      <c r="I125" s="149">
        <v>14195</v>
      </c>
      <c r="J125" s="150">
        <v>0</v>
      </c>
      <c r="K125" s="149">
        <v>28390</v>
      </c>
      <c r="L125" s="149">
        <v>6424.72</v>
      </c>
      <c r="M125" s="5" t="s">
        <v>1130</v>
      </c>
      <c r="N125" s="5" t="s">
        <v>1297</v>
      </c>
      <c r="O125" s="5" t="s">
        <v>1298</v>
      </c>
      <c r="P125" s="5" t="s">
        <v>1348</v>
      </c>
      <c r="Q125" s="5" t="s">
        <v>1300</v>
      </c>
      <c r="R125" s="151">
        <v>2</v>
      </c>
      <c r="S125" s="143"/>
    </row>
    <row r="126" spans="1:19" x14ac:dyDescent="0.25">
      <c r="A126" s="5" t="s">
        <v>1703</v>
      </c>
      <c r="B126" s="147">
        <v>45754</v>
      </c>
      <c r="C126" s="5" t="s">
        <v>1704</v>
      </c>
      <c r="D126" s="5" t="s">
        <v>1705</v>
      </c>
      <c r="E126" s="5" t="s">
        <v>1331</v>
      </c>
      <c r="F126" s="5" t="s">
        <v>988</v>
      </c>
      <c r="G126" s="5" t="s">
        <v>1332</v>
      </c>
      <c r="H126" s="148">
        <v>5</v>
      </c>
      <c r="I126" s="149">
        <v>2005</v>
      </c>
      <c r="J126" s="150">
        <v>0.1</v>
      </c>
      <c r="K126" s="149">
        <v>9022.5</v>
      </c>
      <c r="L126" s="149">
        <v>1688.51</v>
      </c>
      <c r="M126" s="5" t="s">
        <v>1130</v>
      </c>
      <c r="N126" s="5" t="s">
        <v>1362</v>
      </c>
      <c r="O126" s="5" t="s">
        <v>1363</v>
      </c>
      <c r="P126" s="5" t="s">
        <v>1299</v>
      </c>
      <c r="Q126" s="5" t="s">
        <v>1184</v>
      </c>
      <c r="R126" s="151">
        <v>4</v>
      </c>
      <c r="S126" s="143"/>
    </row>
    <row r="127" spans="1:19" x14ac:dyDescent="0.25">
      <c r="A127" s="5" t="s">
        <v>1706</v>
      </c>
      <c r="B127" s="147">
        <v>45673</v>
      </c>
      <c r="C127" s="5" t="s">
        <v>1707</v>
      </c>
      <c r="D127" s="5" t="s">
        <v>1708</v>
      </c>
      <c r="E127" s="5" t="s">
        <v>1342</v>
      </c>
      <c r="F127" s="5" t="s">
        <v>988</v>
      </c>
      <c r="G127" s="5" t="s">
        <v>1343</v>
      </c>
      <c r="H127" s="148">
        <v>3</v>
      </c>
      <c r="I127" s="149">
        <v>8602</v>
      </c>
      <c r="J127" s="150">
        <v>0</v>
      </c>
      <c r="K127" s="149">
        <v>25806</v>
      </c>
      <c r="L127" s="149">
        <v>6240.56</v>
      </c>
      <c r="M127" s="5" t="s">
        <v>1313</v>
      </c>
      <c r="N127" s="5" t="s">
        <v>1352</v>
      </c>
      <c r="O127" s="5" t="s">
        <v>1352</v>
      </c>
      <c r="P127" s="5" t="s">
        <v>1348</v>
      </c>
      <c r="Q127" s="5" t="s">
        <v>1204</v>
      </c>
      <c r="R127" s="151">
        <v>4</v>
      </c>
      <c r="S127" s="143"/>
    </row>
    <row r="128" spans="1:19" x14ac:dyDescent="0.25">
      <c r="A128" s="5" t="s">
        <v>1709</v>
      </c>
      <c r="B128" s="147">
        <v>45897</v>
      </c>
      <c r="C128" s="5" t="s">
        <v>1710</v>
      </c>
      <c r="D128" s="5" t="s">
        <v>1711</v>
      </c>
      <c r="E128" s="5" t="s">
        <v>1359</v>
      </c>
      <c r="F128" s="5" t="s">
        <v>1360</v>
      </c>
      <c r="G128" s="5" t="s">
        <v>1361</v>
      </c>
      <c r="H128" s="148">
        <v>1</v>
      </c>
      <c r="I128" s="149">
        <v>907</v>
      </c>
      <c r="J128" s="150">
        <v>0</v>
      </c>
      <c r="K128" s="149">
        <v>907</v>
      </c>
      <c r="L128" s="149">
        <v>132.57</v>
      </c>
      <c r="M128" s="5" t="s">
        <v>1344</v>
      </c>
      <c r="N128" s="5" t="s">
        <v>1362</v>
      </c>
      <c r="O128" s="5" t="s">
        <v>1363</v>
      </c>
      <c r="P128" s="5" t="s">
        <v>1299</v>
      </c>
      <c r="Q128" s="5" t="s">
        <v>1306</v>
      </c>
      <c r="R128" s="151">
        <v>4</v>
      </c>
      <c r="S128" s="143"/>
    </row>
    <row r="129" spans="1:19" x14ac:dyDescent="0.25">
      <c r="A129" s="5" t="s">
        <v>1712</v>
      </c>
      <c r="B129" s="147">
        <v>45922</v>
      </c>
      <c r="C129" s="5" t="s">
        <v>1713</v>
      </c>
      <c r="D129" s="5" t="s">
        <v>1714</v>
      </c>
      <c r="E129" s="5" t="s">
        <v>1342</v>
      </c>
      <c r="F129" s="5" t="s">
        <v>988</v>
      </c>
      <c r="G129" s="5" t="s">
        <v>1343</v>
      </c>
      <c r="H129" s="148">
        <v>3</v>
      </c>
      <c r="I129" s="149">
        <v>11433</v>
      </c>
      <c r="J129" s="150">
        <v>0.05</v>
      </c>
      <c r="K129" s="149">
        <v>32584.05</v>
      </c>
      <c r="L129" s="149">
        <v>3252.37</v>
      </c>
      <c r="M129" s="5" t="s">
        <v>1130</v>
      </c>
      <c r="N129" s="5" t="s">
        <v>1321</v>
      </c>
      <c r="O129" s="5" t="s">
        <v>1322</v>
      </c>
      <c r="P129" s="5" t="s">
        <v>1314</v>
      </c>
      <c r="Q129" s="5" t="s">
        <v>1184</v>
      </c>
      <c r="R129" s="151">
        <v>5</v>
      </c>
      <c r="S129" s="143"/>
    </row>
    <row r="130" spans="1:19" x14ac:dyDescent="0.25">
      <c r="A130" s="5" t="s">
        <v>1715</v>
      </c>
      <c r="B130" s="147">
        <v>45699</v>
      </c>
      <c r="C130" s="5" t="s">
        <v>1716</v>
      </c>
      <c r="D130" s="5" t="s">
        <v>1717</v>
      </c>
      <c r="E130" s="5" t="s">
        <v>1331</v>
      </c>
      <c r="F130" s="5" t="s">
        <v>988</v>
      </c>
      <c r="G130" s="5" t="s">
        <v>1332</v>
      </c>
      <c r="H130" s="148">
        <v>1</v>
      </c>
      <c r="I130" s="149">
        <v>11581</v>
      </c>
      <c r="J130" s="150">
        <v>0.2</v>
      </c>
      <c r="K130" s="149">
        <v>9264.7999999999993</v>
      </c>
      <c r="L130" s="149">
        <v>2282.9299999999998</v>
      </c>
      <c r="M130" s="5" t="s">
        <v>1313</v>
      </c>
      <c r="N130" s="5" t="s">
        <v>1362</v>
      </c>
      <c r="O130" s="5" t="s">
        <v>1363</v>
      </c>
      <c r="P130" s="5" t="s">
        <v>1323</v>
      </c>
      <c r="Q130" s="5" t="s">
        <v>1306</v>
      </c>
      <c r="R130" s="151">
        <v>5</v>
      </c>
      <c r="S130" s="143"/>
    </row>
    <row r="131" spans="1:19" x14ac:dyDescent="0.25">
      <c r="A131" s="5" t="s">
        <v>1718</v>
      </c>
      <c r="B131" s="147">
        <v>45795</v>
      </c>
      <c r="C131" s="5" t="s">
        <v>1719</v>
      </c>
      <c r="D131" s="5" t="s">
        <v>1720</v>
      </c>
      <c r="E131" s="5" t="s">
        <v>1370</v>
      </c>
      <c r="F131" s="5" t="s">
        <v>1160</v>
      </c>
      <c r="G131" s="5" t="s">
        <v>1371</v>
      </c>
      <c r="H131" s="148">
        <v>5</v>
      </c>
      <c r="I131" s="149">
        <v>14787</v>
      </c>
      <c r="J131" s="150">
        <v>0</v>
      </c>
      <c r="K131" s="149">
        <v>73935</v>
      </c>
      <c r="L131" s="149">
        <v>14887.26</v>
      </c>
      <c r="M131" s="5" t="s">
        <v>1344</v>
      </c>
      <c r="N131" s="5" t="s">
        <v>1321</v>
      </c>
      <c r="O131" s="5" t="s">
        <v>1322</v>
      </c>
      <c r="P131" s="5" t="s">
        <v>1314</v>
      </c>
      <c r="Q131" s="5" t="s">
        <v>1306</v>
      </c>
      <c r="R131" s="151">
        <v>3</v>
      </c>
      <c r="S131" s="143"/>
    </row>
    <row r="132" spans="1:19" x14ac:dyDescent="0.25">
      <c r="A132" s="5" t="s">
        <v>1721</v>
      </c>
      <c r="B132" s="147">
        <v>45883</v>
      </c>
      <c r="C132" s="5" t="s">
        <v>1722</v>
      </c>
      <c r="D132" s="5" t="s">
        <v>1723</v>
      </c>
      <c r="E132" s="5" t="s">
        <v>1370</v>
      </c>
      <c r="F132" s="5" t="s">
        <v>1160</v>
      </c>
      <c r="G132" s="5" t="s">
        <v>1371</v>
      </c>
      <c r="H132" s="148">
        <v>5</v>
      </c>
      <c r="I132" s="149">
        <v>6336</v>
      </c>
      <c r="J132" s="150">
        <v>0.05</v>
      </c>
      <c r="K132" s="149">
        <v>30096</v>
      </c>
      <c r="L132" s="149">
        <v>5059.76</v>
      </c>
      <c r="M132" s="5" t="s">
        <v>1130</v>
      </c>
      <c r="N132" s="5" t="s">
        <v>1297</v>
      </c>
      <c r="O132" s="5" t="s">
        <v>1298</v>
      </c>
      <c r="P132" s="5" t="s">
        <v>1327</v>
      </c>
      <c r="Q132" s="5" t="s">
        <v>1204</v>
      </c>
      <c r="R132" s="151">
        <v>4</v>
      </c>
      <c r="S132" s="143"/>
    </row>
    <row r="133" spans="1:19" x14ac:dyDescent="0.25">
      <c r="A133" s="5" t="s">
        <v>1724</v>
      </c>
      <c r="B133" s="147">
        <v>45914</v>
      </c>
      <c r="C133" s="5" t="s">
        <v>1725</v>
      </c>
      <c r="D133" s="5" t="s">
        <v>1726</v>
      </c>
      <c r="E133" s="5" t="s">
        <v>1318</v>
      </c>
      <c r="F133" s="5" t="s">
        <v>1319</v>
      </c>
      <c r="G133" s="5" t="s">
        <v>1320</v>
      </c>
      <c r="H133" s="148">
        <v>5</v>
      </c>
      <c r="I133" s="149">
        <v>1913</v>
      </c>
      <c r="J133" s="150">
        <v>0.05</v>
      </c>
      <c r="K133" s="149">
        <v>9086.75</v>
      </c>
      <c r="L133" s="149">
        <v>1071.52</v>
      </c>
      <c r="M133" s="5" t="s">
        <v>1130</v>
      </c>
      <c r="N133" s="5" t="s">
        <v>1352</v>
      </c>
      <c r="O133" s="5" t="s">
        <v>1352</v>
      </c>
      <c r="P133" s="5" t="s">
        <v>1348</v>
      </c>
      <c r="Q133" s="5" t="s">
        <v>1300</v>
      </c>
      <c r="R133" s="151">
        <v>2</v>
      </c>
      <c r="S133" s="143"/>
    </row>
    <row r="134" spans="1:19" x14ac:dyDescent="0.25">
      <c r="A134" s="5" t="s">
        <v>1727</v>
      </c>
      <c r="B134" s="147">
        <v>45705</v>
      </c>
      <c r="C134" s="5" t="s">
        <v>1728</v>
      </c>
      <c r="D134" s="5" t="s">
        <v>1729</v>
      </c>
      <c r="E134" s="5" t="s">
        <v>1331</v>
      </c>
      <c r="F134" s="5" t="s">
        <v>988</v>
      </c>
      <c r="G134" s="5" t="s">
        <v>1332</v>
      </c>
      <c r="H134" s="148">
        <v>5</v>
      </c>
      <c r="I134" s="149">
        <v>9224</v>
      </c>
      <c r="J134" s="150">
        <v>0.1</v>
      </c>
      <c r="K134" s="149">
        <v>41508</v>
      </c>
      <c r="L134" s="149">
        <v>3811.92</v>
      </c>
      <c r="M134" s="5" t="s">
        <v>1344</v>
      </c>
      <c r="N134" s="5" t="s">
        <v>1297</v>
      </c>
      <c r="O134" s="5" t="s">
        <v>1298</v>
      </c>
      <c r="P134" s="5" t="s">
        <v>1327</v>
      </c>
      <c r="Q134" s="5" t="s">
        <v>1306</v>
      </c>
      <c r="R134" s="151">
        <v>5</v>
      </c>
      <c r="S134" s="143"/>
    </row>
    <row r="135" spans="1:19" x14ac:dyDescent="0.25">
      <c r="A135" s="5" t="s">
        <v>1730</v>
      </c>
      <c r="B135" s="147">
        <v>45779</v>
      </c>
      <c r="C135" s="5" t="s">
        <v>1731</v>
      </c>
      <c r="D135" s="5" t="s">
        <v>1732</v>
      </c>
      <c r="E135" s="5" t="s">
        <v>1331</v>
      </c>
      <c r="F135" s="5" t="s">
        <v>988</v>
      </c>
      <c r="G135" s="5" t="s">
        <v>1332</v>
      </c>
      <c r="H135" s="148">
        <v>1</v>
      </c>
      <c r="I135" s="149">
        <v>9940</v>
      </c>
      <c r="J135" s="150">
        <v>0.1</v>
      </c>
      <c r="K135" s="149">
        <v>8946</v>
      </c>
      <c r="L135" s="149">
        <v>1773.76</v>
      </c>
      <c r="M135" s="5" t="s">
        <v>1126</v>
      </c>
      <c r="N135" s="5" t="s">
        <v>1304</v>
      </c>
      <c r="O135" s="5" t="s">
        <v>1305</v>
      </c>
      <c r="P135" s="5" t="s">
        <v>1323</v>
      </c>
      <c r="Q135" s="5" t="s">
        <v>1184</v>
      </c>
      <c r="R135" s="151">
        <v>3</v>
      </c>
      <c r="S135" s="143"/>
    </row>
    <row r="136" spans="1:19" x14ac:dyDescent="0.25">
      <c r="A136" s="5" t="s">
        <v>1733</v>
      </c>
      <c r="B136" s="147">
        <v>45672</v>
      </c>
      <c r="C136" s="5" t="s">
        <v>1734</v>
      </c>
      <c r="D136" s="5" t="s">
        <v>1735</v>
      </c>
      <c r="E136" s="5" t="s">
        <v>1310</v>
      </c>
      <c r="F136" s="5" t="s">
        <v>1311</v>
      </c>
      <c r="G136" s="5" t="s">
        <v>1312</v>
      </c>
      <c r="H136" s="148">
        <v>2</v>
      </c>
      <c r="I136" s="149">
        <v>13297</v>
      </c>
      <c r="J136" s="150">
        <v>0</v>
      </c>
      <c r="K136" s="149">
        <v>26594</v>
      </c>
      <c r="L136" s="149">
        <v>6243.12</v>
      </c>
      <c r="M136" s="5" t="s">
        <v>1344</v>
      </c>
      <c r="N136" s="5" t="s">
        <v>1297</v>
      </c>
      <c r="O136" s="5" t="s">
        <v>1298</v>
      </c>
      <c r="P136" s="5" t="s">
        <v>1314</v>
      </c>
      <c r="Q136" s="5" t="s">
        <v>1184</v>
      </c>
      <c r="R136" s="151">
        <v>4</v>
      </c>
      <c r="S136" s="143"/>
    </row>
    <row r="137" spans="1:19" x14ac:dyDescent="0.25">
      <c r="A137" s="5" t="s">
        <v>1736</v>
      </c>
      <c r="B137" s="147">
        <v>45852</v>
      </c>
      <c r="C137" s="5" t="s">
        <v>1737</v>
      </c>
      <c r="D137" s="5" t="s">
        <v>1738</v>
      </c>
      <c r="E137" s="5" t="s">
        <v>1318</v>
      </c>
      <c r="F137" s="5" t="s">
        <v>1319</v>
      </c>
      <c r="G137" s="5" t="s">
        <v>1320</v>
      </c>
      <c r="H137" s="148">
        <v>1</v>
      </c>
      <c r="I137" s="149">
        <v>9816</v>
      </c>
      <c r="J137" s="150">
        <v>0.2</v>
      </c>
      <c r="K137" s="149">
        <v>7852.8</v>
      </c>
      <c r="L137" s="149">
        <v>2050.1999999999998</v>
      </c>
      <c r="M137" s="5" t="s">
        <v>1126</v>
      </c>
      <c r="N137" s="5" t="s">
        <v>1352</v>
      </c>
      <c r="O137" s="5" t="s">
        <v>1352</v>
      </c>
      <c r="P137" s="5" t="s">
        <v>1314</v>
      </c>
      <c r="Q137" s="5" t="s">
        <v>1184</v>
      </c>
      <c r="R137" s="151">
        <v>4</v>
      </c>
      <c r="S137" s="143"/>
    </row>
    <row r="138" spans="1:19" x14ac:dyDescent="0.25">
      <c r="A138" s="5" t="s">
        <v>1739</v>
      </c>
      <c r="B138" s="147">
        <v>45691</v>
      </c>
      <c r="C138" s="5" t="s">
        <v>1740</v>
      </c>
      <c r="D138" s="5" t="s">
        <v>1741</v>
      </c>
      <c r="E138" s="5" t="s">
        <v>1331</v>
      </c>
      <c r="F138" s="5" t="s">
        <v>988</v>
      </c>
      <c r="G138" s="5" t="s">
        <v>1332</v>
      </c>
      <c r="H138" s="148">
        <v>3</v>
      </c>
      <c r="I138" s="149">
        <v>4803</v>
      </c>
      <c r="J138" s="150">
        <v>0</v>
      </c>
      <c r="K138" s="149">
        <v>14409</v>
      </c>
      <c r="L138" s="149">
        <v>3905.21</v>
      </c>
      <c r="M138" s="5" t="s">
        <v>1130</v>
      </c>
      <c r="N138" s="5" t="s">
        <v>1337</v>
      </c>
      <c r="O138" s="5" t="s">
        <v>1338</v>
      </c>
      <c r="P138" s="5" t="s">
        <v>1348</v>
      </c>
      <c r="Q138" s="5" t="s">
        <v>1300</v>
      </c>
      <c r="R138" s="151">
        <v>2</v>
      </c>
      <c r="S138" s="143"/>
    </row>
    <row r="139" spans="1:19" x14ac:dyDescent="0.25">
      <c r="A139" s="5" t="s">
        <v>1742</v>
      </c>
      <c r="B139" s="147">
        <v>46012</v>
      </c>
      <c r="C139" s="5" t="s">
        <v>1743</v>
      </c>
      <c r="D139" s="5" t="s">
        <v>1744</v>
      </c>
      <c r="E139" s="5" t="s">
        <v>1310</v>
      </c>
      <c r="F139" s="5" t="s">
        <v>1311</v>
      </c>
      <c r="G139" s="5" t="s">
        <v>1312</v>
      </c>
      <c r="H139" s="148">
        <v>4</v>
      </c>
      <c r="I139" s="149">
        <v>3960</v>
      </c>
      <c r="J139" s="150">
        <v>0.2</v>
      </c>
      <c r="K139" s="149">
        <v>12672</v>
      </c>
      <c r="L139" s="149">
        <v>2081.36</v>
      </c>
      <c r="M139" s="5" t="s">
        <v>1313</v>
      </c>
      <c r="N139" s="5" t="s">
        <v>1352</v>
      </c>
      <c r="O139" s="5" t="s">
        <v>1352</v>
      </c>
      <c r="P139" s="5" t="s">
        <v>1327</v>
      </c>
      <c r="Q139" s="5" t="s">
        <v>1306</v>
      </c>
      <c r="R139" s="151">
        <v>4</v>
      </c>
      <c r="S139" s="143"/>
    </row>
    <row r="140" spans="1:19" x14ac:dyDescent="0.25">
      <c r="A140" s="5" t="s">
        <v>1745</v>
      </c>
      <c r="B140" s="147">
        <v>45777</v>
      </c>
      <c r="C140" s="5" t="s">
        <v>1746</v>
      </c>
      <c r="D140" s="5" t="s">
        <v>1747</v>
      </c>
      <c r="E140" s="5" t="s">
        <v>1295</v>
      </c>
      <c r="F140" s="5" t="s">
        <v>985</v>
      </c>
      <c r="G140" s="5" t="s">
        <v>1296</v>
      </c>
      <c r="H140" s="148">
        <v>5</v>
      </c>
      <c r="I140" s="149">
        <v>10608</v>
      </c>
      <c r="J140" s="150">
        <v>0</v>
      </c>
      <c r="K140" s="149">
        <v>53040</v>
      </c>
      <c r="L140" s="149">
        <v>9567.98</v>
      </c>
      <c r="M140" s="5" t="s">
        <v>1126</v>
      </c>
      <c r="N140" s="5" t="s">
        <v>1337</v>
      </c>
      <c r="O140" s="5" t="s">
        <v>1338</v>
      </c>
      <c r="P140" s="5" t="s">
        <v>1323</v>
      </c>
      <c r="Q140" s="5" t="s">
        <v>1184</v>
      </c>
      <c r="R140" s="151">
        <v>1</v>
      </c>
      <c r="S140" s="143"/>
    </row>
    <row r="141" spans="1:19" x14ac:dyDescent="0.25">
      <c r="A141" s="5" t="s">
        <v>1748</v>
      </c>
      <c r="B141" s="147">
        <v>45669</v>
      </c>
      <c r="C141" s="5" t="s">
        <v>1749</v>
      </c>
      <c r="D141" s="5" t="s">
        <v>1750</v>
      </c>
      <c r="E141" s="5" t="s">
        <v>1331</v>
      </c>
      <c r="F141" s="5" t="s">
        <v>988</v>
      </c>
      <c r="G141" s="5" t="s">
        <v>1332</v>
      </c>
      <c r="H141" s="148">
        <v>1</v>
      </c>
      <c r="I141" s="149">
        <v>4302</v>
      </c>
      <c r="J141" s="150">
        <v>0.1</v>
      </c>
      <c r="K141" s="149">
        <v>3871.8</v>
      </c>
      <c r="L141" s="149">
        <v>385.82</v>
      </c>
      <c r="M141" s="5" t="s">
        <v>1126</v>
      </c>
      <c r="N141" s="5" t="s">
        <v>1337</v>
      </c>
      <c r="O141" s="5" t="s">
        <v>1338</v>
      </c>
      <c r="P141" s="5" t="s">
        <v>1299</v>
      </c>
      <c r="Q141" s="5" t="s">
        <v>1300</v>
      </c>
      <c r="R141" s="151">
        <v>5</v>
      </c>
      <c r="S141" s="143"/>
    </row>
    <row r="142" spans="1:19" x14ac:dyDescent="0.25">
      <c r="A142" s="5" t="s">
        <v>1751</v>
      </c>
      <c r="B142" s="147">
        <v>45989</v>
      </c>
      <c r="C142" s="5" t="s">
        <v>1752</v>
      </c>
      <c r="D142" s="5" t="s">
        <v>1753</v>
      </c>
      <c r="E142" s="5" t="s">
        <v>1331</v>
      </c>
      <c r="F142" s="5" t="s">
        <v>988</v>
      </c>
      <c r="G142" s="5" t="s">
        <v>1332</v>
      </c>
      <c r="H142" s="148">
        <v>1</v>
      </c>
      <c r="I142" s="149">
        <v>3748</v>
      </c>
      <c r="J142" s="150">
        <v>0.05</v>
      </c>
      <c r="K142" s="149">
        <v>3560.6</v>
      </c>
      <c r="L142" s="149">
        <v>565.63</v>
      </c>
      <c r="M142" s="5" t="s">
        <v>1344</v>
      </c>
      <c r="N142" s="5" t="s">
        <v>1321</v>
      </c>
      <c r="O142" s="5" t="s">
        <v>1322</v>
      </c>
      <c r="P142" s="5" t="s">
        <v>1327</v>
      </c>
      <c r="Q142" s="5" t="s">
        <v>1306</v>
      </c>
      <c r="R142" s="151">
        <v>5</v>
      </c>
      <c r="S142" s="143"/>
    </row>
    <row r="143" spans="1:19" x14ac:dyDescent="0.25">
      <c r="A143" s="5" t="s">
        <v>1754</v>
      </c>
      <c r="B143" s="147">
        <v>45986</v>
      </c>
      <c r="C143" s="5" t="s">
        <v>1755</v>
      </c>
      <c r="D143" s="5" t="s">
        <v>1756</v>
      </c>
      <c r="E143" s="5" t="s">
        <v>1359</v>
      </c>
      <c r="F143" s="5" t="s">
        <v>1360</v>
      </c>
      <c r="G143" s="5" t="s">
        <v>1361</v>
      </c>
      <c r="H143" s="148">
        <v>2</v>
      </c>
      <c r="I143" s="149">
        <v>3134</v>
      </c>
      <c r="J143" s="150">
        <v>0.2</v>
      </c>
      <c r="K143" s="149">
        <v>5014.3999999999996</v>
      </c>
      <c r="L143" s="149">
        <v>869.78</v>
      </c>
      <c r="M143" s="5" t="s">
        <v>1313</v>
      </c>
      <c r="N143" s="5" t="s">
        <v>1337</v>
      </c>
      <c r="O143" s="5" t="s">
        <v>1338</v>
      </c>
      <c r="P143" s="5" t="s">
        <v>1299</v>
      </c>
      <c r="Q143" s="5" t="s">
        <v>1306</v>
      </c>
      <c r="R143" s="151">
        <v>5</v>
      </c>
      <c r="S143" s="143"/>
    </row>
    <row r="144" spans="1:19" x14ac:dyDescent="0.25">
      <c r="A144" s="5" t="s">
        <v>1757</v>
      </c>
      <c r="B144" s="147">
        <v>45692</v>
      </c>
      <c r="C144" s="5" t="s">
        <v>1758</v>
      </c>
      <c r="D144" s="5" t="s">
        <v>1759</v>
      </c>
      <c r="E144" s="5" t="s">
        <v>1310</v>
      </c>
      <c r="F144" s="5" t="s">
        <v>1311</v>
      </c>
      <c r="G144" s="5" t="s">
        <v>1312</v>
      </c>
      <c r="H144" s="148">
        <v>4</v>
      </c>
      <c r="I144" s="149">
        <v>6937</v>
      </c>
      <c r="J144" s="150">
        <v>0.2</v>
      </c>
      <c r="K144" s="149">
        <v>22198.400000000001</v>
      </c>
      <c r="L144" s="149">
        <v>6346.39</v>
      </c>
      <c r="M144" s="5" t="s">
        <v>1130</v>
      </c>
      <c r="N144" s="5" t="s">
        <v>1321</v>
      </c>
      <c r="O144" s="5" t="s">
        <v>1322</v>
      </c>
      <c r="P144" s="5" t="s">
        <v>1299</v>
      </c>
      <c r="Q144" s="5" t="s">
        <v>1300</v>
      </c>
      <c r="R144" s="151">
        <v>5</v>
      </c>
      <c r="S144" s="143"/>
    </row>
    <row r="145" spans="1:19" x14ac:dyDescent="0.25">
      <c r="A145" s="5" t="s">
        <v>1760</v>
      </c>
      <c r="B145" s="147">
        <v>45877</v>
      </c>
      <c r="C145" s="5" t="s">
        <v>1761</v>
      </c>
      <c r="D145" s="5" t="s">
        <v>1762</v>
      </c>
      <c r="E145" s="5" t="s">
        <v>1342</v>
      </c>
      <c r="F145" s="5" t="s">
        <v>988</v>
      </c>
      <c r="G145" s="5" t="s">
        <v>1343</v>
      </c>
      <c r="H145" s="148">
        <v>5</v>
      </c>
      <c r="I145" s="149">
        <v>7893</v>
      </c>
      <c r="J145" s="150">
        <v>0.1</v>
      </c>
      <c r="K145" s="149">
        <v>35518.5</v>
      </c>
      <c r="L145" s="149">
        <v>8514.5300000000007</v>
      </c>
      <c r="M145" s="5" t="s">
        <v>1344</v>
      </c>
      <c r="N145" s="5" t="s">
        <v>1362</v>
      </c>
      <c r="O145" s="5" t="s">
        <v>1363</v>
      </c>
      <c r="P145" s="5" t="s">
        <v>1314</v>
      </c>
      <c r="Q145" s="5" t="s">
        <v>1306</v>
      </c>
      <c r="R145" s="151">
        <v>2</v>
      </c>
      <c r="S145" s="143"/>
    </row>
    <row r="146" spans="1:19" x14ac:dyDescent="0.25">
      <c r="A146" s="5" t="s">
        <v>1763</v>
      </c>
      <c r="B146" s="147">
        <v>46000</v>
      </c>
      <c r="C146" s="5" t="s">
        <v>1764</v>
      </c>
      <c r="D146" s="5" t="s">
        <v>1765</v>
      </c>
      <c r="E146" s="5" t="s">
        <v>1331</v>
      </c>
      <c r="F146" s="5" t="s">
        <v>988</v>
      </c>
      <c r="G146" s="5" t="s">
        <v>1332</v>
      </c>
      <c r="H146" s="148">
        <v>2</v>
      </c>
      <c r="I146" s="149">
        <v>12627</v>
      </c>
      <c r="J146" s="150">
        <v>0.05</v>
      </c>
      <c r="K146" s="149">
        <v>23991.3</v>
      </c>
      <c r="L146" s="149">
        <v>3098.62</v>
      </c>
      <c r="M146" s="5" t="s">
        <v>1313</v>
      </c>
      <c r="N146" s="5" t="s">
        <v>1362</v>
      </c>
      <c r="O146" s="5" t="s">
        <v>1363</v>
      </c>
      <c r="P146" s="5" t="s">
        <v>1348</v>
      </c>
      <c r="Q146" s="5" t="s">
        <v>1204</v>
      </c>
      <c r="R146" s="151">
        <v>4</v>
      </c>
      <c r="S146" s="143"/>
    </row>
    <row r="147" spans="1:19" x14ac:dyDescent="0.25">
      <c r="A147" s="5" t="s">
        <v>1766</v>
      </c>
      <c r="B147" s="147">
        <v>45693</v>
      </c>
      <c r="C147" s="5" t="s">
        <v>1767</v>
      </c>
      <c r="D147" s="5" t="s">
        <v>1768</v>
      </c>
      <c r="E147" s="5" t="s">
        <v>1310</v>
      </c>
      <c r="F147" s="5" t="s">
        <v>1311</v>
      </c>
      <c r="G147" s="5" t="s">
        <v>1312</v>
      </c>
      <c r="H147" s="148">
        <v>2</v>
      </c>
      <c r="I147" s="149">
        <v>1992</v>
      </c>
      <c r="J147" s="150">
        <v>0</v>
      </c>
      <c r="K147" s="149">
        <v>3984</v>
      </c>
      <c r="L147" s="149">
        <v>446.45</v>
      </c>
      <c r="M147" s="5" t="s">
        <v>1126</v>
      </c>
      <c r="N147" s="5" t="s">
        <v>1304</v>
      </c>
      <c r="O147" s="5" t="s">
        <v>1305</v>
      </c>
      <c r="P147" s="5" t="s">
        <v>1323</v>
      </c>
      <c r="Q147" s="5" t="s">
        <v>1184</v>
      </c>
      <c r="R147" s="151">
        <v>1</v>
      </c>
      <c r="S147" s="143"/>
    </row>
    <row r="148" spans="1:19" x14ac:dyDescent="0.25">
      <c r="A148" s="5" t="s">
        <v>1769</v>
      </c>
      <c r="B148" s="147">
        <v>45674</v>
      </c>
      <c r="C148" s="5" t="s">
        <v>1770</v>
      </c>
      <c r="D148" s="5" t="s">
        <v>1771</v>
      </c>
      <c r="E148" s="5" t="s">
        <v>1370</v>
      </c>
      <c r="F148" s="5" t="s">
        <v>1160</v>
      </c>
      <c r="G148" s="5" t="s">
        <v>1371</v>
      </c>
      <c r="H148" s="148">
        <v>4</v>
      </c>
      <c r="I148" s="149">
        <v>3397</v>
      </c>
      <c r="J148" s="150">
        <v>0.05</v>
      </c>
      <c r="K148" s="149">
        <v>12908.6</v>
      </c>
      <c r="L148" s="149">
        <v>2333.66</v>
      </c>
      <c r="M148" s="5" t="s">
        <v>1126</v>
      </c>
      <c r="N148" s="5" t="s">
        <v>1297</v>
      </c>
      <c r="O148" s="5" t="s">
        <v>1298</v>
      </c>
      <c r="P148" s="5" t="s">
        <v>1323</v>
      </c>
      <c r="Q148" s="5" t="s">
        <v>1306</v>
      </c>
      <c r="R148" s="151">
        <v>2</v>
      </c>
      <c r="S148" s="143"/>
    </row>
    <row r="149" spans="1:19" x14ac:dyDescent="0.25">
      <c r="A149" s="5" t="s">
        <v>1772</v>
      </c>
      <c r="B149" s="147">
        <v>45688</v>
      </c>
      <c r="C149" s="5" t="s">
        <v>1773</v>
      </c>
      <c r="D149" s="5" t="s">
        <v>1774</v>
      </c>
      <c r="E149" s="5" t="s">
        <v>1318</v>
      </c>
      <c r="F149" s="5" t="s">
        <v>1319</v>
      </c>
      <c r="G149" s="5" t="s">
        <v>1320</v>
      </c>
      <c r="H149" s="148">
        <v>3</v>
      </c>
      <c r="I149" s="149">
        <v>5876</v>
      </c>
      <c r="J149" s="150">
        <v>0</v>
      </c>
      <c r="K149" s="149">
        <v>17628</v>
      </c>
      <c r="L149" s="149">
        <v>5080.32</v>
      </c>
      <c r="M149" s="5" t="s">
        <v>1381</v>
      </c>
      <c r="N149" s="5" t="s">
        <v>1362</v>
      </c>
      <c r="O149" s="5" t="s">
        <v>1363</v>
      </c>
      <c r="P149" s="5" t="s">
        <v>1314</v>
      </c>
      <c r="Q149" s="5" t="s">
        <v>1184</v>
      </c>
      <c r="R149" s="151">
        <v>1</v>
      </c>
      <c r="S149" s="143"/>
    </row>
    <row r="150" spans="1:19" x14ac:dyDescent="0.25">
      <c r="A150" s="5" t="s">
        <v>1775</v>
      </c>
      <c r="B150" s="147">
        <v>45851</v>
      </c>
      <c r="C150" s="5" t="s">
        <v>1776</v>
      </c>
      <c r="D150" s="5" t="s">
        <v>1777</v>
      </c>
      <c r="E150" s="5" t="s">
        <v>1195</v>
      </c>
      <c r="F150" s="5" t="s">
        <v>988</v>
      </c>
      <c r="G150" s="5" t="s">
        <v>1336</v>
      </c>
      <c r="H150" s="148">
        <v>1</v>
      </c>
      <c r="I150" s="149">
        <v>8331</v>
      </c>
      <c r="J150" s="150">
        <v>0.15</v>
      </c>
      <c r="K150" s="149">
        <v>7081.35</v>
      </c>
      <c r="L150" s="149">
        <v>1256.83</v>
      </c>
      <c r="M150" s="5" t="s">
        <v>1313</v>
      </c>
      <c r="N150" s="5" t="s">
        <v>1321</v>
      </c>
      <c r="O150" s="5" t="s">
        <v>1322</v>
      </c>
      <c r="P150" s="5" t="s">
        <v>1299</v>
      </c>
      <c r="Q150" s="5" t="s">
        <v>1204</v>
      </c>
      <c r="R150" s="151">
        <v>1</v>
      </c>
      <c r="S150" s="143"/>
    </row>
    <row r="151" spans="1:19" x14ac:dyDescent="0.25">
      <c r="A151" s="5" t="s">
        <v>1778</v>
      </c>
      <c r="B151" s="147">
        <v>45820</v>
      </c>
      <c r="C151" s="5" t="s">
        <v>1779</v>
      </c>
      <c r="D151" s="5" t="s">
        <v>1780</v>
      </c>
      <c r="E151" s="5" t="s">
        <v>1342</v>
      </c>
      <c r="F151" s="5" t="s">
        <v>988</v>
      </c>
      <c r="G151" s="5" t="s">
        <v>1343</v>
      </c>
      <c r="H151" s="148">
        <v>3</v>
      </c>
      <c r="I151" s="149">
        <v>9998</v>
      </c>
      <c r="J151" s="150">
        <v>0.15</v>
      </c>
      <c r="K151" s="149">
        <v>25494.9</v>
      </c>
      <c r="L151" s="149">
        <v>2240.9699999999998</v>
      </c>
      <c r="M151" s="5" t="s">
        <v>1130</v>
      </c>
      <c r="N151" s="5" t="s">
        <v>1362</v>
      </c>
      <c r="O151" s="5" t="s">
        <v>1363</v>
      </c>
      <c r="P151" s="5" t="s">
        <v>1299</v>
      </c>
      <c r="Q151" s="5" t="s">
        <v>1300</v>
      </c>
      <c r="R151" s="151">
        <v>5</v>
      </c>
      <c r="S151" s="143"/>
    </row>
    <row r="152" spans="1:19" x14ac:dyDescent="0.25">
      <c r="A152" s="5" t="s">
        <v>1781</v>
      </c>
      <c r="B152" s="147">
        <v>45801</v>
      </c>
      <c r="C152" s="5" t="s">
        <v>1782</v>
      </c>
      <c r="D152" s="5" t="s">
        <v>1783</v>
      </c>
      <c r="E152" s="5" t="s">
        <v>1318</v>
      </c>
      <c r="F152" s="5" t="s">
        <v>1319</v>
      </c>
      <c r="G152" s="5" t="s">
        <v>1320</v>
      </c>
      <c r="H152" s="148">
        <v>5</v>
      </c>
      <c r="I152" s="149">
        <v>1043</v>
      </c>
      <c r="J152" s="150">
        <v>0</v>
      </c>
      <c r="K152" s="149">
        <v>5215</v>
      </c>
      <c r="L152" s="149">
        <v>1175.82</v>
      </c>
      <c r="M152" s="5" t="s">
        <v>1313</v>
      </c>
      <c r="N152" s="5" t="s">
        <v>1362</v>
      </c>
      <c r="O152" s="5" t="s">
        <v>1363</v>
      </c>
      <c r="P152" s="5" t="s">
        <v>1327</v>
      </c>
      <c r="Q152" s="5" t="s">
        <v>1306</v>
      </c>
      <c r="R152" s="151">
        <v>4</v>
      </c>
      <c r="S152" s="143"/>
    </row>
    <row r="153" spans="1:19" x14ac:dyDescent="0.25">
      <c r="A153" s="5" t="s">
        <v>1784</v>
      </c>
      <c r="B153" s="147">
        <v>46016</v>
      </c>
      <c r="C153" s="5" t="s">
        <v>1785</v>
      </c>
      <c r="D153" s="5" t="s">
        <v>1786</v>
      </c>
      <c r="E153" s="5" t="s">
        <v>1331</v>
      </c>
      <c r="F153" s="5" t="s">
        <v>988</v>
      </c>
      <c r="G153" s="5" t="s">
        <v>1332</v>
      </c>
      <c r="H153" s="148">
        <v>2</v>
      </c>
      <c r="I153" s="149">
        <v>5791</v>
      </c>
      <c r="J153" s="150">
        <v>0.15</v>
      </c>
      <c r="K153" s="149">
        <v>9844.7000000000007</v>
      </c>
      <c r="L153" s="149">
        <v>1977.13</v>
      </c>
      <c r="M153" s="5" t="s">
        <v>1126</v>
      </c>
      <c r="N153" s="5" t="s">
        <v>1321</v>
      </c>
      <c r="O153" s="5" t="s">
        <v>1322</v>
      </c>
      <c r="P153" s="5" t="s">
        <v>1323</v>
      </c>
      <c r="Q153" s="5" t="s">
        <v>1204</v>
      </c>
      <c r="R153" s="151">
        <v>3</v>
      </c>
      <c r="S153" s="143"/>
    </row>
    <row r="154" spans="1:19" x14ac:dyDescent="0.25">
      <c r="A154" s="5" t="s">
        <v>1787</v>
      </c>
      <c r="B154" s="147">
        <v>45910</v>
      </c>
      <c r="C154" s="5" t="s">
        <v>1788</v>
      </c>
      <c r="D154" s="5" t="s">
        <v>1789</v>
      </c>
      <c r="E154" s="5" t="s">
        <v>1331</v>
      </c>
      <c r="F154" s="5" t="s">
        <v>988</v>
      </c>
      <c r="G154" s="5" t="s">
        <v>1332</v>
      </c>
      <c r="H154" s="148">
        <v>2</v>
      </c>
      <c r="I154" s="149">
        <v>3087</v>
      </c>
      <c r="J154" s="150">
        <v>0.15</v>
      </c>
      <c r="K154" s="149">
        <v>5247.9</v>
      </c>
      <c r="L154" s="149">
        <v>1484.63</v>
      </c>
      <c r="M154" s="5" t="s">
        <v>1381</v>
      </c>
      <c r="N154" s="5" t="s">
        <v>1362</v>
      </c>
      <c r="O154" s="5" t="s">
        <v>1363</v>
      </c>
      <c r="P154" s="5" t="s">
        <v>1314</v>
      </c>
      <c r="Q154" s="5" t="s">
        <v>1306</v>
      </c>
      <c r="R154" s="151">
        <v>3</v>
      </c>
      <c r="S154" s="143"/>
    </row>
    <row r="155" spans="1:19" x14ac:dyDescent="0.25">
      <c r="A155" s="5" t="s">
        <v>1790</v>
      </c>
      <c r="B155" s="147">
        <v>46020</v>
      </c>
      <c r="C155" s="5" t="s">
        <v>1791</v>
      </c>
      <c r="D155" s="5" t="s">
        <v>1792</v>
      </c>
      <c r="E155" s="5" t="s">
        <v>1318</v>
      </c>
      <c r="F155" s="5" t="s">
        <v>1319</v>
      </c>
      <c r="G155" s="5" t="s">
        <v>1320</v>
      </c>
      <c r="H155" s="148">
        <v>2</v>
      </c>
      <c r="I155" s="149">
        <v>1675</v>
      </c>
      <c r="J155" s="150">
        <v>0.05</v>
      </c>
      <c r="K155" s="149">
        <v>3182.5</v>
      </c>
      <c r="L155" s="149">
        <v>748.2</v>
      </c>
      <c r="M155" s="5" t="s">
        <v>1381</v>
      </c>
      <c r="N155" s="5" t="s">
        <v>1304</v>
      </c>
      <c r="O155" s="5" t="s">
        <v>1305</v>
      </c>
      <c r="P155" s="5" t="s">
        <v>1327</v>
      </c>
      <c r="Q155" s="5" t="s">
        <v>1204</v>
      </c>
      <c r="R155" s="151">
        <v>5</v>
      </c>
      <c r="S155" s="143"/>
    </row>
    <row r="156" spans="1:19" x14ac:dyDescent="0.25">
      <c r="A156" s="5" t="s">
        <v>1793</v>
      </c>
      <c r="B156" s="147">
        <v>45705</v>
      </c>
      <c r="C156" s="5" t="s">
        <v>1794</v>
      </c>
      <c r="D156" s="5" t="s">
        <v>1795</v>
      </c>
      <c r="E156" s="5" t="s">
        <v>1359</v>
      </c>
      <c r="F156" s="5" t="s">
        <v>1360</v>
      </c>
      <c r="G156" s="5" t="s">
        <v>1361</v>
      </c>
      <c r="H156" s="148">
        <v>3</v>
      </c>
      <c r="I156" s="149">
        <v>12322</v>
      </c>
      <c r="J156" s="150">
        <v>0.1</v>
      </c>
      <c r="K156" s="149">
        <v>33269.4</v>
      </c>
      <c r="L156" s="149">
        <v>3482.36</v>
      </c>
      <c r="M156" s="5" t="s">
        <v>1344</v>
      </c>
      <c r="N156" s="5" t="s">
        <v>1304</v>
      </c>
      <c r="O156" s="5" t="s">
        <v>1305</v>
      </c>
      <c r="P156" s="5" t="s">
        <v>1323</v>
      </c>
      <c r="Q156" s="5" t="s">
        <v>1184</v>
      </c>
      <c r="R156" s="151">
        <v>1</v>
      </c>
      <c r="S156" s="143"/>
    </row>
    <row r="157" spans="1:19" x14ac:dyDescent="0.25">
      <c r="A157" s="5" t="s">
        <v>1796</v>
      </c>
      <c r="B157" s="147">
        <v>45925</v>
      </c>
      <c r="C157" s="5" t="s">
        <v>1797</v>
      </c>
      <c r="D157" s="5" t="s">
        <v>1798</v>
      </c>
      <c r="E157" s="5" t="s">
        <v>1331</v>
      </c>
      <c r="F157" s="5" t="s">
        <v>988</v>
      </c>
      <c r="G157" s="5" t="s">
        <v>1332</v>
      </c>
      <c r="H157" s="148">
        <v>4</v>
      </c>
      <c r="I157" s="149">
        <v>5405</v>
      </c>
      <c r="J157" s="150">
        <v>0</v>
      </c>
      <c r="K157" s="149">
        <v>21620</v>
      </c>
      <c r="L157" s="149">
        <v>6240.65</v>
      </c>
      <c r="M157" s="5" t="s">
        <v>1381</v>
      </c>
      <c r="N157" s="5" t="s">
        <v>1297</v>
      </c>
      <c r="O157" s="5" t="s">
        <v>1298</v>
      </c>
      <c r="P157" s="5" t="s">
        <v>1314</v>
      </c>
      <c r="Q157" s="5" t="s">
        <v>1204</v>
      </c>
      <c r="R157" s="151">
        <v>3</v>
      </c>
      <c r="S157" s="143"/>
    </row>
    <row r="158" spans="1:19" x14ac:dyDescent="0.25">
      <c r="A158" s="5" t="s">
        <v>1799</v>
      </c>
      <c r="B158" s="147">
        <v>45851</v>
      </c>
      <c r="C158" s="5" t="s">
        <v>1800</v>
      </c>
      <c r="D158" s="5" t="s">
        <v>1801</v>
      </c>
      <c r="E158" s="5" t="s">
        <v>1310</v>
      </c>
      <c r="F158" s="5" t="s">
        <v>1311</v>
      </c>
      <c r="G158" s="5" t="s">
        <v>1312</v>
      </c>
      <c r="H158" s="148">
        <v>5</v>
      </c>
      <c r="I158" s="149">
        <v>13723</v>
      </c>
      <c r="J158" s="150">
        <v>0</v>
      </c>
      <c r="K158" s="149">
        <v>68615</v>
      </c>
      <c r="L158" s="149">
        <v>13417.1</v>
      </c>
      <c r="M158" s="5" t="s">
        <v>1126</v>
      </c>
      <c r="N158" s="5" t="s">
        <v>1321</v>
      </c>
      <c r="O158" s="5" t="s">
        <v>1322</v>
      </c>
      <c r="P158" s="5" t="s">
        <v>1314</v>
      </c>
      <c r="Q158" s="5" t="s">
        <v>1306</v>
      </c>
      <c r="R158" s="151">
        <v>2</v>
      </c>
      <c r="S158" s="143"/>
    </row>
    <row r="159" spans="1:19" x14ac:dyDescent="0.25">
      <c r="A159" s="5" t="s">
        <v>1802</v>
      </c>
      <c r="B159" s="147">
        <v>45774</v>
      </c>
      <c r="C159" s="5" t="s">
        <v>1803</v>
      </c>
      <c r="D159" s="5" t="s">
        <v>1804</v>
      </c>
      <c r="E159" s="5" t="s">
        <v>1370</v>
      </c>
      <c r="F159" s="5" t="s">
        <v>1160</v>
      </c>
      <c r="G159" s="5" t="s">
        <v>1371</v>
      </c>
      <c r="H159" s="148">
        <v>4</v>
      </c>
      <c r="I159" s="149">
        <v>5195</v>
      </c>
      <c r="J159" s="150">
        <v>0.05</v>
      </c>
      <c r="K159" s="149">
        <v>19741</v>
      </c>
      <c r="L159" s="149">
        <v>5104.34</v>
      </c>
      <c r="M159" s="5" t="s">
        <v>1344</v>
      </c>
      <c r="N159" s="5" t="s">
        <v>1352</v>
      </c>
      <c r="O159" s="5" t="s">
        <v>1352</v>
      </c>
      <c r="P159" s="5" t="s">
        <v>1348</v>
      </c>
      <c r="Q159" s="5" t="s">
        <v>1204</v>
      </c>
      <c r="R159" s="151">
        <v>4</v>
      </c>
      <c r="S159" s="143"/>
    </row>
    <row r="160" spans="1:19" x14ac:dyDescent="0.25">
      <c r="A160" s="5" t="s">
        <v>1805</v>
      </c>
      <c r="B160" s="147">
        <v>46018</v>
      </c>
      <c r="C160" s="5" t="s">
        <v>1806</v>
      </c>
      <c r="D160" s="5" t="s">
        <v>1807</v>
      </c>
      <c r="E160" s="5" t="s">
        <v>1359</v>
      </c>
      <c r="F160" s="5" t="s">
        <v>1360</v>
      </c>
      <c r="G160" s="5" t="s">
        <v>1361</v>
      </c>
      <c r="H160" s="148">
        <v>4</v>
      </c>
      <c r="I160" s="149">
        <v>7264</v>
      </c>
      <c r="J160" s="150">
        <v>0.05</v>
      </c>
      <c r="K160" s="149">
        <v>27603.200000000001</v>
      </c>
      <c r="L160" s="149">
        <v>6542.89</v>
      </c>
      <c r="M160" s="5" t="s">
        <v>1381</v>
      </c>
      <c r="N160" s="5" t="s">
        <v>1297</v>
      </c>
      <c r="O160" s="5" t="s">
        <v>1298</v>
      </c>
      <c r="P160" s="5" t="s">
        <v>1327</v>
      </c>
      <c r="Q160" s="5" t="s">
        <v>1306</v>
      </c>
      <c r="R160" s="151">
        <v>3</v>
      </c>
      <c r="S160" s="143"/>
    </row>
    <row r="161" spans="1:19" x14ac:dyDescent="0.25">
      <c r="A161" s="5" t="s">
        <v>1808</v>
      </c>
      <c r="B161" s="147">
        <v>45942</v>
      </c>
      <c r="C161" s="5" t="s">
        <v>1809</v>
      </c>
      <c r="D161" s="5" t="s">
        <v>1810</v>
      </c>
      <c r="E161" s="5" t="s">
        <v>1195</v>
      </c>
      <c r="F161" s="5" t="s">
        <v>988</v>
      </c>
      <c r="G161" s="5" t="s">
        <v>1336</v>
      </c>
      <c r="H161" s="148">
        <v>5</v>
      </c>
      <c r="I161" s="149">
        <v>9573</v>
      </c>
      <c r="J161" s="150">
        <v>0.05</v>
      </c>
      <c r="K161" s="149">
        <v>45471.75</v>
      </c>
      <c r="L161" s="149">
        <v>9404.9699999999993</v>
      </c>
      <c r="M161" s="5" t="s">
        <v>1344</v>
      </c>
      <c r="N161" s="5" t="s">
        <v>1337</v>
      </c>
      <c r="O161" s="5" t="s">
        <v>1338</v>
      </c>
      <c r="P161" s="5" t="s">
        <v>1327</v>
      </c>
      <c r="Q161" s="5" t="s">
        <v>1306</v>
      </c>
      <c r="R161" s="151">
        <v>3</v>
      </c>
      <c r="S161" s="143"/>
    </row>
    <row r="162" spans="1:19" x14ac:dyDescent="0.25">
      <c r="A162" s="5" t="s">
        <v>1811</v>
      </c>
      <c r="B162" s="147">
        <v>45835</v>
      </c>
      <c r="C162" s="5" t="s">
        <v>1812</v>
      </c>
      <c r="D162" s="5" t="s">
        <v>1813</v>
      </c>
      <c r="E162" s="5" t="s">
        <v>1195</v>
      </c>
      <c r="F162" s="5" t="s">
        <v>988</v>
      </c>
      <c r="G162" s="5" t="s">
        <v>1336</v>
      </c>
      <c r="H162" s="148">
        <v>3</v>
      </c>
      <c r="I162" s="149">
        <v>5397</v>
      </c>
      <c r="J162" s="150">
        <v>0.15</v>
      </c>
      <c r="K162" s="149">
        <v>13762.35</v>
      </c>
      <c r="L162" s="149">
        <v>3428.18</v>
      </c>
      <c r="M162" s="5" t="s">
        <v>1381</v>
      </c>
      <c r="N162" s="5" t="s">
        <v>1362</v>
      </c>
      <c r="O162" s="5" t="s">
        <v>1363</v>
      </c>
      <c r="P162" s="5" t="s">
        <v>1323</v>
      </c>
      <c r="Q162" s="5" t="s">
        <v>1306</v>
      </c>
      <c r="R162" s="151">
        <v>4</v>
      </c>
      <c r="S162" s="143"/>
    </row>
    <row r="163" spans="1:19" x14ac:dyDescent="0.25">
      <c r="A163" s="5" t="s">
        <v>1814</v>
      </c>
      <c r="B163" s="147">
        <v>45738</v>
      </c>
      <c r="C163" s="5" t="s">
        <v>1815</v>
      </c>
      <c r="D163" s="5" t="s">
        <v>1816</v>
      </c>
      <c r="E163" s="5" t="s">
        <v>1359</v>
      </c>
      <c r="F163" s="5" t="s">
        <v>1360</v>
      </c>
      <c r="G163" s="5" t="s">
        <v>1361</v>
      </c>
      <c r="H163" s="148">
        <v>5</v>
      </c>
      <c r="I163" s="149">
        <v>10437</v>
      </c>
      <c r="J163" s="150">
        <v>0</v>
      </c>
      <c r="K163" s="149">
        <v>52185</v>
      </c>
      <c r="L163" s="149">
        <v>5431.17</v>
      </c>
      <c r="M163" s="5" t="s">
        <v>1313</v>
      </c>
      <c r="N163" s="5" t="s">
        <v>1304</v>
      </c>
      <c r="O163" s="5" t="s">
        <v>1305</v>
      </c>
      <c r="P163" s="5" t="s">
        <v>1327</v>
      </c>
      <c r="Q163" s="5" t="s">
        <v>1300</v>
      </c>
      <c r="R163" s="151">
        <v>2</v>
      </c>
      <c r="S163" s="143"/>
    </row>
    <row r="164" spans="1:19" x14ac:dyDescent="0.25">
      <c r="A164" s="5" t="s">
        <v>1817</v>
      </c>
      <c r="B164" s="147">
        <v>45829</v>
      </c>
      <c r="C164" s="5" t="s">
        <v>1818</v>
      </c>
      <c r="D164" s="5" t="s">
        <v>1819</v>
      </c>
      <c r="E164" s="5" t="s">
        <v>1359</v>
      </c>
      <c r="F164" s="5" t="s">
        <v>1360</v>
      </c>
      <c r="G164" s="5" t="s">
        <v>1361</v>
      </c>
      <c r="H164" s="148">
        <v>4</v>
      </c>
      <c r="I164" s="149">
        <v>1583</v>
      </c>
      <c r="J164" s="150">
        <v>0.15</v>
      </c>
      <c r="K164" s="149">
        <v>5382.2</v>
      </c>
      <c r="L164" s="149">
        <v>1568.14</v>
      </c>
      <c r="M164" s="5" t="s">
        <v>1313</v>
      </c>
      <c r="N164" s="5" t="s">
        <v>1304</v>
      </c>
      <c r="O164" s="5" t="s">
        <v>1305</v>
      </c>
      <c r="P164" s="5" t="s">
        <v>1299</v>
      </c>
      <c r="Q164" s="5" t="s">
        <v>1306</v>
      </c>
      <c r="R164" s="151">
        <v>3</v>
      </c>
      <c r="S164" s="143"/>
    </row>
    <row r="165" spans="1:19" x14ac:dyDescent="0.25">
      <c r="A165" s="5" t="s">
        <v>1820</v>
      </c>
      <c r="B165" s="147">
        <v>45670</v>
      </c>
      <c r="C165" s="5" t="s">
        <v>1821</v>
      </c>
      <c r="D165" s="5" t="s">
        <v>1822</v>
      </c>
      <c r="E165" s="5" t="s">
        <v>1331</v>
      </c>
      <c r="F165" s="5" t="s">
        <v>988</v>
      </c>
      <c r="G165" s="5" t="s">
        <v>1332</v>
      </c>
      <c r="H165" s="148">
        <v>2</v>
      </c>
      <c r="I165" s="149">
        <v>9357</v>
      </c>
      <c r="J165" s="150">
        <v>0.05</v>
      </c>
      <c r="K165" s="149">
        <v>17778.3</v>
      </c>
      <c r="L165" s="149">
        <v>2097.6799999999998</v>
      </c>
      <c r="M165" s="5" t="s">
        <v>1130</v>
      </c>
      <c r="N165" s="5" t="s">
        <v>1362</v>
      </c>
      <c r="O165" s="5" t="s">
        <v>1363</v>
      </c>
      <c r="P165" s="5" t="s">
        <v>1348</v>
      </c>
      <c r="Q165" s="5" t="s">
        <v>1184</v>
      </c>
      <c r="R165" s="151">
        <v>4</v>
      </c>
      <c r="S165" s="143"/>
    </row>
    <row r="166" spans="1:19" x14ac:dyDescent="0.25">
      <c r="A166" s="5" t="s">
        <v>1823</v>
      </c>
      <c r="B166" s="147">
        <v>46001</v>
      </c>
      <c r="C166" s="5" t="s">
        <v>1824</v>
      </c>
      <c r="D166" s="5" t="s">
        <v>1825</v>
      </c>
      <c r="E166" s="5" t="s">
        <v>1310</v>
      </c>
      <c r="F166" s="5" t="s">
        <v>1311</v>
      </c>
      <c r="G166" s="5" t="s">
        <v>1312</v>
      </c>
      <c r="H166" s="148">
        <v>4</v>
      </c>
      <c r="I166" s="149">
        <v>6472</v>
      </c>
      <c r="J166" s="150">
        <v>0.2</v>
      </c>
      <c r="K166" s="149">
        <v>20710.400000000001</v>
      </c>
      <c r="L166" s="149">
        <v>2341.2199999999998</v>
      </c>
      <c r="M166" s="5" t="s">
        <v>1126</v>
      </c>
      <c r="N166" s="5" t="s">
        <v>1337</v>
      </c>
      <c r="O166" s="5" t="s">
        <v>1338</v>
      </c>
      <c r="P166" s="5" t="s">
        <v>1327</v>
      </c>
      <c r="Q166" s="5" t="s">
        <v>1300</v>
      </c>
      <c r="R166" s="151">
        <v>3</v>
      </c>
      <c r="S166" s="143"/>
    </row>
    <row r="167" spans="1:19" x14ac:dyDescent="0.25">
      <c r="A167" s="5" t="s">
        <v>1826</v>
      </c>
      <c r="B167" s="147">
        <v>45755</v>
      </c>
      <c r="C167" s="5" t="s">
        <v>1827</v>
      </c>
      <c r="D167" s="5" t="s">
        <v>1828</v>
      </c>
      <c r="E167" s="5" t="s">
        <v>1331</v>
      </c>
      <c r="F167" s="5" t="s">
        <v>988</v>
      </c>
      <c r="G167" s="5" t="s">
        <v>1332</v>
      </c>
      <c r="H167" s="148">
        <v>5</v>
      </c>
      <c r="I167" s="149">
        <v>2672</v>
      </c>
      <c r="J167" s="150">
        <v>0.05</v>
      </c>
      <c r="K167" s="149">
        <v>12692</v>
      </c>
      <c r="L167" s="149">
        <v>2332.42</v>
      </c>
      <c r="M167" s="5" t="s">
        <v>1126</v>
      </c>
      <c r="N167" s="5" t="s">
        <v>1362</v>
      </c>
      <c r="O167" s="5" t="s">
        <v>1363</v>
      </c>
      <c r="P167" s="5" t="s">
        <v>1299</v>
      </c>
      <c r="Q167" s="5" t="s">
        <v>1300</v>
      </c>
      <c r="R167" s="151">
        <v>4</v>
      </c>
      <c r="S167" s="143"/>
    </row>
    <row r="168" spans="1:19" x14ac:dyDescent="0.25">
      <c r="A168" s="5" t="s">
        <v>1829</v>
      </c>
      <c r="B168" s="147">
        <v>45967</v>
      </c>
      <c r="C168" s="5" t="s">
        <v>1830</v>
      </c>
      <c r="D168" s="5" t="s">
        <v>1831</v>
      </c>
      <c r="E168" s="5" t="s">
        <v>1370</v>
      </c>
      <c r="F168" s="5" t="s">
        <v>1160</v>
      </c>
      <c r="G168" s="5" t="s">
        <v>1371</v>
      </c>
      <c r="H168" s="148">
        <v>2</v>
      </c>
      <c r="I168" s="149">
        <v>11230</v>
      </c>
      <c r="J168" s="150">
        <v>0.1</v>
      </c>
      <c r="K168" s="149">
        <v>20214</v>
      </c>
      <c r="L168" s="149">
        <v>4250.37</v>
      </c>
      <c r="M168" s="5" t="s">
        <v>1344</v>
      </c>
      <c r="N168" s="5" t="s">
        <v>1362</v>
      </c>
      <c r="O168" s="5" t="s">
        <v>1363</v>
      </c>
      <c r="P168" s="5" t="s">
        <v>1323</v>
      </c>
      <c r="Q168" s="5" t="s">
        <v>1306</v>
      </c>
      <c r="R168" s="151">
        <v>5</v>
      </c>
      <c r="S168" s="143"/>
    </row>
    <row r="169" spans="1:19" x14ac:dyDescent="0.25">
      <c r="A169" s="5" t="s">
        <v>1832</v>
      </c>
      <c r="B169" s="147">
        <v>45667</v>
      </c>
      <c r="C169" s="5" t="s">
        <v>1833</v>
      </c>
      <c r="D169" s="5" t="s">
        <v>1834</v>
      </c>
      <c r="E169" s="5" t="s">
        <v>1331</v>
      </c>
      <c r="F169" s="5" t="s">
        <v>988</v>
      </c>
      <c r="G169" s="5" t="s">
        <v>1332</v>
      </c>
      <c r="H169" s="148">
        <v>2</v>
      </c>
      <c r="I169" s="149">
        <v>2424</v>
      </c>
      <c r="J169" s="150">
        <v>0.1</v>
      </c>
      <c r="K169" s="149">
        <v>4363.2</v>
      </c>
      <c r="L169" s="149">
        <v>454.08</v>
      </c>
      <c r="M169" s="5" t="s">
        <v>1344</v>
      </c>
      <c r="N169" s="5" t="s">
        <v>1337</v>
      </c>
      <c r="O169" s="5" t="s">
        <v>1338</v>
      </c>
      <c r="P169" s="5" t="s">
        <v>1348</v>
      </c>
      <c r="Q169" s="5" t="s">
        <v>1204</v>
      </c>
      <c r="R169" s="151">
        <v>3</v>
      </c>
      <c r="S169" s="143"/>
    </row>
    <row r="170" spans="1:19" x14ac:dyDescent="0.25">
      <c r="A170" s="5" t="s">
        <v>1835</v>
      </c>
      <c r="B170" s="147">
        <v>45983</v>
      </c>
      <c r="C170" s="5" t="s">
        <v>1836</v>
      </c>
      <c r="D170" s="5" t="s">
        <v>1837</v>
      </c>
      <c r="E170" s="5" t="s">
        <v>1331</v>
      </c>
      <c r="F170" s="5" t="s">
        <v>988</v>
      </c>
      <c r="G170" s="5" t="s">
        <v>1332</v>
      </c>
      <c r="H170" s="148">
        <v>2</v>
      </c>
      <c r="I170" s="149">
        <v>6733</v>
      </c>
      <c r="J170" s="150">
        <v>0</v>
      </c>
      <c r="K170" s="149">
        <v>13466</v>
      </c>
      <c r="L170" s="149">
        <v>2140.5100000000002</v>
      </c>
      <c r="M170" s="5" t="s">
        <v>1381</v>
      </c>
      <c r="N170" s="5" t="s">
        <v>1297</v>
      </c>
      <c r="O170" s="5" t="s">
        <v>1298</v>
      </c>
      <c r="P170" s="5" t="s">
        <v>1348</v>
      </c>
      <c r="Q170" s="5" t="s">
        <v>1204</v>
      </c>
      <c r="R170" s="151">
        <v>3</v>
      </c>
      <c r="S170" s="143"/>
    </row>
    <row r="171" spans="1:19" x14ac:dyDescent="0.25">
      <c r="A171" s="5" t="s">
        <v>1838</v>
      </c>
      <c r="B171" s="147">
        <v>45673</v>
      </c>
      <c r="C171" s="5" t="s">
        <v>1839</v>
      </c>
      <c r="D171" s="5" t="s">
        <v>1840</v>
      </c>
      <c r="E171" s="5" t="s">
        <v>1318</v>
      </c>
      <c r="F171" s="5" t="s">
        <v>1319</v>
      </c>
      <c r="G171" s="5" t="s">
        <v>1320</v>
      </c>
      <c r="H171" s="148">
        <v>2</v>
      </c>
      <c r="I171" s="149">
        <v>8218</v>
      </c>
      <c r="J171" s="150">
        <v>0.1</v>
      </c>
      <c r="K171" s="149">
        <v>14792.4</v>
      </c>
      <c r="L171" s="149">
        <v>2474.67</v>
      </c>
      <c r="M171" s="5" t="s">
        <v>1344</v>
      </c>
      <c r="N171" s="5" t="s">
        <v>1352</v>
      </c>
      <c r="O171" s="5" t="s">
        <v>1352</v>
      </c>
      <c r="P171" s="5" t="s">
        <v>1348</v>
      </c>
      <c r="Q171" s="5" t="s">
        <v>1306</v>
      </c>
      <c r="R171" s="151">
        <v>1</v>
      </c>
      <c r="S171" s="143"/>
    </row>
    <row r="172" spans="1:19" x14ac:dyDescent="0.25">
      <c r="A172" s="5" t="s">
        <v>1841</v>
      </c>
      <c r="B172" s="147">
        <v>45982</v>
      </c>
      <c r="C172" s="5" t="s">
        <v>1842</v>
      </c>
      <c r="D172" s="5" t="s">
        <v>1843</v>
      </c>
      <c r="E172" s="5" t="s">
        <v>1370</v>
      </c>
      <c r="F172" s="5" t="s">
        <v>1160</v>
      </c>
      <c r="G172" s="5" t="s">
        <v>1371</v>
      </c>
      <c r="H172" s="148">
        <v>3</v>
      </c>
      <c r="I172" s="149">
        <v>12530</v>
      </c>
      <c r="J172" s="150">
        <v>0.15</v>
      </c>
      <c r="K172" s="149">
        <v>31951.5</v>
      </c>
      <c r="L172" s="149">
        <v>2765.71</v>
      </c>
      <c r="M172" s="5" t="s">
        <v>1381</v>
      </c>
      <c r="N172" s="5" t="s">
        <v>1321</v>
      </c>
      <c r="O172" s="5" t="s">
        <v>1322</v>
      </c>
      <c r="P172" s="5" t="s">
        <v>1327</v>
      </c>
      <c r="Q172" s="5" t="s">
        <v>1204</v>
      </c>
      <c r="R172" s="151">
        <v>1</v>
      </c>
      <c r="S172" s="143"/>
    </row>
    <row r="173" spans="1:19" x14ac:dyDescent="0.25">
      <c r="A173" s="5" t="s">
        <v>1844</v>
      </c>
      <c r="B173" s="147">
        <v>45807</v>
      </c>
      <c r="C173" s="5" t="s">
        <v>1845</v>
      </c>
      <c r="D173" s="5" t="s">
        <v>1846</v>
      </c>
      <c r="E173" s="5" t="s">
        <v>1331</v>
      </c>
      <c r="F173" s="5" t="s">
        <v>988</v>
      </c>
      <c r="G173" s="5" t="s">
        <v>1332</v>
      </c>
      <c r="H173" s="148">
        <v>2</v>
      </c>
      <c r="I173" s="149">
        <v>12379</v>
      </c>
      <c r="J173" s="150">
        <v>0.1</v>
      </c>
      <c r="K173" s="149">
        <v>22282.2</v>
      </c>
      <c r="L173" s="149">
        <v>5936.21</v>
      </c>
      <c r="M173" s="5" t="s">
        <v>1130</v>
      </c>
      <c r="N173" s="5" t="s">
        <v>1337</v>
      </c>
      <c r="O173" s="5" t="s">
        <v>1338</v>
      </c>
      <c r="P173" s="5" t="s">
        <v>1314</v>
      </c>
      <c r="Q173" s="5" t="s">
        <v>1184</v>
      </c>
      <c r="R173" s="151">
        <v>4</v>
      </c>
      <c r="S173" s="143"/>
    </row>
    <row r="174" spans="1:19" x14ac:dyDescent="0.25">
      <c r="A174" s="5" t="s">
        <v>1847</v>
      </c>
      <c r="B174" s="147">
        <v>45872</v>
      </c>
      <c r="C174" s="5" t="s">
        <v>1848</v>
      </c>
      <c r="D174" s="5" t="s">
        <v>1849</v>
      </c>
      <c r="E174" s="5" t="s">
        <v>1342</v>
      </c>
      <c r="F174" s="5" t="s">
        <v>988</v>
      </c>
      <c r="G174" s="5" t="s">
        <v>1343</v>
      </c>
      <c r="H174" s="148">
        <v>2</v>
      </c>
      <c r="I174" s="149">
        <v>7489</v>
      </c>
      <c r="J174" s="150">
        <v>0.2</v>
      </c>
      <c r="K174" s="149">
        <v>11982.4</v>
      </c>
      <c r="L174" s="149">
        <v>2265.25</v>
      </c>
      <c r="M174" s="5" t="s">
        <v>1381</v>
      </c>
      <c r="N174" s="5" t="s">
        <v>1362</v>
      </c>
      <c r="O174" s="5" t="s">
        <v>1363</v>
      </c>
      <c r="P174" s="5" t="s">
        <v>1299</v>
      </c>
      <c r="Q174" s="5" t="s">
        <v>1204</v>
      </c>
      <c r="R174" s="151">
        <v>4</v>
      </c>
      <c r="S174" s="143"/>
    </row>
    <row r="175" spans="1:19" x14ac:dyDescent="0.25">
      <c r="A175" s="5" t="s">
        <v>1850</v>
      </c>
      <c r="B175" s="147">
        <v>45776</v>
      </c>
      <c r="C175" s="5" t="s">
        <v>1851</v>
      </c>
      <c r="D175" s="5" t="s">
        <v>1852</v>
      </c>
      <c r="E175" s="5" t="s">
        <v>1318</v>
      </c>
      <c r="F175" s="5" t="s">
        <v>1319</v>
      </c>
      <c r="G175" s="5" t="s">
        <v>1320</v>
      </c>
      <c r="H175" s="148">
        <v>1</v>
      </c>
      <c r="I175" s="149">
        <v>4325</v>
      </c>
      <c r="J175" s="150">
        <v>0.05</v>
      </c>
      <c r="K175" s="149">
        <v>4108.75</v>
      </c>
      <c r="L175" s="149">
        <v>481.36</v>
      </c>
      <c r="M175" s="5" t="s">
        <v>1313</v>
      </c>
      <c r="N175" s="5" t="s">
        <v>1297</v>
      </c>
      <c r="O175" s="5" t="s">
        <v>1298</v>
      </c>
      <c r="P175" s="5" t="s">
        <v>1327</v>
      </c>
      <c r="Q175" s="5" t="s">
        <v>1306</v>
      </c>
      <c r="R175" s="151">
        <v>5</v>
      </c>
      <c r="S175" s="143"/>
    </row>
    <row r="176" spans="1:19" x14ac:dyDescent="0.25">
      <c r="A176" s="5" t="s">
        <v>1853</v>
      </c>
      <c r="B176" s="147">
        <v>45977</v>
      </c>
      <c r="C176" s="5" t="s">
        <v>1854</v>
      </c>
      <c r="D176" s="5" t="s">
        <v>1855</v>
      </c>
      <c r="E176" s="5" t="s">
        <v>1318</v>
      </c>
      <c r="F176" s="5" t="s">
        <v>1319</v>
      </c>
      <c r="G176" s="5" t="s">
        <v>1320</v>
      </c>
      <c r="H176" s="148">
        <v>2</v>
      </c>
      <c r="I176" s="149">
        <v>2130</v>
      </c>
      <c r="J176" s="150">
        <v>0.1</v>
      </c>
      <c r="K176" s="149">
        <v>3834</v>
      </c>
      <c r="L176" s="149">
        <v>1037.77</v>
      </c>
      <c r="M176" s="5" t="s">
        <v>1344</v>
      </c>
      <c r="N176" s="5" t="s">
        <v>1321</v>
      </c>
      <c r="O176" s="5" t="s">
        <v>1322</v>
      </c>
      <c r="P176" s="5" t="s">
        <v>1327</v>
      </c>
      <c r="Q176" s="5" t="s">
        <v>1300</v>
      </c>
      <c r="R176" s="151">
        <v>4</v>
      </c>
      <c r="S176" s="143"/>
    </row>
    <row r="177" spans="1:19" x14ac:dyDescent="0.25">
      <c r="A177" s="5" t="s">
        <v>1856</v>
      </c>
      <c r="B177" s="147">
        <v>45965</v>
      </c>
      <c r="C177" s="5" t="s">
        <v>1857</v>
      </c>
      <c r="D177" s="5" t="s">
        <v>1858</v>
      </c>
      <c r="E177" s="5" t="s">
        <v>1331</v>
      </c>
      <c r="F177" s="5" t="s">
        <v>988</v>
      </c>
      <c r="G177" s="5" t="s">
        <v>1332</v>
      </c>
      <c r="H177" s="148">
        <v>2</v>
      </c>
      <c r="I177" s="149">
        <v>5627</v>
      </c>
      <c r="J177" s="150">
        <v>0.15</v>
      </c>
      <c r="K177" s="149">
        <v>9565.9</v>
      </c>
      <c r="L177" s="149">
        <v>1634.13</v>
      </c>
      <c r="M177" s="5" t="s">
        <v>1313</v>
      </c>
      <c r="N177" s="5" t="s">
        <v>1352</v>
      </c>
      <c r="O177" s="5" t="s">
        <v>1352</v>
      </c>
      <c r="P177" s="5" t="s">
        <v>1299</v>
      </c>
      <c r="Q177" s="5" t="s">
        <v>1204</v>
      </c>
      <c r="R177" s="151">
        <v>1</v>
      </c>
      <c r="S177" s="143"/>
    </row>
    <row r="178" spans="1:19" x14ac:dyDescent="0.25">
      <c r="A178" s="5" t="s">
        <v>1859</v>
      </c>
      <c r="B178" s="147">
        <v>45790</v>
      </c>
      <c r="C178" s="5" t="s">
        <v>1860</v>
      </c>
      <c r="D178" s="5" t="s">
        <v>1861</v>
      </c>
      <c r="E178" s="5" t="s">
        <v>1295</v>
      </c>
      <c r="F178" s="5" t="s">
        <v>985</v>
      </c>
      <c r="G178" s="5" t="s">
        <v>1296</v>
      </c>
      <c r="H178" s="148">
        <v>4</v>
      </c>
      <c r="I178" s="149">
        <v>6299</v>
      </c>
      <c r="J178" s="150">
        <v>0.15</v>
      </c>
      <c r="K178" s="149">
        <v>21416.6</v>
      </c>
      <c r="L178" s="149">
        <v>6246.78</v>
      </c>
      <c r="M178" s="5" t="s">
        <v>1344</v>
      </c>
      <c r="N178" s="5" t="s">
        <v>1362</v>
      </c>
      <c r="O178" s="5" t="s">
        <v>1363</v>
      </c>
      <c r="P178" s="5" t="s">
        <v>1299</v>
      </c>
      <c r="Q178" s="5" t="s">
        <v>1204</v>
      </c>
      <c r="R178" s="151">
        <v>2</v>
      </c>
      <c r="S178" s="143"/>
    </row>
    <row r="179" spans="1:19" x14ac:dyDescent="0.25">
      <c r="A179" s="5" t="s">
        <v>1862</v>
      </c>
      <c r="B179" s="147">
        <v>45859</v>
      </c>
      <c r="C179" s="5" t="s">
        <v>1863</v>
      </c>
      <c r="D179" s="5" t="s">
        <v>1864</v>
      </c>
      <c r="E179" s="5" t="s">
        <v>1310</v>
      </c>
      <c r="F179" s="5" t="s">
        <v>1311</v>
      </c>
      <c r="G179" s="5" t="s">
        <v>1312</v>
      </c>
      <c r="H179" s="148">
        <v>2</v>
      </c>
      <c r="I179" s="149">
        <v>12991</v>
      </c>
      <c r="J179" s="150">
        <v>0</v>
      </c>
      <c r="K179" s="149">
        <v>25982</v>
      </c>
      <c r="L179" s="149">
        <v>4388.01</v>
      </c>
      <c r="M179" s="5" t="s">
        <v>1130</v>
      </c>
      <c r="N179" s="5" t="s">
        <v>1321</v>
      </c>
      <c r="O179" s="5" t="s">
        <v>1322</v>
      </c>
      <c r="P179" s="5" t="s">
        <v>1348</v>
      </c>
      <c r="Q179" s="5" t="s">
        <v>1184</v>
      </c>
      <c r="R179" s="151">
        <v>5</v>
      </c>
      <c r="S179" s="143"/>
    </row>
    <row r="180" spans="1:19" x14ac:dyDescent="0.25">
      <c r="A180" s="5" t="s">
        <v>1865</v>
      </c>
      <c r="B180" s="147">
        <v>45847</v>
      </c>
      <c r="C180" s="5" t="s">
        <v>1866</v>
      </c>
      <c r="D180" s="5" t="s">
        <v>1867</v>
      </c>
      <c r="E180" s="5" t="s">
        <v>1370</v>
      </c>
      <c r="F180" s="5" t="s">
        <v>1160</v>
      </c>
      <c r="G180" s="5" t="s">
        <v>1371</v>
      </c>
      <c r="H180" s="148">
        <v>3</v>
      </c>
      <c r="I180" s="149">
        <v>259</v>
      </c>
      <c r="J180" s="150">
        <v>0.1</v>
      </c>
      <c r="K180" s="149">
        <v>699.3</v>
      </c>
      <c r="L180" s="149">
        <v>153.78</v>
      </c>
      <c r="M180" s="5" t="s">
        <v>1344</v>
      </c>
      <c r="N180" s="5" t="s">
        <v>1321</v>
      </c>
      <c r="O180" s="5" t="s">
        <v>1322</v>
      </c>
      <c r="P180" s="5" t="s">
        <v>1314</v>
      </c>
      <c r="Q180" s="5" t="s">
        <v>1300</v>
      </c>
      <c r="R180" s="151">
        <v>1</v>
      </c>
      <c r="S180" s="143"/>
    </row>
    <row r="181" spans="1:19" x14ac:dyDescent="0.25">
      <c r="A181" s="5" t="s">
        <v>1868</v>
      </c>
      <c r="B181" s="147">
        <v>45879</v>
      </c>
      <c r="C181" s="5" t="s">
        <v>1869</v>
      </c>
      <c r="D181" s="5" t="s">
        <v>1870</v>
      </c>
      <c r="E181" s="5" t="s">
        <v>1310</v>
      </c>
      <c r="F181" s="5" t="s">
        <v>1311</v>
      </c>
      <c r="G181" s="5" t="s">
        <v>1312</v>
      </c>
      <c r="H181" s="148">
        <v>4</v>
      </c>
      <c r="I181" s="149">
        <v>3517</v>
      </c>
      <c r="J181" s="150">
        <v>0.1</v>
      </c>
      <c r="K181" s="149">
        <v>12661.2</v>
      </c>
      <c r="L181" s="149">
        <v>2160.5500000000002</v>
      </c>
      <c r="M181" s="5" t="s">
        <v>1381</v>
      </c>
      <c r="N181" s="5" t="s">
        <v>1304</v>
      </c>
      <c r="O181" s="5" t="s">
        <v>1305</v>
      </c>
      <c r="P181" s="5" t="s">
        <v>1327</v>
      </c>
      <c r="Q181" s="5" t="s">
        <v>1300</v>
      </c>
      <c r="R181" s="151">
        <v>3</v>
      </c>
      <c r="S181" s="143"/>
    </row>
    <row r="182" spans="1:19" x14ac:dyDescent="0.25">
      <c r="A182" s="5" t="s">
        <v>1871</v>
      </c>
      <c r="B182" s="147">
        <v>45753</v>
      </c>
      <c r="C182" s="5" t="s">
        <v>1872</v>
      </c>
      <c r="D182" s="5" t="s">
        <v>1873</v>
      </c>
      <c r="E182" s="5" t="s">
        <v>1370</v>
      </c>
      <c r="F182" s="5" t="s">
        <v>1160</v>
      </c>
      <c r="G182" s="5" t="s">
        <v>1371</v>
      </c>
      <c r="H182" s="148">
        <v>1</v>
      </c>
      <c r="I182" s="149">
        <v>643</v>
      </c>
      <c r="J182" s="150">
        <v>0.2</v>
      </c>
      <c r="K182" s="149">
        <v>514.4</v>
      </c>
      <c r="L182" s="149">
        <v>110.12</v>
      </c>
      <c r="M182" s="5" t="s">
        <v>1130</v>
      </c>
      <c r="N182" s="5" t="s">
        <v>1337</v>
      </c>
      <c r="O182" s="5" t="s">
        <v>1338</v>
      </c>
      <c r="P182" s="5" t="s">
        <v>1323</v>
      </c>
      <c r="Q182" s="5" t="s">
        <v>1300</v>
      </c>
      <c r="R182" s="151">
        <v>1</v>
      </c>
      <c r="S182" s="143"/>
    </row>
    <row r="183" spans="1:19" x14ac:dyDescent="0.25">
      <c r="A183" s="5" t="s">
        <v>1874</v>
      </c>
      <c r="B183" s="147">
        <v>45990</v>
      </c>
      <c r="C183" s="5" t="s">
        <v>1875</v>
      </c>
      <c r="D183" s="5" t="s">
        <v>1876</v>
      </c>
      <c r="E183" s="5" t="s">
        <v>1331</v>
      </c>
      <c r="F183" s="5" t="s">
        <v>988</v>
      </c>
      <c r="G183" s="5" t="s">
        <v>1332</v>
      </c>
      <c r="H183" s="148">
        <v>4</v>
      </c>
      <c r="I183" s="149">
        <v>7533</v>
      </c>
      <c r="J183" s="150">
        <v>0.1</v>
      </c>
      <c r="K183" s="149">
        <v>27118.799999999999</v>
      </c>
      <c r="L183" s="149">
        <v>5437.04</v>
      </c>
      <c r="M183" s="5" t="s">
        <v>1381</v>
      </c>
      <c r="N183" s="5" t="s">
        <v>1362</v>
      </c>
      <c r="O183" s="5" t="s">
        <v>1363</v>
      </c>
      <c r="P183" s="5" t="s">
        <v>1323</v>
      </c>
      <c r="Q183" s="5" t="s">
        <v>1306</v>
      </c>
      <c r="R183" s="151">
        <v>2</v>
      </c>
      <c r="S183" s="143"/>
    </row>
    <row r="184" spans="1:19" x14ac:dyDescent="0.25">
      <c r="A184" s="5" t="s">
        <v>1877</v>
      </c>
      <c r="B184" s="147">
        <v>45922</v>
      </c>
      <c r="C184" s="5" t="s">
        <v>1878</v>
      </c>
      <c r="D184" s="5" t="s">
        <v>1879</v>
      </c>
      <c r="E184" s="5" t="s">
        <v>1295</v>
      </c>
      <c r="F184" s="5" t="s">
        <v>985</v>
      </c>
      <c r="G184" s="5" t="s">
        <v>1296</v>
      </c>
      <c r="H184" s="148">
        <v>5</v>
      </c>
      <c r="I184" s="149">
        <v>13270</v>
      </c>
      <c r="J184" s="150">
        <v>0</v>
      </c>
      <c r="K184" s="149">
        <v>66350</v>
      </c>
      <c r="L184" s="149">
        <v>7050.64</v>
      </c>
      <c r="M184" s="5" t="s">
        <v>1313</v>
      </c>
      <c r="N184" s="5" t="s">
        <v>1304</v>
      </c>
      <c r="O184" s="5" t="s">
        <v>1305</v>
      </c>
      <c r="P184" s="5" t="s">
        <v>1348</v>
      </c>
      <c r="Q184" s="5" t="s">
        <v>1306</v>
      </c>
      <c r="R184" s="151">
        <v>3</v>
      </c>
      <c r="S184" s="143"/>
    </row>
    <row r="185" spans="1:19" x14ac:dyDescent="0.25">
      <c r="A185" s="5" t="s">
        <v>1880</v>
      </c>
      <c r="B185" s="147">
        <v>45917</v>
      </c>
      <c r="C185" s="5" t="s">
        <v>1881</v>
      </c>
      <c r="D185" s="5" t="s">
        <v>1882</v>
      </c>
      <c r="E185" s="5" t="s">
        <v>1295</v>
      </c>
      <c r="F185" s="5" t="s">
        <v>985</v>
      </c>
      <c r="G185" s="5" t="s">
        <v>1296</v>
      </c>
      <c r="H185" s="148">
        <v>5</v>
      </c>
      <c r="I185" s="149">
        <v>11747</v>
      </c>
      <c r="J185" s="150">
        <v>0.15</v>
      </c>
      <c r="K185" s="149">
        <v>49924.75</v>
      </c>
      <c r="L185" s="149">
        <v>14541.83</v>
      </c>
      <c r="M185" s="5" t="s">
        <v>1313</v>
      </c>
      <c r="N185" s="5" t="s">
        <v>1352</v>
      </c>
      <c r="O185" s="5" t="s">
        <v>1352</v>
      </c>
      <c r="P185" s="5" t="s">
        <v>1348</v>
      </c>
      <c r="Q185" s="5" t="s">
        <v>1306</v>
      </c>
      <c r="R185" s="151">
        <v>2</v>
      </c>
      <c r="S185" s="143"/>
    </row>
    <row r="186" spans="1:19" x14ac:dyDescent="0.25">
      <c r="A186" s="5" t="s">
        <v>1883</v>
      </c>
      <c r="B186" s="147">
        <v>45788</v>
      </c>
      <c r="C186" s="5" t="s">
        <v>1884</v>
      </c>
      <c r="D186" s="5" t="s">
        <v>1885</v>
      </c>
      <c r="E186" s="5" t="s">
        <v>1195</v>
      </c>
      <c r="F186" s="5" t="s">
        <v>988</v>
      </c>
      <c r="G186" s="5" t="s">
        <v>1336</v>
      </c>
      <c r="H186" s="148">
        <v>3</v>
      </c>
      <c r="I186" s="149">
        <v>3678</v>
      </c>
      <c r="J186" s="150">
        <v>0.15</v>
      </c>
      <c r="K186" s="149">
        <v>9378.9</v>
      </c>
      <c r="L186" s="149">
        <v>1332.31</v>
      </c>
      <c r="M186" s="5" t="s">
        <v>1313</v>
      </c>
      <c r="N186" s="5" t="s">
        <v>1304</v>
      </c>
      <c r="O186" s="5" t="s">
        <v>1305</v>
      </c>
      <c r="P186" s="5" t="s">
        <v>1314</v>
      </c>
      <c r="Q186" s="5" t="s">
        <v>1204</v>
      </c>
      <c r="R186" s="151">
        <v>3</v>
      </c>
      <c r="S186" s="143"/>
    </row>
    <row r="187" spans="1:19" x14ac:dyDescent="0.25">
      <c r="A187" s="5" t="s">
        <v>1886</v>
      </c>
      <c r="B187" s="147">
        <v>46022</v>
      </c>
      <c r="C187" s="5" t="s">
        <v>1887</v>
      </c>
      <c r="D187" s="5" t="s">
        <v>1888</v>
      </c>
      <c r="E187" s="5" t="s">
        <v>1318</v>
      </c>
      <c r="F187" s="5" t="s">
        <v>1319</v>
      </c>
      <c r="G187" s="5" t="s">
        <v>1320</v>
      </c>
      <c r="H187" s="148">
        <v>3</v>
      </c>
      <c r="I187" s="149">
        <v>5074</v>
      </c>
      <c r="J187" s="150">
        <v>0.1</v>
      </c>
      <c r="K187" s="149">
        <v>13699.8</v>
      </c>
      <c r="L187" s="149">
        <v>2723.76</v>
      </c>
      <c r="M187" s="5" t="s">
        <v>1381</v>
      </c>
      <c r="N187" s="5" t="s">
        <v>1321</v>
      </c>
      <c r="O187" s="5" t="s">
        <v>1322</v>
      </c>
      <c r="P187" s="5" t="s">
        <v>1299</v>
      </c>
      <c r="Q187" s="5" t="s">
        <v>1300</v>
      </c>
      <c r="R187" s="151">
        <v>1</v>
      </c>
      <c r="S187" s="143"/>
    </row>
    <row r="188" spans="1:19" x14ac:dyDescent="0.25">
      <c r="A188" s="5" t="s">
        <v>1889</v>
      </c>
      <c r="B188" s="147">
        <v>45974</v>
      </c>
      <c r="C188" s="5" t="s">
        <v>1890</v>
      </c>
      <c r="D188" s="5" t="s">
        <v>1891</v>
      </c>
      <c r="E188" s="5" t="s">
        <v>1342</v>
      </c>
      <c r="F188" s="5" t="s">
        <v>988</v>
      </c>
      <c r="G188" s="5" t="s">
        <v>1343</v>
      </c>
      <c r="H188" s="148">
        <v>1</v>
      </c>
      <c r="I188" s="149">
        <v>12209</v>
      </c>
      <c r="J188" s="150">
        <v>0.05</v>
      </c>
      <c r="K188" s="149">
        <v>11598.55</v>
      </c>
      <c r="L188" s="149">
        <v>1014.26</v>
      </c>
      <c r="M188" s="5" t="s">
        <v>1313</v>
      </c>
      <c r="N188" s="5" t="s">
        <v>1362</v>
      </c>
      <c r="O188" s="5" t="s">
        <v>1363</v>
      </c>
      <c r="P188" s="5" t="s">
        <v>1299</v>
      </c>
      <c r="Q188" s="5" t="s">
        <v>1184</v>
      </c>
      <c r="R188" s="151">
        <v>4</v>
      </c>
      <c r="S188" s="143"/>
    </row>
    <row r="189" spans="1:19" x14ac:dyDescent="0.25">
      <c r="A189" s="5" t="s">
        <v>1892</v>
      </c>
      <c r="B189" s="147">
        <v>45851</v>
      </c>
      <c r="C189" s="5" t="s">
        <v>1893</v>
      </c>
      <c r="D189" s="5" t="s">
        <v>1894</v>
      </c>
      <c r="E189" s="5" t="s">
        <v>1318</v>
      </c>
      <c r="F189" s="5" t="s">
        <v>1319</v>
      </c>
      <c r="G189" s="5" t="s">
        <v>1320</v>
      </c>
      <c r="H189" s="148">
        <v>5</v>
      </c>
      <c r="I189" s="149">
        <v>3120</v>
      </c>
      <c r="J189" s="150">
        <v>0.05</v>
      </c>
      <c r="K189" s="149">
        <v>14820</v>
      </c>
      <c r="L189" s="149">
        <v>3736.19</v>
      </c>
      <c r="M189" s="5" t="s">
        <v>1130</v>
      </c>
      <c r="N189" s="5" t="s">
        <v>1352</v>
      </c>
      <c r="O189" s="5" t="s">
        <v>1352</v>
      </c>
      <c r="P189" s="5" t="s">
        <v>1314</v>
      </c>
      <c r="Q189" s="5" t="s">
        <v>1184</v>
      </c>
      <c r="R189" s="151">
        <v>1</v>
      </c>
      <c r="S189" s="143"/>
    </row>
    <row r="190" spans="1:19" x14ac:dyDescent="0.25">
      <c r="A190" s="5" t="s">
        <v>1895</v>
      </c>
      <c r="B190" s="147">
        <v>45685</v>
      </c>
      <c r="C190" s="5" t="s">
        <v>1896</v>
      </c>
      <c r="D190" s="5" t="s">
        <v>1897</v>
      </c>
      <c r="E190" s="5" t="s">
        <v>1295</v>
      </c>
      <c r="F190" s="5" t="s">
        <v>985</v>
      </c>
      <c r="G190" s="5" t="s">
        <v>1296</v>
      </c>
      <c r="H190" s="148">
        <v>5</v>
      </c>
      <c r="I190" s="149">
        <v>9971</v>
      </c>
      <c r="J190" s="150">
        <v>0.1</v>
      </c>
      <c r="K190" s="149">
        <v>44869.5</v>
      </c>
      <c r="L190" s="149">
        <v>6526.18</v>
      </c>
      <c r="M190" s="5" t="s">
        <v>1344</v>
      </c>
      <c r="N190" s="5" t="s">
        <v>1321</v>
      </c>
      <c r="O190" s="5" t="s">
        <v>1322</v>
      </c>
      <c r="P190" s="5" t="s">
        <v>1323</v>
      </c>
      <c r="Q190" s="5" t="s">
        <v>1204</v>
      </c>
      <c r="R190" s="151">
        <v>2</v>
      </c>
      <c r="S190" s="143"/>
    </row>
    <row r="191" spans="1:19" x14ac:dyDescent="0.25">
      <c r="A191" s="5" t="s">
        <v>1898</v>
      </c>
      <c r="B191" s="147">
        <v>45844</v>
      </c>
      <c r="C191" s="5" t="s">
        <v>1899</v>
      </c>
      <c r="D191" s="5" t="s">
        <v>1900</v>
      </c>
      <c r="E191" s="5" t="s">
        <v>1331</v>
      </c>
      <c r="F191" s="5" t="s">
        <v>988</v>
      </c>
      <c r="G191" s="5" t="s">
        <v>1332</v>
      </c>
      <c r="H191" s="148">
        <v>4</v>
      </c>
      <c r="I191" s="149">
        <v>3633</v>
      </c>
      <c r="J191" s="150">
        <v>0.1</v>
      </c>
      <c r="K191" s="149">
        <v>13078.8</v>
      </c>
      <c r="L191" s="149">
        <v>1390.37</v>
      </c>
      <c r="M191" s="5" t="s">
        <v>1130</v>
      </c>
      <c r="N191" s="5" t="s">
        <v>1337</v>
      </c>
      <c r="O191" s="5" t="s">
        <v>1338</v>
      </c>
      <c r="P191" s="5" t="s">
        <v>1348</v>
      </c>
      <c r="Q191" s="5" t="s">
        <v>1300</v>
      </c>
      <c r="R191" s="151">
        <v>4</v>
      </c>
      <c r="S191" s="143"/>
    </row>
    <row r="192" spans="1:19" x14ac:dyDescent="0.25">
      <c r="A192" s="5" t="s">
        <v>1901</v>
      </c>
      <c r="B192" s="147">
        <v>45837</v>
      </c>
      <c r="C192" s="5" t="s">
        <v>1902</v>
      </c>
      <c r="D192" s="5" t="s">
        <v>1903</v>
      </c>
      <c r="E192" s="5" t="s">
        <v>1295</v>
      </c>
      <c r="F192" s="5" t="s">
        <v>985</v>
      </c>
      <c r="G192" s="5" t="s">
        <v>1296</v>
      </c>
      <c r="H192" s="148">
        <v>1</v>
      </c>
      <c r="I192" s="149">
        <v>10535</v>
      </c>
      <c r="J192" s="150">
        <v>0.2</v>
      </c>
      <c r="K192" s="149">
        <v>8428</v>
      </c>
      <c r="L192" s="149">
        <v>1135.54</v>
      </c>
      <c r="M192" s="5" t="s">
        <v>1344</v>
      </c>
      <c r="N192" s="5" t="s">
        <v>1297</v>
      </c>
      <c r="O192" s="5" t="s">
        <v>1298</v>
      </c>
      <c r="P192" s="5" t="s">
        <v>1348</v>
      </c>
      <c r="Q192" s="5" t="s">
        <v>1184</v>
      </c>
      <c r="R192" s="151">
        <v>5</v>
      </c>
      <c r="S192" s="143"/>
    </row>
    <row r="193" spans="1:19" x14ac:dyDescent="0.25">
      <c r="A193" s="5" t="s">
        <v>1904</v>
      </c>
      <c r="B193" s="147">
        <v>45817</v>
      </c>
      <c r="C193" s="5" t="s">
        <v>1905</v>
      </c>
      <c r="D193" s="5" t="s">
        <v>1906</v>
      </c>
      <c r="E193" s="5" t="s">
        <v>1342</v>
      </c>
      <c r="F193" s="5" t="s">
        <v>988</v>
      </c>
      <c r="G193" s="5" t="s">
        <v>1343</v>
      </c>
      <c r="H193" s="148">
        <v>4</v>
      </c>
      <c r="I193" s="149">
        <v>8365</v>
      </c>
      <c r="J193" s="150">
        <v>0.15</v>
      </c>
      <c r="K193" s="149">
        <v>28441</v>
      </c>
      <c r="L193" s="149">
        <v>4624.5600000000004</v>
      </c>
      <c r="M193" s="5" t="s">
        <v>1130</v>
      </c>
      <c r="N193" s="5" t="s">
        <v>1362</v>
      </c>
      <c r="O193" s="5" t="s">
        <v>1363</v>
      </c>
      <c r="P193" s="5" t="s">
        <v>1348</v>
      </c>
      <c r="Q193" s="5" t="s">
        <v>1300</v>
      </c>
      <c r="R193" s="151">
        <v>5</v>
      </c>
      <c r="S193" s="143"/>
    </row>
    <row r="194" spans="1:19" x14ac:dyDescent="0.25">
      <c r="A194" s="5" t="s">
        <v>1907</v>
      </c>
      <c r="B194" s="147">
        <v>45684</v>
      </c>
      <c r="C194" s="5" t="s">
        <v>1908</v>
      </c>
      <c r="D194" s="5" t="s">
        <v>1909</v>
      </c>
      <c r="E194" s="5" t="s">
        <v>1342</v>
      </c>
      <c r="F194" s="5" t="s">
        <v>988</v>
      </c>
      <c r="G194" s="5" t="s">
        <v>1343</v>
      </c>
      <c r="H194" s="148">
        <v>3</v>
      </c>
      <c r="I194" s="149">
        <v>2160</v>
      </c>
      <c r="J194" s="150">
        <v>0.2</v>
      </c>
      <c r="K194" s="149">
        <v>5184</v>
      </c>
      <c r="L194" s="149">
        <v>1281.3</v>
      </c>
      <c r="M194" s="5" t="s">
        <v>1344</v>
      </c>
      <c r="N194" s="5" t="s">
        <v>1304</v>
      </c>
      <c r="O194" s="5" t="s">
        <v>1305</v>
      </c>
      <c r="P194" s="5" t="s">
        <v>1299</v>
      </c>
      <c r="Q194" s="5" t="s">
        <v>1184</v>
      </c>
      <c r="R194" s="151">
        <v>3</v>
      </c>
      <c r="S194" s="143"/>
    </row>
    <row r="195" spans="1:19" x14ac:dyDescent="0.25">
      <c r="A195" s="5" t="s">
        <v>1910</v>
      </c>
      <c r="B195" s="147">
        <v>45978</v>
      </c>
      <c r="C195" s="5" t="s">
        <v>1911</v>
      </c>
      <c r="D195" s="5" t="s">
        <v>1912</v>
      </c>
      <c r="E195" s="5" t="s">
        <v>1318</v>
      </c>
      <c r="F195" s="5" t="s">
        <v>1319</v>
      </c>
      <c r="G195" s="5" t="s">
        <v>1320</v>
      </c>
      <c r="H195" s="148">
        <v>4</v>
      </c>
      <c r="I195" s="149">
        <v>606</v>
      </c>
      <c r="J195" s="150">
        <v>0.05</v>
      </c>
      <c r="K195" s="149">
        <v>2302.8000000000002</v>
      </c>
      <c r="L195" s="149">
        <v>443.79</v>
      </c>
      <c r="M195" s="5" t="s">
        <v>1126</v>
      </c>
      <c r="N195" s="5" t="s">
        <v>1321</v>
      </c>
      <c r="O195" s="5" t="s">
        <v>1322</v>
      </c>
      <c r="P195" s="5" t="s">
        <v>1327</v>
      </c>
      <c r="Q195" s="5" t="s">
        <v>1300</v>
      </c>
      <c r="R195" s="151">
        <v>1</v>
      </c>
      <c r="S195" s="143"/>
    </row>
    <row r="196" spans="1:19" x14ac:dyDescent="0.25">
      <c r="A196" s="5" t="s">
        <v>1913</v>
      </c>
      <c r="B196" s="147">
        <v>45997</v>
      </c>
      <c r="C196" s="5" t="s">
        <v>1914</v>
      </c>
      <c r="D196" s="5" t="s">
        <v>1915</v>
      </c>
      <c r="E196" s="5" t="s">
        <v>1359</v>
      </c>
      <c r="F196" s="5" t="s">
        <v>1360</v>
      </c>
      <c r="G196" s="5" t="s">
        <v>1361</v>
      </c>
      <c r="H196" s="148">
        <v>5</v>
      </c>
      <c r="I196" s="149">
        <v>5527</v>
      </c>
      <c r="J196" s="150">
        <v>0.15</v>
      </c>
      <c r="K196" s="149">
        <v>23489.75</v>
      </c>
      <c r="L196" s="149">
        <v>4495.6099999999997</v>
      </c>
      <c r="M196" s="5" t="s">
        <v>1344</v>
      </c>
      <c r="N196" s="5" t="s">
        <v>1362</v>
      </c>
      <c r="O196" s="5" t="s">
        <v>1363</v>
      </c>
      <c r="P196" s="5" t="s">
        <v>1299</v>
      </c>
      <c r="Q196" s="5" t="s">
        <v>1204</v>
      </c>
      <c r="R196" s="151">
        <v>3</v>
      </c>
      <c r="S196" s="143"/>
    </row>
    <row r="197" spans="1:19" x14ac:dyDescent="0.25">
      <c r="A197" s="5" t="s">
        <v>1916</v>
      </c>
      <c r="B197" s="147">
        <v>45776</v>
      </c>
      <c r="C197" s="5" t="s">
        <v>1917</v>
      </c>
      <c r="D197" s="5" t="s">
        <v>1918</v>
      </c>
      <c r="E197" s="5" t="s">
        <v>1195</v>
      </c>
      <c r="F197" s="5" t="s">
        <v>988</v>
      </c>
      <c r="G197" s="5" t="s">
        <v>1336</v>
      </c>
      <c r="H197" s="148">
        <v>3</v>
      </c>
      <c r="I197" s="149">
        <v>12984</v>
      </c>
      <c r="J197" s="150">
        <v>0.2</v>
      </c>
      <c r="K197" s="149">
        <v>31161.599999999999</v>
      </c>
      <c r="L197" s="149">
        <v>2733.75</v>
      </c>
      <c r="M197" s="5" t="s">
        <v>1344</v>
      </c>
      <c r="N197" s="5" t="s">
        <v>1304</v>
      </c>
      <c r="O197" s="5" t="s">
        <v>1305</v>
      </c>
      <c r="P197" s="5" t="s">
        <v>1348</v>
      </c>
      <c r="Q197" s="5" t="s">
        <v>1184</v>
      </c>
      <c r="R197" s="151">
        <v>1</v>
      </c>
      <c r="S197" s="143"/>
    </row>
    <row r="198" spans="1:19" x14ac:dyDescent="0.25">
      <c r="A198" s="5" t="s">
        <v>1919</v>
      </c>
      <c r="B198" s="147">
        <v>46020</v>
      </c>
      <c r="C198" s="5" t="s">
        <v>1920</v>
      </c>
      <c r="D198" s="5" t="s">
        <v>1921</v>
      </c>
      <c r="E198" s="5" t="s">
        <v>1318</v>
      </c>
      <c r="F198" s="5" t="s">
        <v>1319</v>
      </c>
      <c r="G198" s="5" t="s">
        <v>1320</v>
      </c>
      <c r="H198" s="148">
        <v>4</v>
      </c>
      <c r="I198" s="149">
        <v>1922</v>
      </c>
      <c r="J198" s="150">
        <v>0.15</v>
      </c>
      <c r="K198" s="149">
        <v>6534.8</v>
      </c>
      <c r="L198" s="149">
        <v>1636.24</v>
      </c>
      <c r="M198" s="5" t="s">
        <v>1381</v>
      </c>
      <c r="N198" s="5" t="s">
        <v>1304</v>
      </c>
      <c r="O198" s="5" t="s">
        <v>1305</v>
      </c>
      <c r="P198" s="5" t="s">
        <v>1299</v>
      </c>
      <c r="Q198" s="5" t="s">
        <v>1184</v>
      </c>
      <c r="R198" s="151">
        <v>2</v>
      </c>
      <c r="S198" s="143"/>
    </row>
    <row r="199" spans="1:19" x14ac:dyDescent="0.25">
      <c r="A199" s="5" t="s">
        <v>1922</v>
      </c>
      <c r="B199" s="147">
        <v>45856</v>
      </c>
      <c r="C199" s="5" t="s">
        <v>1923</v>
      </c>
      <c r="D199" s="5" t="s">
        <v>1924</v>
      </c>
      <c r="E199" s="5" t="s">
        <v>1331</v>
      </c>
      <c r="F199" s="5" t="s">
        <v>988</v>
      </c>
      <c r="G199" s="5" t="s">
        <v>1332</v>
      </c>
      <c r="H199" s="148">
        <v>5</v>
      </c>
      <c r="I199" s="149">
        <v>13939</v>
      </c>
      <c r="J199" s="150">
        <v>0</v>
      </c>
      <c r="K199" s="149">
        <v>69695</v>
      </c>
      <c r="L199" s="149">
        <v>8672.67</v>
      </c>
      <c r="M199" s="5" t="s">
        <v>1381</v>
      </c>
      <c r="N199" s="5" t="s">
        <v>1337</v>
      </c>
      <c r="O199" s="5" t="s">
        <v>1338</v>
      </c>
      <c r="P199" s="5" t="s">
        <v>1314</v>
      </c>
      <c r="Q199" s="5" t="s">
        <v>1300</v>
      </c>
      <c r="R199" s="151">
        <v>1</v>
      </c>
      <c r="S199" s="143"/>
    </row>
    <row r="200" spans="1:19" x14ac:dyDescent="0.25">
      <c r="A200" s="5" t="s">
        <v>1925</v>
      </c>
      <c r="B200" s="147">
        <v>45885</v>
      </c>
      <c r="C200" s="5" t="s">
        <v>1926</v>
      </c>
      <c r="D200" s="5" t="s">
        <v>1927</v>
      </c>
      <c r="E200" s="5" t="s">
        <v>1370</v>
      </c>
      <c r="F200" s="5" t="s">
        <v>1160</v>
      </c>
      <c r="G200" s="5" t="s">
        <v>1371</v>
      </c>
      <c r="H200" s="148">
        <v>2</v>
      </c>
      <c r="I200" s="149">
        <v>10562</v>
      </c>
      <c r="J200" s="150">
        <v>0.2</v>
      </c>
      <c r="K200" s="149">
        <v>16899.2</v>
      </c>
      <c r="L200" s="149">
        <v>2597.39</v>
      </c>
      <c r="M200" s="5" t="s">
        <v>1130</v>
      </c>
      <c r="N200" s="5" t="s">
        <v>1352</v>
      </c>
      <c r="O200" s="5" t="s">
        <v>1352</v>
      </c>
      <c r="P200" s="5" t="s">
        <v>1327</v>
      </c>
      <c r="Q200" s="5" t="s">
        <v>1184</v>
      </c>
      <c r="R200" s="151">
        <v>4</v>
      </c>
      <c r="S200" s="143"/>
    </row>
    <row r="201" spans="1:19" x14ac:dyDescent="0.25">
      <c r="A201" s="5" t="s">
        <v>1928</v>
      </c>
      <c r="B201" s="147">
        <v>45853</v>
      </c>
      <c r="C201" s="5" t="s">
        <v>1929</v>
      </c>
      <c r="D201" s="5" t="s">
        <v>1930</v>
      </c>
      <c r="E201" s="5" t="s">
        <v>1318</v>
      </c>
      <c r="F201" s="5" t="s">
        <v>1319</v>
      </c>
      <c r="G201" s="5" t="s">
        <v>1320</v>
      </c>
      <c r="H201" s="148">
        <v>4</v>
      </c>
      <c r="I201" s="149">
        <v>5189</v>
      </c>
      <c r="J201" s="150">
        <v>0.2</v>
      </c>
      <c r="K201" s="149">
        <v>16604.8</v>
      </c>
      <c r="L201" s="149">
        <v>3213.64</v>
      </c>
      <c r="M201" s="5" t="s">
        <v>1344</v>
      </c>
      <c r="N201" s="5" t="s">
        <v>1297</v>
      </c>
      <c r="O201" s="5" t="s">
        <v>1298</v>
      </c>
      <c r="P201" s="5" t="s">
        <v>1348</v>
      </c>
      <c r="Q201" s="5" t="s">
        <v>1204</v>
      </c>
      <c r="R201" s="151">
        <v>1</v>
      </c>
      <c r="S201" s="143"/>
    </row>
    <row r="202" spans="1:19" x14ac:dyDescent="0.25">
      <c r="A202" s="5" t="s">
        <v>1931</v>
      </c>
      <c r="B202" s="147">
        <v>45739</v>
      </c>
      <c r="C202" s="5" t="s">
        <v>1932</v>
      </c>
      <c r="D202" s="5" t="s">
        <v>1933</v>
      </c>
      <c r="E202" s="5" t="s">
        <v>1331</v>
      </c>
      <c r="F202" s="5" t="s">
        <v>988</v>
      </c>
      <c r="G202" s="5" t="s">
        <v>1332</v>
      </c>
      <c r="H202" s="148">
        <v>4</v>
      </c>
      <c r="I202" s="149">
        <v>11640</v>
      </c>
      <c r="J202" s="150">
        <v>0.1</v>
      </c>
      <c r="K202" s="149">
        <v>41904</v>
      </c>
      <c r="L202" s="149">
        <v>5295.93</v>
      </c>
      <c r="M202" s="5" t="s">
        <v>1130</v>
      </c>
      <c r="N202" s="5" t="s">
        <v>1337</v>
      </c>
      <c r="O202" s="5" t="s">
        <v>1338</v>
      </c>
      <c r="P202" s="5" t="s">
        <v>1327</v>
      </c>
      <c r="Q202" s="5" t="s">
        <v>1184</v>
      </c>
      <c r="R202" s="151">
        <v>1</v>
      </c>
      <c r="S202" s="143"/>
    </row>
    <row r="203" spans="1:19" x14ac:dyDescent="0.25">
      <c r="A203" s="5" t="s">
        <v>1934</v>
      </c>
      <c r="B203" s="147">
        <v>45720</v>
      </c>
      <c r="C203" s="5" t="s">
        <v>1935</v>
      </c>
      <c r="D203" s="5" t="s">
        <v>1936</v>
      </c>
      <c r="E203" s="5" t="s">
        <v>1195</v>
      </c>
      <c r="F203" s="5" t="s">
        <v>988</v>
      </c>
      <c r="G203" s="5" t="s">
        <v>1336</v>
      </c>
      <c r="H203" s="148">
        <v>1</v>
      </c>
      <c r="I203" s="149">
        <v>4350</v>
      </c>
      <c r="J203" s="150">
        <v>0.15</v>
      </c>
      <c r="K203" s="149">
        <v>3697.5</v>
      </c>
      <c r="L203" s="149">
        <v>897.21</v>
      </c>
      <c r="M203" s="5" t="s">
        <v>1344</v>
      </c>
      <c r="N203" s="5" t="s">
        <v>1304</v>
      </c>
      <c r="O203" s="5" t="s">
        <v>1305</v>
      </c>
      <c r="P203" s="5" t="s">
        <v>1348</v>
      </c>
      <c r="Q203" s="5" t="s">
        <v>1306</v>
      </c>
      <c r="R203" s="151">
        <v>4</v>
      </c>
      <c r="S203" s="143"/>
    </row>
    <row r="204" spans="1:19" x14ac:dyDescent="0.25">
      <c r="A204" s="5" t="s">
        <v>1937</v>
      </c>
      <c r="B204" s="147">
        <v>45762</v>
      </c>
      <c r="C204" s="5" t="s">
        <v>1938</v>
      </c>
      <c r="D204" s="5" t="s">
        <v>1939</v>
      </c>
      <c r="E204" s="5" t="s">
        <v>1331</v>
      </c>
      <c r="F204" s="5" t="s">
        <v>988</v>
      </c>
      <c r="G204" s="5" t="s">
        <v>1332</v>
      </c>
      <c r="H204" s="148">
        <v>4</v>
      </c>
      <c r="I204" s="149">
        <v>10174</v>
      </c>
      <c r="J204" s="150">
        <v>0.1</v>
      </c>
      <c r="K204" s="149">
        <v>36626.400000000001</v>
      </c>
      <c r="L204" s="149">
        <v>3454.35</v>
      </c>
      <c r="M204" s="5" t="s">
        <v>1126</v>
      </c>
      <c r="N204" s="5" t="s">
        <v>1352</v>
      </c>
      <c r="O204" s="5" t="s">
        <v>1352</v>
      </c>
      <c r="P204" s="5" t="s">
        <v>1314</v>
      </c>
      <c r="Q204" s="5" t="s">
        <v>1184</v>
      </c>
      <c r="R204" s="151">
        <v>5</v>
      </c>
      <c r="S204" s="143"/>
    </row>
    <row r="205" spans="1:19" x14ac:dyDescent="0.25">
      <c r="A205" s="5" t="s">
        <v>1940</v>
      </c>
      <c r="B205" s="147">
        <v>45777</v>
      </c>
      <c r="C205" s="5" t="s">
        <v>1941</v>
      </c>
      <c r="D205" s="5" t="s">
        <v>1942</v>
      </c>
      <c r="E205" s="5" t="s">
        <v>1331</v>
      </c>
      <c r="F205" s="5" t="s">
        <v>988</v>
      </c>
      <c r="G205" s="5" t="s">
        <v>1332</v>
      </c>
      <c r="H205" s="148">
        <v>5</v>
      </c>
      <c r="I205" s="149">
        <v>6746</v>
      </c>
      <c r="J205" s="150">
        <v>0</v>
      </c>
      <c r="K205" s="149">
        <v>33730</v>
      </c>
      <c r="L205" s="149">
        <v>7073.23</v>
      </c>
      <c r="M205" s="5" t="s">
        <v>1126</v>
      </c>
      <c r="N205" s="5" t="s">
        <v>1362</v>
      </c>
      <c r="O205" s="5" t="s">
        <v>1363</v>
      </c>
      <c r="P205" s="5" t="s">
        <v>1348</v>
      </c>
      <c r="Q205" s="5" t="s">
        <v>1184</v>
      </c>
      <c r="R205" s="151">
        <v>2</v>
      </c>
      <c r="S205" s="143"/>
    </row>
    <row r="206" spans="1:19" x14ac:dyDescent="0.25">
      <c r="A206" s="5" t="s">
        <v>1943</v>
      </c>
      <c r="B206" s="147">
        <v>45743</v>
      </c>
      <c r="C206" s="5" t="s">
        <v>1944</v>
      </c>
      <c r="D206" s="5" t="s">
        <v>1945</v>
      </c>
      <c r="E206" s="5" t="s">
        <v>1318</v>
      </c>
      <c r="F206" s="5" t="s">
        <v>1319</v>
      </c>
      <c r="G206" s="5" t="s">
        <v>1320</v>
      </c>
      <c r="H206" s="148">
        <v>4</v>
      </c>
      <c r="I206" s="149">
        <v>7646</v>
      </c>
      <c r="J206" s="150">
        <v>0.05</v>
      </c>
      <c r="K206" s="149">
        <v>29054.799999999999</v>
      </c>
      <c r="L206" s="149">
        <v>6762.95</v>
      </c>
      <c r="M206" s="5" t="s">
        <v>1313</v>
      </c>
      <c r="N206" s="5" t="s">
        <v>1297</v>
      </c>
      <c r="O206" s="5" t="s">
        <v>1298</v>
      </c>
      <c r="P206" s="5" t="s">
        <v>1299</v>
      </c>
      <c r="Q206" s="5" t="s">
        <v>1204</v>
      </c>
      <c r="R206" s="151">
        <v>4</v>
      </c>
      <c r="S206" s="143"/>
    </row>
    <row r="207" spans="1:19" x14ac:dyDescent="0.25">
      <c r="A207" s="5" t="s">
        <v>1946</v>
      </c>
      <c r="B207" s="147">
        <v>45987</v>
      </c>
      <c r="C207" s="5" t="s">
        <v>1947</v>
      </c>
      <c r="D207" s="5" t="s">
        <v>1948</v>
      </c>
      <c r="E207" s="5" t="s">
        <v>1195</v>
      </c>
      <c r="F207" s="5" t="s">
        <v>988</v>
      </c>
      <c r="G207" s="5" t="s">
        <v>1336</v>
      </c>
      <c r="H207" s="148">
        <v>5</v>
      </c>
      <c r="I207" s="149">
        <v>12130</v>
      </c>
      <c r="J207" s="150">
        <v>0.2</v>
      </c>
      <c r="K207" s="149">
        <v>48520</v>
      </c>
      <c r="L207" s="149">
        <v>5209.79</v>
      </c>
      <c r="M207" s="5" t="s">
        <v>1126</v>
      </c>
      <c r="N207" s="5" t="s">
        <v>1297</v>
      </c>
      <c r="O207" s="5" t="s">
        <v>1298</v>
      </c>
      <c r="P207" s="5" t="s">
        <v>1323</v>
      </c>
      <c r="Q207" s="5" t="s">
        <v>1204</v>
      </c>
      <c r="R207" s="151">
        <v>3</v>
      </c>
      <c r="S207" s="143"/>
    </row>
    <row r="208" spans="1:19" x14ac:dyDescent="0.25">
      <c r="A208" s="5" t="s">
        <v>1949</v>
      </c>
      <c r="B208" s="147">
        <v>45928</v>
      </c>
      <c r="C208" s="5" t="s">
        <v>1950</v>
      </c>
      <c r="D208" s="5" t="s">
        <v>1951</v>
      </c>
      <c r="E208" s="5" t="s">
        <v>1318</v>
      </c>
      <c r="F208" s="5" t="s">
        <v>1319</v>
      </c>
      <c r="G208" s="5" t="s">
        <v>1320</v>
      </c>
      <c r="H208" s="148">
        <v>4</v>
      </c>
      <c r="I208" s="149">
        <v>10760</v>
      </c>
      <c r="J208" s="150">
        <v>0.1</v>
      </c>
      <c r="K208" s="149">
        <v>38736</v>
      </c>
      <c r="L208" s="149">
        <v>5141.83</v>
      </c>
      <c r="M208" s="5" t="s">
        <v>1344</v>
      </c>
      <c r="N208" s="5" t="s">
        <v>1321</v>
      </c>
      <c r="O208" s="5" t="s">
        <v>1322</v>
      </c>
      <c r="P208" s="5" t="s">
        <v>1299</v>
      </c>
      <c r="Q208" s="5" t="s">
        <v>1184</v>
      </c>
      <c r="R208" s="151">
        <v>1</v>
      </c>
      <c r="S208" s="143"/>
    </row>
    <row r="209" spans="1:19" x14ac:dyDescent="0.25">
      <c r="A209" s="5" t="s">
        <v>1952</v>
      </c>
      <c r="B209" s="147">
        <v>45878</v>
      </c>
      <c r="C209" s="5" t="s">
        <v>1953</v>
      </c>
      <c r="D209" s="5" t="s">
        <v>1954</v>
      </c>
      <c r="E209" s="5" t="s">
        <v>1195</v>
      </c>
      <c r="F209" s="5" t="s">
        <v>988</v>
      </c>
      <c r="G209" s="5" t="s">
        <v>1336</v>
      </c>
      <c r="H209" s="148">
        <v>3</v>
      </c>
      <c r="I209" s="149">
        <v>6666</v>
      </c>
      <c r="J209" s="150">
        <v>0.15</v>
      </c>
      <c r="K209" s="149">
        <v>16998.3</v>
      </c>
      <c r="L209" s="149">
        <v>3700.33</v>
      </c>
      <c r="M209" s="5" t="s">
        <v>1313</v>
      </c>
      <c r="N209" s="5" t="s">
        <v>1362</v>
      </c>
      <c r="O209" s="5" t="s">
        <v>1363</v>
      </c>
      <c r="P209" s="5" t="s">
        <v>1314</v>
      </c>
      <c r="Q209" s="5" t="s">
        <v>1204</v>
      </c>
      <c r="R209" s="151">
        <v>4</v>
      </c>
      <c r="S209" s="143"/>
    </row>
    <row r="210" spans="1:19" x14ac:dyDescent="0.25">
      <c r="A210" s="5" t="s">
        <v>1955</v>
      </c>
      <c r="B210" s="147">
        <v>45946</v>
      </c>
      <c r="C210" s="5" t="s">
        <v>1956</v>
      </c>
      <c r="D210" s="5" t="s">
        <v>1957</v>
      </c>
      <c r="E210" s="5" t="s">
        <v>1331</v>
      </c>
      <c r="F210" s="5" t="s">
        <v>988</v>
      </c>
      <c r="G210" s="5" t="s">
        <v>1332</v>
      </c>
      <c r="H210" s="148">
        <v>3</v>
      </c>
      <c r="I210" s="149">
        <v>9040</v>
      </c>
      <c r="J210" s="150">
        <v>0</v>
      </c>
      <c r="K210" s="149">
        <v>27120</v>
      </c>
      <c r="L210" s="149">
        <v>7055.73</v>
      </c>
      <c r="M210" s="5" t="s">
        <v>1130</v>
      </c>
      <c r="N210" s="5" t="s">
        <v>1304</v>
      </c>
      <c r="O210" s="5" t="s">
        <v>1305</v>
      </c>
      <c r="P210" s="5" t="s">
        <v>1327</v>
      </c>
      <c r="Q210" s="5" t="s">
        <v>1306</v>
      </c>
      <c r="R210" s="151">
        <v>2</v>
      </c>
      <c r="S210" s="143"/>
    </row>
    <row r="211" spans="1:19" x14ac:dyDescent="0.25">
      <c r="A211" s="5" t="s">
        <v>1958</v>
      </c>
      <c r="B211" s="147">
        <v>45888</v>
      </c>
      <c r="C211" s="5" t="s">
        <v>1959</v>
      </c>
      <c r="D211" s="5" t="s">
        <v>1960</v>
      </c>
      <c r="E211" s="5" t="s">
        <v>1295</v>
      </c>
      <c r="F211" s="5" t="s">
        <v>985</v>
      </c>
      <c r="G211" s="5" t="s">
        <v>1296</v>
      </c>
      <c r="H211" s="148">
        <v>2</v>
      </c>
      <c r="I211" s="149">
        <v>11919</v>
      </c>
      <c r="J211" s="150">
        <v>0</v>
      </c>
      <c r="K211" s="149">
        <v>23838</v>
      </c>
      <c r="L211" s="149">
        <v>4956.34</v>
      </c>
      <c r="M211" s="5" t="s">
        <v>1344</v>
      </c>
      <c r="N211" s="5" t="s">
        <v>1321</v>
      </c>
      <c r="O211" s="5" t="s">
        <v>1322</v>
      </c>
      <c r="P211" s="5" t="s">
        <v>1314</v>
      </c>
      <c r="Q211" s="5" t="s">
        <v>1300</v>
      </c>
      <c r="R211" s="151">
        <v>5</v>
      </c>
      <c r="S211" s="143"/>
    </row>
    <row r="212" spans="1:19" x14ac:dyDescent="0.25">
      <c r="A212" s="5" t="s">
        <v>1961</v>
      </c>
      <c r="B212" s="147">
        <v>45915</v>
      </c>
      <c r="C212" s="5" t="s">
        <v>1962</v>
      </c>
      <c r="D212" s="5" t="s">
        <v>1963</v>
      </c>
      <c r="E212" s="5" t="s">
        <v>1295</v>
      </c>
      <c r="F212" s="5" t="s">
        <v>985</v>
      </c>
      <c r="G212" s="5" t="s">
        <v>1296</v>
      </c>
      <c r="H212" s="148">
        <v>4</v>
      </c>
      <c r="I212" s="149">
        <v>11897</v>
      </c>
      <c r="J212" s="150">
        <v>0</v>
      </c>
      <c r="K212" s="149">
        <v>47588</v>
      </c>
      <c r="L212" s="149">
        <v>6895.07</v>
      </c>
      <c r="M212" s="5" t="s">
        <v>1130</v>
      </c>
      <c r="N212" s="5" t="s">
        <v>1321</v>
      </c>
      <c r="O212" s="5" t="s">
        <v>1322</v>
      </c>
      <c r="P212" s="5" t="s">
        <v>1314</v>
      </c>
      <c r="Q212" s="5" t="s">
        <v>1306</v>
      </c>
      <c r="R212" s="151">
        <v>4</v>
      </c>
      <c r="S212" s="143"/>
    </row>
    <row r="213" spans="1:19" x14ac:dyDescent="0.25">
      <c r="A213" s="5" t="s">
        <v>1964</v>
      </c>
      <c r="B213" s="147">
        <v>45753</v>
      </c>
      <c r="C213" s="5" t="s">
        <v>1965</v>
      </c>
      <c r="D213" s="5" t="s">
        <v>1966</v>
      </c>
      <c r="E213" s="5" t="s">
        <v>1331</v>
      </c>
      <c r="F213" s="5" t="s">
        <v>988</v>
      </c>
      <c r="G213" s="5" t="s">
        <v>1332</v>
      </c>
      <c r="H213" s="148">
        <v>2</v>
      </c>
      <c r="I213" s="149">
        <v>14943</v>
      </c>
      <c r="J213" s="150">
        <v>0.2</v>
      </c>
      <c r="K213" s="149">
        <v>23908.799999999999</v>
      </c>
      <c r="L213" s="149">
        <v>5173.87</v>
      </c>
      <c r="M213" s="5" t="s">
        <v>1313</v>
      </c>
      <c r="N213" s="5" t="s">
        <v>1362</v>
      </c>
      <c r="O213" s="5" t="s">
        <v>1363</v>
      </c>
      <c r="P213" s="5" t="s">
        <v>1299</v>
      </c>
      <c r="Q213" s="5" t="s">
        <v>1184</v>
      </c>
      <c r="R213" s="151">
        <v>2</v>
      </c>
      <c r="S213" s="143"/>
    </row>
    <row r="214" spans="1:19" x14ac:dyDescent="0.25">
      <c r="A214" s="5" t="s">
        <v>1967</v>
      </c>
      <c r="B214" s="147">
        <v>45995</v>
      </c>
      <c r="C214" s="5" t="s">
        <v>1968</v>
      </c>
      <c r="D214" s="5" t="s">
        <v>1969</v>
      </c>
      <c r="E214" s="5" t="s">
        <v>1359</v>
      </c>
      <c r="F214" s="5" t="s">
        <v>1360</v>
      </c>
      <c r="G214" s="5" t="s">
        <v>1361</v>
      </c>
      <c r="H214" s="148">
        <v>4</v>
      </c>
      <c r="I214" s="149">
        <v>14258</v>
      </c>
      <c r="J214" s="150">
        <v>0.05</v>
      </c>
      <c r="K214" s="149">
        <v>54180.4</v>
      </c>
      <c r="L214" s="149">
        <v>15197.36</v>
      </c>
      <c r="M214" s="5" t="s">
        <v>1130</v>
      </c>
      <c r="N214" s="5" t="s">
        <v>1362</v>
      </c>
      <c r="O214" s="5" t="s">
        <v>1363</v>
      </c>
      <c r="P214" s="5" t="s">
        <v>1299</v>
      </c>
      <c r="Q214" s="5" t="s">
        <v>1306</v>
      </c>
      <c r="R214" s="151">
        <v>3</v>
      </c>
      <c r="S214" s="143"/>
    </row>
    <row r="215" spans="1:19" x14ac:dyDescent="0.25">
      <c r="A215" s="5" t="s">
        <v>1970</v>
      </c>
      <c r="B215" s="147">
        <v>45670</v>
      </c>
      <c r="C215" s="5" t="s">
        <v>1971</v>
      </c>
      <c r="D215" s="5" t="s">
        <v>1972</v>
      </c>
      <c r="E215" s="5" t="s">
        <v>1359</v>
      </c>
      <c r="F215" s="5" t="s">
        <v>1360</v>
      </c>
      <c r="G215" s="5" t="s">
        <v>1361</v>
      </c>
      <c r="H215" s="148">
        <v>3</v>
      </c>
      <c r="I215" s="149">
        <v>10372</v>
      </c>
      <c r="J215" s="150">
        <v>0.05</v>
      </c>
      <c r="K215" s="149">
        <v>29560.2</v>
      </c>
      <c r="L215" s="149">
        <v>5914.12</v>
      </c>
      <c r="M215" s="5" t="s">
        <v>1381</v>
      </c>
      <c r="N215" s="5" t="s">
        <v>1362</v>
      </c>
      <c r="O215" s="5" t="s">
        <v>1363</v>
      </c>
      <c r="P215" s="5" t="s">
        <v>1323</v>
      </c>
      <c r="Q215" s="5" t="s">
        <v>1204</v>
      </c>
      <c r="R215" s="151">
        <v>2</v>
      </c>
      <c r="S215" s="143"/>
    </row>
    <row r="216" spans="1:19" x14ac:dyDescent="0.25">
      <c r="A216" s="5" t="s">
        <v>1973</v>
      </c>
      <c r="B216" s="147">
        <v>45866</v>
      </c>
      <c r="C216" s="5" t="s">
        <v>1974</v>
      </c>
      <c r="D216" s="5" t="s">
        <v>1975</v>
      </c>
      <c r="E216" s="5" t="s">
        <v>1342</v>
      </c>
      <c r="F216" s="5" t="s">
        <v>988</v>
      </c>
      <c r="G216" s="5" t="s">
        <v>1343</v>
      </c>
      <c r="H216" s="148">
        <v>5</v>
      </c>
      <c r="I216" s="149">
        <v>10317</v>
      </c>
      <c r="J216" s="150">
        <v>0.1</v>
      </c>
      <c r="K216" s="149">
        <v>46426.5</v>
      </c>
      <c r="L216" s="149">
        <v>5520.09</v>
      </c>
      <c r="M216" s="5" t="s">
        <v>1126</v>
      </c>
      <c r="N216" s="5" t="s">
        <v>1337</v>
      </c>
      <c r="O216" s="5" t="s">
        <v>1338</v>
      </c>
      <c r="P216" s="5" t="s">
        <v>1314</v>
      </c>
      <c r="Q216" s="5" t="s">
        <v>1184</v>
      </c>
      <c r="R216" s="151">
        <v>5</v>
      </c>
      <c r="S216" s="143"/>
    </row>
    <row r="217" spans="1:19" x14ac:dyDescent="0.25">
      <c r="A217" s="5" t="s">
        <v>1976</v>
      </c>
      <c r="B217" s="147">
        <v>45935</v>
      </c>
      <c r="C217" s="5" t="s">
        <v>1977</v>
      </c>
      <c r="D217" s="5" t="s">
        <v>1978</v>
      </c>
      <c r="E217" s="5" t="s">
        <v>1370</v>
      </c>
      <c r="F217" s="5" t="s">
        <v>1160</v>
      </c>
      <c r="G217" s="5" t="s">
        <v>1371</v>
      </c>
      <c r="H217" s="148">
        <v>2</v>
      </c>
      <c r="I217" s="149">
        <v>14581</v>
      </c>
      <c r="J217" s="150">
        <v>0.1</v>
      </c>
      <c r="K217" s="149">
        <v>26245.8</v>
      </c>
      <c r="L217" s="149">
        <v>7067.37</v>
      </c>
      <c r="M217" s="5" t="s">
        <v>1126</v>
      </c>
      <c r="N217" s="5" t="s">
        <v>1304</v>
      </c>
      <c r="O217" s="5" t="s">
        <v>1305</v>
      </c>
      <c r="P217" s="5" t="s">
        <v>1348</v>
      </c>
      <c r="Q217" s="5" t="s">
        <v>1306</v>
      </c>
      <c r="R217" s="151">
        <v>4</v>
      </c>
      <c r="S217" s="143"/>
    </row>
    <row r="218" spans="1:19" x14ac:dyDescent="0.25">
      <c r="A218" s="5" t="s">
        <v>1979</v>
      </c>
      <c r="B218" s="147">
        <v>45768</v>
      </c>
      <c r="C218" s="5" t="s">
        <v>1980</v>
      </c>
      <c r="D218" s="5" t="s">
        <v>1981</v>
      </c>
      <c r="E218" s="5" t="s">
        <v>1370</v>
      </c>
      <c r="F218" s="5" t="s">
        <v>1160</v>
      </c>
      <c r="G218" s="5" t="s">
        <v>1371</v>
      </c>
      <c r="H218" s="148">
        <v>1</v>
      </c>
      <c r="I218" s="149">
        <v>14815</v>
      </c>
      <c r="J218" s="150">
        <v>0.05</v>
      </c>
      <c r="K218" s="149">
        <v>14074.25</v>
      </c>
      <c r="L218" s="149">
        <v>1494.97</v>
      </c>
      <c r="M218" s="5" t="s">
        <v>1126</v>
      </c>
      <c r="N218" s="5" t="s">
        <v>1321</v>
      </c>
      <c r="O218" s="5" t="s">
        <v>1322</v>
      </c>
      <c r="P218" s="5" t="s">
        <v>1327</v>
      </c>
      <c r="Q218" s="5" t="s">
        <v>1306</v>
      </c>
      <c r="R218" s="151">
        <v>1</v>
      </c>
      <c r="S218" s="143"/>
    </row>
    <row r="219" spans="1:19" x14ac:dyDescent="0.25">
      <c r="A219" s="5" t="s">
        <v>1982</v>
      </c>
      <c r="B219" s="147">
        <v>45827</v>
      </c>
      <c r="C219" s="5" t="s">
        <v>1983</v>
      </c>
      <c r="D219" s="5" t="s">
        <v>1984</v>
      </c>
      <c r="E219" s="5" t="s">
        <v>1331</v>
      </c>
      <c r="F219" s="5" t="s">
        <v>988</v>
      </c>
      <c r="G219" s="5" t="s">
        <v>1332</v>
      </c>
      <c r="H219" s="148">
        <v>4</v>
      </c>
      <c r="I219" s="149">
        <v>12923</v>
      </c>
      <c r="J219" s="150">
        <v>0.2</v>
      </c>
      <c r="K219" s="149">
        <v>41353.599999999999</v>
      </c>
      <c r="L219" s="149">
        <v>11946.05</v>
      </c>
      <c r="M219" s="5" t="s">
        <v>1313</v>
      </c>
      <c r="N219" s="5" t="s">
        <v>1337</v>
      </c>
      <c r="O219" s="5" t="s">
        <v>1338</v>
      </c>
      <c r="P219" s="5" t="s">
        <v>1323</v>
      </c>
      <c r="Q219" s="5" t="s">
        <v>1204</v>
      </c>
      <c r="R219" s="151">
        <v>4</v>
      </c>
      <c r="S219" s="143"/>
    </row>
    <row r="220" spans="1:19" x14ac:dyDescent="0.25">
      <c r="A220" s="5" t="s">
        <v>1985</v>
      </c>
      <c r="B220" s="147">
        <v>45661</v>
      </c>
      <c r="C220" s="5" t="s">
        <v>1986</v>
      </c>
      <c r="D220" s="5" t="s">
        <v>1987</v>
      </c>
      <c r="E220" s="5" t="s">
        <v>1331</v>
      </c>
      <c r="F220" s="5" t="s">
        <v>988</v>
      </c>
      <c r="G220" s="5" t="s">
        <v>1332</v>
      </c>
      <c r="H220" s="148">
        <v>3</v>
      </c>
      <c r="I220" s="149">
        <v>14517</v>
      </c>
      <c r="J220" s="150">
        <v>0.05</v>
      </c>
      <c r="K220" s="149">
        <v>41373.449999999997</v>
      </c>
      <c r="L220" s="149">
        <v>5703.93</v>
      </c>
      <c r="M220" s="5" t="s">
        <v>1130</v>
      </c>
      <c r="N220" s="5" t="s">
        <v>1304</v>
      </c>
      <c r="O220" s="5" t="s">
        <v>1305</v>
      </c>
      <c r="P220" s="5" t="s">
        <v>1314</v>
      </c>
      <c r="Q220" s="5" t="s">
        <v>1300</v>
      </c>
      <c r="R220" s="151">
        <v>4</v>
      </c>
      <c r="S220" s="143"/>
    </row>
    <row r="221" spans="1:19" x14ac:dyDescent="0.25">
      <c r="A221" s="5" t="s">
        <v>1988</v>
      </c>
      <c r="B221" s="147">
        <v>45863</v>
      </c>
      <c r="C221" s="5" t="s">
        <v>1989</v>
      </c>
      <c r="D221" s="5" t="s">
        <v>1990</v>
      </c>
      <c r="E221" s="5" t="s">
        <v>1318</v>
      </c>
      <c r="F221" s="5" t="s">
        <v>1319</v>
      </c>
      <c r="G221" s="5" t="s">
        <v>1320</v>
      </c>
      <c r="H221" s="148">
        <v>2</v>
      </c>
      <c r="I221" s="149">
        <v>1057</v>
      </c>
      <c r="J221" s="150">
        <v>0.2</v>
      </c>
      <c r="K221" s="149">
        <v>1691.2</v>
      </c>
      <c r="L221" s="149">
        <v>411.6</v>
      </c>
      <c r="M221" s="5" t="s">
        <v>1381</v>
      </c>
      <c r="N221" s="5" t="s">
        <v>1321</v>
      </c>
      <c r="O221" s="5" t="s">
        <v>1322</v>
      </c>
      <c r="P221" s="5" t="s">
        <v>1348</v>
      </c>
      <c r="Q221" s="5" t="s">
        <v>1204</v>
      </c>
      <c r="R221" s="151">
        <v>3</v>
      </c>
      <c r="S221" s="143"/>
    </row>
    <row r="222" spans="1:19" x14ac:dyDescent="0.25">
      <c r="A222" s="5" t="s">
        <v>1991</v>
      </c>
      <c r="B222" s="147">
        <v>45899</v>
      </c>
      <c r="C222" s="5" t="s">
        <v>1992</v>
      </c>
      <c r="D222" s="5" t="s">
        <v>1993</v>
      </c>
      <c r="E222" s="5" t="s">
        <v>1342</v>
      </c>
      <c r="F222" s="5" t="s">
        <v>988</v>
      </c>
      <c r="G222" s="5" t="s">
        <v>1343</v>
      </c>
      <c r="H222" s="148">
        <v>3</v>
      </c>
      <c r="I222" s="149">
        <v>2034</v>
      </c>
      <c r="J222" s="150">
        <v>0.15</v>
      </c>
      <c r="K222" s="149">
        <v>5186.7</v>
      </c>
      <c r="L222" s="149">
        <v>1008.02</v>
      </c>
      <c r="M222" s="5" t="s">
        <v>1126</v>
      </c>
      <c r="N222" s="5" t="s">
        <v>1321</v>
      </c>
      <c r="O222" s="5" t="s">
        <v>1322</v>
      </c>
      <c r="P222" s="5" t="s">
        <v>1314</v>
      </c>
      <c r="Q222" s="5" t="s">
        <v>1204</v>
      </c>
      <c r="R222" s="151">
        <v>2</v>
      </c>
      <c r="S222" s="143"/>
    </row>
    <row r="223" spans="1:19" x14ac:dyDescent="0.25">
      <c r="A223" s="5" t="s">
        <v>1994</v>
      </c>
      <c r="B223" s="147">
        <v>45666</v>
      </c>
      <c r="C223" s="5" t="s">
        <v>1995</v>
      </c>
      <c r="D223" s="5" t="s">
        <v>1996</v>
      </c>
      <c r="E223" s="5" t="s">
        <v>1295</v>
      </c>
      <c r="F223" s="5" t="s">
        <v>985</v>
      </c>
      <c r="G223" s="5" t="s">
        <v>1296</v>
      </c>
      <c r="H223" s="148">
        <v>5</v>
      </c>
      <c r="I223" s="149">
        <v>1313</v>
      </c>
      <c r="J223" s="150">
        <v>0.2</v>
      </c>
      <c r="K223" s="149">
        <v>5252</v>
      </c>
      <c r="L223" s="149">
        <v>566.15</v>
      </c>
      <c r="M223" s="5" t="s">
        <v>1381</v>
      </c>
      <c r="N223" s="5" t="s">
        <v>1337</v>
      </c>
      <c r="O223" s="5" t="s">
        <v>1338</v>
      </c>
      <c r="P223" s="5" t="s">
        <v>1314</v>
      </c>
      <c r="Q223" s="5" t="s">
        <v>1184</v>
      </c>
      <c r="R223" s="151">
        <v>3</v>
      </c>
      <c r="S223" s="143"/>
    </row>
    <row r="224" spans="1:19" x14ac:dyDescent="0.25">
      <c r="A224" s="5" t="s">
        <v>1997</v>
      </c>
      <c r="B224" s="147">
        <v>45976</v>
      </c>
      <c r="C224" s="5" t="s">
        <v>1998</v>
      </c>
      <c r="D224" s="5" t="s">
        <v>1999</v>
      </c>
      <c r="E224" s="5" t="s">
        <v>1310</v>
      </c>
      <c r="F224" s="5" t="s">
        <v>1311</v>
      </c>
      <c r="G224" s="5" t="s">
        <v>1312</v>
      </c>
      <c r="H224" s="148">
        <v>1</v>
      </c>
      <c r="I224" s="149">
        <v>4185</v>
      </c>
      <c r="J224" s="150">
        <v>0.05</v>
      </c>
      <c r="K224" s="149">
        <v>3975.75</v>
      </c>
      <c r="L224" s="149">
        <v>834.46</v>
      </c>
      <c r="M224" s="5" t="s">
        <v>1313</v>
      </c>
      <c r="N224" s="5" t="s">
        <v>1362</v>
      </c>
      <c r="O224" s="5" t="s">
        <v>1363</v>
      </c>
      <c r="P224" s="5" t="s">
        <v>1323</v>
      </c>
      <c r="Q224" s="5" t="s">
        <v>1306</v>
      </c>
      <c r="R224" s="151">
        <v>2</v>
      </c>
      <c r="S224" s="143"/>
    </row>
    <row r="225" spans="1:19" x14ac:dyDescent="0.25">
      <c r="A225" s="5" t="s">
        <v>2000</v>
      </c>
      <c r="B225" s="147">
        <v>45910</v>
      </c>
      <c r="C225" s="5" t="s">
        <v>2001</v>
      </c>
      <c r="D225" s="5" t="s">
        <v>2002</v>
      </c>
      <c r="E225" s="5" t="s">
        <v>1310</v>
      </c>
      <c r="F225" s="5" t="s">
        <v>1311</v>
      </c>
      <c r="G225" s="5" t="s">
        <v>1312</v>
      </c>
      <c r="H225" s="148">
        <v>1</v>
      </c>
      <c r="I225" s="149">
        <v>770</v>
      </c>
      <c r="J225" s="150">
        <v>0.05</v>
      </c>
      <c r="K225" s="149">
        <v>731.5</v>
      </c>
      <c r="L225" s="149">
        <v>68.67</v>
      </c>
      <c r="M225" s="5" t="s">
        <v>1130</v>
      </c>
      <c r="N225" s="5" t="s">
        <v>1297</v>
      </c>
      <c r="O225" s="5" t="s">
        <v>1298</v>
      </c>
      <c r="P225" s="5" t="s">
        <v>1323</v>
      </c>
      <c r="Q225" s="5" t="s">
        <v>1300</v>
      </c>
      <c r="R225" s="151">
        <v>3</v>
      </c>
      <c r="S225" s="143"/>
    </row>
    <row r="226" spans="1:19" x14ac:dyDescent="0.25">
      <c r="A226" s="5" t="s">
        <v>2003</v>
      </c>
      <c r="B226" s="147">
        <v>45680</v>
      </c>
      <c r="C226" s="5" t="s">
        <v>2004</v>
      </c>
      <c r="D226" s="5" t="s">
        <v>2005</v>
      </c>
      <c r="E226" s="5" t="s">
        <v>1370</v>
      </c>
      <c r="F226" s="5" t="s">
        <v>1160</v>
      </c>
      <c r="G226" s="5" t="s">
        <v>1371</v>
      </c>
      <c r="H226" s="148">
        <v>5</v>
      </c>
      <c r="I226" s="149">
        <v>4634</v>
      </c>
      <c r="J226" s="150">
        <v>0.1</v>
      </c>
      <c r="K226" s="149">
        <v>20853</v>
      </c>
      <c r="L226" s="149">
        <v>2627.6</v>
      </c>
      <c r="M226" s="5" t="s">
        <v>1313</v>
      </c>
      <c r="N226" s="5" t="s">
        <v>1352</v>
      </c>
      <c r="O226" s="5" t="s">
        <v>1352</v>
      </c>
      <c r="P226" s="5" t="s">
        <v>1299</v>
      </c>
      <c r="Q226" s="5" t="s">
        <v>1184</v>
      </c>
      <c r="R226" s="151">
        <v>5</v>
      </c>
      <c r="S226" s="143"/>
    </row>
    <row r="227" spans="1:19" x14ac:dyDescent="0.25">
      <c r="A227" s="5" t="s">
        <v>2006</v>
      </c>
      <c r="B227" s="147">
        <v>45771</v>
      </c>
      <c r="C227" s="5" t="s">
        <v>2007</v>
      </c>
      <c r="D227" s="5" t="s">
        <v>2008</v>
      </c>
      <c r="E227" s="5" t="s">
        <v>1370</v>
      </c>
      <c r="F227" s="5" t="s">
        <v>1160</v>
      </c>
      <c r="G227" s="5" t="s">
        <v>1371</v>
      </c>
      <c r="H227" s="148">
        <v>1</v>
      </c>
      <c r="I227" s="149">
        <v>3577</v>
      </c>
      <c r="J227" s="150">
        <v>0.2</v>
      </c>
      <c r="K227" s="149">
        <v>2861.6</v>
      </c>
      <c r="L227" s="149">
        <v>479.96</v>
      </c>
      <c r="M227" s="5" t="s">
        <v>1381</v>
      </c>
      <c r="N227" s="5" t="s">
        <v>1321</v>
      </c>
      <c r="O227" s="5" t="s">
        <v>1322</v>
      </c>
      <c r="P227" s="5" t="s">
        <v>1323</v>
      </c>
      <c r="Q227" s="5" t="s">
        <v>1300</v>
      </c>
      <c r="R227" s="151">
        <v>5</v>
      </c>
      <c r="S227" s="143"/>
    </row>
    <row r="228" spans="1:19" x14ac:dyDescent="0.25">
      <c r="A228" s="5" t="s">
        <v>2009</v>
      </c>
      <c r="B228" s="147">
        <v>45985</v>
      </c>
      <c r="C228" s="5" t="s">
        <v>2010</v>
      </c>
      <c r="D228" s="5" t="s">
        <v>2011</v>
      </c>
      <c r="E228" s="5" t="s">
        <v>1359</v>
      </c>
      <c r="F228" s="5" t="s">
        <v>1360</v>
      </c>
      <c r="G228" s="5" t="s">
        <v>1361</v>
      </c>
      <c r="H228" s="148">
        <v>3</v>
      </c>
      <c r="I228" s="149">
        <v>12975</v>
      </c>
      <c r="J228" s="150">
        <v>0.15</v>
      </c>
      <c r="K228" s="149">
        <v>33086.25</v>
      </c>
      <c r="L228" s="149">
        <v>7395.83</v>
      </c>
      <c r="M228" s="5" t="s">
        <v>1126</v>
      </c>
      <c r="N228" s="5" t="s">
        <v>1352</v>
      </c>
      <c r="O228" s="5" t="s">
        <v>1352</v>
      </c>
      <c r="P228" s="5" t="s">
        <v>1314</v>
      </c>
      <c r="Q228" s="5" t="s">
        <v>1184</v>
      </c>
      <c r="R228" s="151">
        <v>3</v>
      </c>
      <c r="S228" s="143"/>
    </row>
    <row r="229" spans="1:19" x14ac:dyDescent="0.25">
      <c r="A229" s="5" t="s">
        <v>2012</v>
      </c>
      <c r="B229" s="147">
        <v>45964</v>
      </c>
      <c r="C229" s="5" t="s">
        <v>2013</v>
      </c>
      <c r="D229" s="5" t="s">
        <v>2014</v>
      </c>
      <c r="E229" s="5" t="s">
        <v>1310</v>
      </c>
      <c r="F229" s="5" t="s">
        <v>1311</v>
      </c>
      <c r="G229" s="5" t="s">
        <v>1312</v>
      </c>
      <c r="H229" s="148">
        <v>3</v>
      </c>
      <c r="I229" s="149">
        <v>3261</v>
      </c>
      <c r="J229" s="150">
        <v>0.15</v>
      </c>
      <c r="K229" s="149">
        <v>8315.5499999999993</v>
      </c>
      <c r="L229" s="149">
        <v>1479.97</v>
      </c>
      <c r="M229" s="5" t="s">
        <v>1344</v>
      </c>
      <c r="N229" s="5" t="s">
        <v>1362</v>
      </c>
      <c r="O229" s="5" t="s">
        <v>1363</v>
      </c>
      <c r="P229" s="5" t="s">
        <v>1348</v>
      </c>
      <c r="Q229" s="5" t="s">
        <v>1204</v>
      </c>
      <c r="R229" s="151">
        <v>1</v>
      </c>
      <c r="S229" s="143"/>
    </row>
    <row r="230" spans="1:19" x14ac:dyDescent="0.25">
      <c r="A230" s="5" t="s">
        <v>2015</v>
      </c>
      <c r="B230" s="147">
        <v>45776</v>
      </c>
      <c r="C230" s="5" t="s">
        <v>2016</v>
      </c>
      <c r="D230" s="5" t="s">
        <v>2017</v>
      </c>
      <c r="E230" s="5" t="s">
        <v>1195</v>
      </c>
      <c r="F230" s="5" t="s">
        <v>988</v>
      </c>
      <c r="G230" s="5" t="s">
        <v>1336</v>
      </c>
      <c r="H230" s="148">
        <v>2</v>
      </c>
      <c r="I230" s="149">
        <v>3597</v>
      </c>
      <c r="J230" s="150">
        <v>0.2</v>
      </c>
      <c r="K230" s="149">
        <v>5755.2</v>
      </c>
      <c r="L230" s="149">
        <v>640.92999999999995</v>
      </c>
      <c r="M230" s="5" t="s">
        <v>1126</v>
      </c>
      <c r="N230" s="5" t="s">
        <v>1362</v>
      </c>
      <c r="O230" s="5" t="s">
        <v>1363</v>
      </c>
      <c r="P230" s="5" t="s">
        <v>1323</v>
      </c>
      <c r="Q230" s="5" t="s">
        <v>1184</v>
      </c>
      <c r="R230" s="151">
        <v>2</v>
      </c>
      <c r="S230" s="143"/>
    </row>
    <row r="231" spans="1:19" x14ac:dyDescent="0.25">
      <c r="A231" s="5" t="s">
        <v>2018</v>
      </c>
      <c r="B231" s="147">
        <v>45852</v>
      </c>
      <c r="C231" s="5" t="s">
        <v>2019</v>
      </c>
      <c r="D231" s="5" t="s">
        <v>2020</v>
      </c>
      <c r="E231" s="5" t="s">
        <v>1331</v>
      </c>
      <c r="F231" s="5" t="s">
        <v>988</v>
      </c>
      <c r="G231" s="5" t="s">
        <v>1332</v>
      </c>
      <c r="H231" s="148">
        <v>5</v>
      </c>
      <c r="I231" s="149">
        <v>9443</v>
      </c>
      <c r="J231" s="150">
        <v>0</v>
      </c>
      <c r="K231" s="149">
        <v>47215</v>
      </c>
      <c r="L231" s="149">
        <v>10267.18</v>
      </c>
      <c r="M231" s="5" t="s">
        <v>1313</v>
      </c>
      <c r="N231" s="5" t="s">
        <v>1297</v>
      </c>
      <c r="O231" s="5" t="s">
        <v>1298</v>
      </c>
      <c r="P231" s="5" t="s">
        <v>1327</v>
      </c>
      <c r="Q231" s="5" t="s">
        <v>1306</v>
      </c>
      <c r="R231" s="151">
        <v>2</v>
      </c>
      <c r="S231" s="143"/>
    </row>
    <row r="232" spans="1:19" x14ac:dyDescent="0.25">
      <c r="A232" s="5" t="s">
        <v>2021</v>
      </c>
      <c r="B232" s="147">
        <v>45882</v>
      </c>
      <c r="C232" s="5" t="s">
        <v>2022</v>
      </c>
      <c r="D232" s="5" t="s">
        <v>2023</v>
      </c>
      <c r="E232" s="5" t="s">
        <v>1331</v>
      </c>
      <c r="F232" s="5" t="s">
        <v>988</v>
      </c>
      <c r="G232" s="5" t="s">
        <v>1332</v>
      </c>
      <c r="H232" s="148">
        <v>2</v>
      </c>
      <c r="I232" s="149">
        <v>5823</v>
      </c>
      <c r="J232" s="150">
        <v>0.2</v>
      </c>
      <c r="K232" s="149">
        <v>9316.7999999999993</v>
      </c>
      <c r="L232" s="149">
        <v>1522.44</v>
      </c>
      <c r="M232" s="5" t="s">
        <v>1126</v>
      </c>
      <c r="N232" s="5" t="s">
        <v>1321</v>
      </c>
      <c r="O232" s="5" t="s">
        <v>1322</v>
      </c>
      <c r="P232" s="5" t="s">
        <v>1348</v>
      </c>
      <c r="Q232" s="5" t="s">
        <v>1204</v>
      </c>
      <c r="R232" s="151">
        <v>4</v>
      </c>
      <c r="S232" s="143"/>
    </row>
    <row r="233" spans="1:19" x14ac:dyDescent="0.25">
      <c r="A233" s="5" t="s">
        <v>2024</v>
      </c>
      <c r="B233" s="147">
        <v>45714</v>
      </c>
      <c r="C233" s="5" t="s">
        <v>2025</v>
      </c>
      <c r="D233" s="5" t="s">
        <v>2026</v>
      </c>
      <c r="E233" s="5" t="s">
        <v>1195</v>
      </c>
      <c r="F233" s="5" t="s">
        <v>988</v>
      </c>
      <c r="G233" s="5" t="s">
        <v>1336</v>
      </c>
      <c r="H233" s="148">
        <v>3</v>
      </c>
      <c r="I233" s="149">
        <v>13899</v>
      </c>
      <c r="J233" s="150">
        <v>0</v>
      </c>
      <c r="K233" s="149">
        <v>41697</v>
      </c>
      <c r="L233" s="149">
        <v>6693.78</v>
      </c>
      <c r="M233" s="5" t="s">
        <v>1313</v>
      </c>
      <c r="N233" s="5" t="s">
        <v>1321</v>
      </c>
      <c r="O233" s="5" t="s">
        <v>1322</v>
      </c>
      <c r="P233" s="5" t="s">
        <v>1299</v>
      </c>
      <c r="Q233" s="5" t="s">
        <v>1184</v>
      </c>
      <c r="R233" s="151">
        <v>3</v>
      </c>
      <c r="S233" s="143"/>
    </row>
    <row r="234" spans="1:19" x14ac:dyDescent="0.25">
      <c r="A234" s="5" t="s">
        <v>2027</v>
      </c>
      <c r="B234" s="147">
        <v>45867</v>
      </c>
      <c r="C234" s="5" t="s">
        <v>2028</v>
      </c>
      <c r="D234" s="5" t="s">
        <v>2029</v>
      </c>
      <c r="E234" s="5" t="s">
        <v>1331</v>
      </c>
      <c r="F234" s="5" t="s">
        <v>988</v>
      </c>
      <c r="G234" s="5" t="s">
        <v>1332</v>
      </c>
      <c r="H234" s="148">
        <v>5</v>
      </c>
      <c r="I234" s="149">
        <v>11102</v>
      </c>
      <c r="J234" s="150">
        <v>0</v>
      </c>
      <c r="K234" s="149">
        <v>55510</v>
      </c>
      <c r="L234" s="149">
        <v>11846.25</v>
      </c>
      <c r="M234" s="5" t="s">
        <v>1126</v>
      </c>
      <c r="N234" s="5" t="s">
        <v>1352</v>
      </c>
      <c r="O234" s="5" t="s">
        <v>1352</v>
      </c>
      <c r="P234" s="5" t="s">
        <v>1299</v>
      </c>
      <c r="Q234" s="5" t="s">
        <v>1184</v>
      </c>
      <c r="R234" s="151">
        <v>5</v>
      </c>
      <c r="S234" s="143"/>
    </row>
    <row r="235" spans="1:19" x14ac:dyDescent="0.25">
      <c r="A235" s="5" t="s">
        <v>2030</v>
      </c>
      <c r="B235" s="147">
        <v>45681</v>
      </c>
      <c r="C235" s="5" t="s">
        <v>2031</v>
      </c>
      <c r="D235" s="5" t="s">
        <v>2032</v>
      </c>
      <c r="E235" s="5" t="s">
        <v>1318</v>
      </c>
      <c r="F235" s="5" t="s">
        <v>1319</v>
      </c>
      <c r="G235" s="5" t="s">
        <v>1320</v>
      </c>
      <c r="H235" s="148">
        <v>5</v>
      </c>
      <c r="I235" s="149">
        <v>2316</v>
      </c>
      <c r="J235" s="150">
        <v>0.05</v>
      </c>
      <c r="K235" s="149">
        <v>11001</v>
      </c>
      <c r="L235" s="149">
        <v>2640.87</v>
      </c>
      <c r="M235" s="5" t="s">
        <v>1344</v>
      </c>
      <c r="N235" s="5" t="s">
        <v>1352</v>
      </c>
      <c r="O235" s="5" t="s">
        <v>1352</v>
      </c>
      <c r="P235" s="5" t="s">
        <v>1327</v>
      </c>
      <c r="Q235" s="5" t="s">
        <v>1204</v>
      </c>
      <c r="R235" s="151">
        <v>5</v>
      </c>
      <c r="S235" s="143"/>
    </row>
    <row r="236" spans="1:19" x14ac:dyDescent="0.25">
      <c r="A236" s="5" t="s">
        <v>2033</v>
      </c>
      <c r="B236" s="147">
        <v>45794</v>
      </c>
      <c r="C236" s="5" t="s">
        <v>2034</v>
      </c>
      <c r="D236" s="5" t="s">
        <v>2035</v>
      </c>
      <c r="E236" s="5" t="s">
        <v>1195</v>
      </c>
      <c r="F236" s="5" t="s">
        <v>988</v>
      </c>
      <c r="G236" s="5" t="s">
        <v>1336</v>
      </c>
      <c r="H236" s="148">
        <v>2</v>
      </c>
      <c r="I236" s="149">
        <v>2395</v>
      </c>
      <c r="J236" s="150">
        <v>0.1</v>
      </c>
      <c r="K236" s="149">
        <v>4311</v>
      </c>
      <c r="L236" s="149">
        <v>1282.1400000000001</v>
      </c>
      <c r="M236" s="5" t="s">
        <v>1344</v>
      </c>
      <c r="N236" s="5" t="s">
        <v>1352</v>
      </c>
      <c r="O236" s="5" t="s">
        <v>1352</v>
      </c>
      <c r="P236" s="5" t="s">
        <v>1327</v>
      </c>
      <c r="Q236" s="5" t="s">
        <v>1184</v>
      </c>
      <c r="R236" s="151">
        <v>5</v>
      </c>
      <c r="S236" s="143"/>
    </row>
    <row r="237" spans="1:19" x14ac:dyDescent="0.25">
      <c r="A237" s="5" t="s">
        <v>2036</v>
      </c>
      <c r="B237" s="147">
        <v>45940</v>
      </c>
      <c r="C237" s="5" t="s">
        <v>2037</v>
      </c>
      <c r="D237" s="5" t="s">
        <v>2038</v>
      </c>
      <c r="E237" s="5" t="s">
        <v>1310</v>
      </c>
      <c r="F237" s="5" t="s">
        <v>1311</v>
      </c>
      <c r="G237" s="5" t="s">
        <v>1312</v>
      </c>
      <c r="H237" s="148">
        <v>1</v>
      </c>
      <c r="I237" s="149">
        <v>4429</v>
      </c>
      <c r="J237" s="150">
        <v>0.15</v>
      </c>
      <c r="K237" s="149">
        <v>3764.65</v>
      </c>
      <c r="L237" s="149">
        <v>325.56</v>
      </c>
      <c r="M237" s="5" t="s">
        <v>1344</v>
      </c>
      <c r="N237" s="5" t="s">
        <v>1362</v>
      </c>
      <c r="O237" s="5" t="s">
        <v>1363</v>
      </c>
      <c r="P237" s="5" t="s">
        <v>1314</v>
      </c>
      <c r="Q237" s="5" t="s">
        <v>1300</v>
      </c>
      <c r="R237" s="151">
        <v>5</v>
      </c>
      <c r="S237" s="143"/>
    </row>
    <row r="238" spans="1:19" x14ac:dyDescent="0.25">
      <c r="A238" s="5" t="s">
        <v>2039</v>
      </c>
      <c r="B238" s="147">
        <v>45853</v>
      </c>
      <c r="C238" s="5" t="s">
        <v>2040</v>
      </c>
      <c r="D238" s="5" t="s">
        <v>2041</v>
      </c>
      <c r="E238" s="5" t="s">
        <v>1318</v>
      </c>
      <c r="F238" s="5" t="s">
        <v>1319</v>
      </c>
      <c r="G238" s="5" t="s">
        <v>1320</v>
      </c>
      <c r="H238" s="148">
        <v>2</v>
      </c>
      <c r="I238" s="149">
        <v>9572</v>
      </c>
      <c r="J238" s="150">
        <v>0</v>
      </c>
      <c r="K238" s="149">
        <v>19144</v>
      </c>
      <c r="L238" s="149">
        <v>5741.21</v>
      </c>
      <c r="M238" s="5" t="s">
        <v>1130</v>
      </c>
      <c r="N238" s="5" t="s">
        <v>1304</v>
      </c>
      <c r="O238" s="5" t="s">
        <v>1305</v>
      </c>
      <c r="P238" s="5" t="s">
        <v>1348</v>
      </c>
      <c r="Q238" s="5" t="s">
        <v>1204</v>
      </c>
      <c r="R238" s="151">
        <v>2</v>
      </c>
      <c r="S238" s="143"/>
    </row>
    <row r="239" spans="1:19" x14ac:dyDescent="0.25">
      <c r="A239" s="5" t="s">
        <v>2042</v>
      </c>
      <c r="B239" s="147">
        <v>45794</v>
      </c>
      <c r="C239" s="5" t="s">
        <v>2043</v>
      </c>
      <c r="D239" s="5" t="s">
        <v>2044</v>
      </c>
      <c r="E239" s="5" t="s">
        <v>1359</v>
      </c>
      <c r="F239" s="5" t="s">
        <v>1360</v>
      </c>
      <c r="G239" s="5" t="s">
        <v>1361</v>
      </c>
      <c r="H239" s="148">
        <v>2</v>
      </c>
      <c r="I239" s="149">
        <v>5614</v>
      </c>
      <c r="J239" s="150">
        <v>0.1</v>
      </c>
      <c r="K239" s="149">
        <v>10105.200000000001</v>
      </c>
      <c r="L239" s="149">
        <v>2374.0100000000002</v>
      </c>
      <c r="M239" s="5" t="s">
        <v>1381</v>
      </c>
      <c r="N239" s="5" t="s">
        <v>1321</v>
      </c>
      <c r="O239" s="5" t="s">
        <v>1322</v>
      </c>
      <c r="P239" s="5" t="s">
        <v>1299</v>
      </c>
      <c r="Q239" s="5" t="s">
        <v>1204</v>
      </c>
      <c r="R239" s="151">
        <v>4</v>
      </c>
      <c r="S239" s="143"/>
    </row>
    <row r="240" spans="1:19" x14ac:dyDescent="0.25">
      <c r="A240" s="5" t="s">
        <v>2045</v>
      </c>
      <c r="B240" s="147">
        <v>45670</v>
      </c>
      <c r="C240" s="5" t="s">
        <v>2046</v>
      </c>
      <c r="D240" s="5" t="s">
        <v>2047</v>
      </c>
      <c r="E240" s="5" t="s">
        <v>1331</v>
      </c>
      <c r="F240" s="5" t="s">
        <v>988</v>
      </c>
      <c r="G240" s="5" t="s">
        <v>1332</v>
      </c>
      <c r="H240" s="148">
        <v>5</v>
      </c>
      <c r="I240" s="149">
        <v>13012</v>
      </c>
      <c r="J240" s="150">
        <v>0.15</v>
      </c>
      <c r="K240" s="149">
        <v>55301</v>
      </c>
      <c r="L240" s="149">
        <v>12518.73</v>
      </c>
      <c r="M240" s="5" t="s">
        <v>1313</v>
      </c>
      <c r="N240" s="5" t="s">
        <v>1304</v>
      </c>
      <c r="O240" s="5" t="s">
        <v>1305</v>
      </c>
      <c r="P240" s="5" t="s">
        <v>1327</v>
      </c>
      <c r="Q240" s="5" t="s">
        <v>1184</v>
      </c>
      <c r="R240" s="151">
        <v>3</v>
      </c>
      <c r="S240" s="143"/>
    </row>
    <row r="241" spans="1:19" x14ac:dyDescent="0.25">
      <c r="A241" s="5" t="s">
        <v>2048</v>
      </c>
      <c r="B241" s="147">
        <v>46003</v>
      </c>
      <c r="C241" s="5" t="s">
        <v>2049</v>
      </c>
      <c r="D241" s="5" t="s">
        <v>2050</v>
      </c>
      <c r="E241" s="5" t="s">
        <v>1331</v>
      </c>
      <c r="F241" s="5" t="s">
        <v>988</v>
      </c>
      <c r="G241" s="5" t="s">
        <v>1332</v>
      </c>
      <c r="H241" s="148">
        <v>1</v>
      </c>
      <c r="I241" s="149">
        <v>13761</v>
      </c>
      <c r="J241" s="150">
        <v>0.15</v>
      </c>
      <c r="K241" s="149">
        <v>11696.85</v>
      </c>
      <c r="L241" s="149">
        <v>2305.79</v>
      </c>
      <c r="M241" s="5" t="s">
        <v>1313</v>
      </c>
      <c r="N241" s="5" t="s">
        <v>1362</v>
      </c>
      <c r="O241" s="5" t="s">
        <v>1363</v>
      </c>
      <c r="P241" s="5" t="s">
        <v>1323</v>
      </c>
      <c r="Q241" s="5" t="s">
        <v>1184</v>
      </c>
      <c r="R241" s="151">
        <v>2</v>
      </c>
      <c r="S241" s="143"/>
    </row>
    <row r="242" spans="1:19" x14ac:dyDescent="0.25">
      <c r="A242" s="5" t="s">
        <v>2051</v>
      </c>
      <c r="B242" s="147">
        <v>45732</v>
      </c>
      <c r="C242" s="5" t="s">
        <v>2052</v>
      </c>
      <c r="D242" s="5" t="s">
        <v>2053</v>
      </c>
      <c r="E242" s="5" t="s">
        <v>1318</v>
      </c>
      <c r="F242" s="5" t="s">
        <v>1319</v>
      </c>
      <c r="G242" s="5" t="s">
        <v>1320</v>
      </c>
      <c r="H242" s="148">
        <v>5</v>
      </c>
      <c r="I242" s="149">
        <v>11663</v>
      </c>
      <c r="J242" s="150">
        <v>0.2</v>
      </c>
      <c r="K242" s="149">
        <v>46652</v>
      </c>
      <c r="L242" s="149">
        <v>10796.68</v>
      </c>
      <c r="M242" s="5" t="s">
        <v>1126</v>
      </c>
      <c r="N242" s="5" t="s">
        <v>1304</v>
      </c>
      <c r="O242" s="5" t="s">
        <v>1305</v>
      </c>
      <c r="P242" s="5" t="s">
        <v>1314</v>
      </c>
      <c r="Q242" s="5" t="s">
        <v>1306</v>
      </c>
      <c r="R242" s="151">
        <v>3</v>
      </c>
      <c r="S242" s="143"/>
    </row>
    <row r="243" spans="1:19" x14ac:dyDescent="0.25">
      <c r="A243" s="5" t="s">
        <v>2054</v>
      </c>
      <c r="B243" s="147">
        <v>45781</v>
      </c>
      <c r="C243" s="5" t="s">
        <v>2055</v>
      </c>
      <c r="D243" s="5" t="s">
        <v>2056</v>
      </c>
      <c r="E243" s="5" t="s">
        <v>1370</v>
      </c>
      <c r="F243" s="5" t="s">
        <v>1160</v>
      </c>
      <c r="G243" s="5" t="s">
        <v>1371</v>
      </c>
      <c r="H243" s="148">
        <v>5</v>
      </c>
      <c r="I243" s="149">
        <v>10641</v>
      </c>
      <c r="J243" s="150">
        <v>0.2</v>
      </c>
      <c r="K243" s="149">
        <v>42564</v>
      </c>
      <c r="L243" s="149">
        <v>10366.870000000001</v>
      </c>
      <c r="M243" s="5" t="s">
        <v>1126</v>
      </c>
      <c r="N243" s="5" t="s">
        <v>1337</v>
      </c>
      <c r="O243" s="5" t="s">
        <v>1338</v>
      </c>
      <c r="P243" s="5" t="s">
        <v>1299</v>
      </c>
      <c r="Q243" s="5" t="s">
        <v>1300</v>
      </c>
      <c r="R243" s="151">
        <v>3</v>
      </c>
      <c r="S243" s="143"/>
    </row>
    <row r="244" spans="1:19" x14ac:dyDescent="0.25">
      <c r="A244" s="5" t="s">
        <v>2057</v>
      </c>
      <c r="B244" s="147">
        <v>45722</v>
      </c>
      <c r="C244" s="5" t="s">
        <v>2058</v>
      </c>
      <c r="D244" s="5" t="s">
        <v>2059</v>
      </c>
      <c r="E244" s="5" t="s">
        <v>1310</v>
      </c>
      <c r="F244" s="5" t="s">
        <v>1311</v>
      </c>
      <c r="G244" s="5" t="s">
        <v>1312</v>
      </c>
      <c r="H244" s="148">
        <v>3</v>
      </c>
      <c r="I244" s="149">
        <v>14404</v>
      </c>
      <c r="J244" s="150">
        <v>0</v>
      </c>
      <c r="K244" s="149">
        <v>43212</v>
      </c>
      <c r="L244" s="149">
        <v>4111.84</v>
      </c>
      <c r="M244" s="5" t="s">
        <v>1126</v>
      </c>
      <c r="N244" s="5" t="s">
        <v>1337</v>
      </c>
      <c r="O244" s="5" t="s">
        <v>1338</v>
      </c>
      <c r="P244" s="5" t="s">
        <v>1323</v>
      </c>
      <c r="Q244" s="5" t="s">
        <v>1306</v>
      </c>
      <c r="R244" s="151">
        <v>1</v>
      </c>
      <c r="S244" s="143"/>
    </row>
    <row r="245" spans="1:19" x14ac:dyDescent="0.25">
      <c r="A245" s="5" t="s">
        <v>2060</v>
      </c>
      <c r="B245" s="147">
        <v>45981</v>
      </c>
      <c r="C245" s="5" t="s">
        <v>2061</v>
      </c>
      <c r="D245" s="5" t="s">
        <v>2062</v>
      </c>
      <c r="E245" s="5" t="s">
        <v>1342</v>
      </c>
      <c r="F245" s="5" t="s">
        <v>988</v>
      </c>
      <c r="G245" s="5" t="s">
        <v>1343</v>
      </c>
      <c r="H245" s="148">
        <v>5</v>
      </c>
      <c r="I245" s="149">
        <v>11267</v>
      </c>
      <c r="J245" s="150">
        <v>0.05</v>
      </c>
      <c r="K245" s="149">
        <v>53518.25</v>
      </c>
      <c r="L245" s="149">
        <v>5760.39</v>
      </c>
      <c r="M245" s="5" t="s">
        <v>1344</v>
      </c>
      <c r="N245" s="5" t="s">
        <v>1321</v>
      </c>
      <c r="O245" s="5" t="s">
        <v>1322</v>
      </c>
      <c r="P245" s="5" t="s">
        <v>1323</v>
      </c>
      <c r="Q245" s="5" t="s">
        <v>1204</v>
      </c>
      <c r="R245" s="151">
        <v>5</v>
      </c>
      <c r="S245" s="143"/>
    </row>
    <row r="246" spans="1:19" x14ac:dyDescent="0.25">
      <c r="A246" s="5" t="s">
        <v>2063</v>
      </c>
      <c r="B246" s="147">
        <v>46017</v>
      </c>
      <c r="C246" s="5" t="s">
        <v>2064</v>
      </c>
      <c r="D246" s="5" t="s">
        <v>2065</v>
      </c>
      <c r="E246" s="5" t="s">
        <v>1359</v>
      </c>
      <c r="F246" s="5" t="s">
        <v>1360</v>
      </c>
      <c r="G246" s="5" t="s">
        <v>1361</v>
      </c>
      <c r="H246" s="148">
        <v>1</v>
      </c>
      <c r="I246" s="149">
        <v>14913</v>
      </c>
      <c r="J246" s="150">
        <v>0</v>
      </c>
      <c r="K246" s="149">
        <v>14913</v>
      </c>
      <c r="L246" s="149">
        <v>2862.61</v>
      </c>
      <c r="M246" s="5" t="s">
        <v>1126</v>
      </c>
      <c r="N246" s="5" t="s">
        <v>1321</v>
      </c>
      <c r="O246" s="5" t="s">
        <v>1322</v>
      </c>
      <c r="P246" s="5" t="s">
        <v>1323</v>
      </c>
      <c r="Q246" s="5" t="s">
        <v>1204</v>
      </c>
      <c r="R246" s="151">
        <v>3</v>
      </c>
      <c r="S246" s="143"/>
    </row>
    <row r="247" spans="1:19" x14ac:dyDescent="0.25">
      <c r="A247" s="5" t="s">
        <v>2066</v>
      </c>
      <c r="B247" s="147">
        <v>45990</v>
      </c>
      <c r="C247" s="5" t="s">
        <v>2067</v>
      </c>
      <c r="D247" s="5" t="s">
        <v>2068</v>
      </c>
      <c r="E247" s="5" t="s">
        <v>1295</v>
      </c>
      <c r="F247" s="5" t="s">
        <v>985</v>
      </c>
      <c r="G247" s="5" t="s">
        <v>1296</v>
      </c>
      <c r="H247" s="148">
        <v>4</v>
      </c>
      <c r="I247" s="149">
        <v>10823</v>
      </c>
      <c r="J247" s="150">
        <v>0.05</v>
      </c>
      <c r="K247" s="149">
        <v>41127.4</v>
      </c>
      <c r="L247" s="149">
        <v>9299.2800000000007</v>
      </c>
      <c r="M247" s="5" t="s">
        <v>1381</v>
      </c>
      <c r="N247" s="5" t="s">
        <v>1297</v>
      </c>
      <c r="O247" s="5" t="s">
        <v>1298</v>
      </c>
      <c r="P247" s="5" t="s">
        <v>1348</v>
      </c>
      <c r="Q247" s="5" t="s">
        <v>1306</v>
      </c>
      <c r="R247" s="151">
        <v>1</v>
      </c>
      <c r="S247" s="143"/>
    </row>
    <row r="248" spans="1:19" x14ac:dyDescent="0.25">
      <c r="A248" s="5" t="s">
        <v>2069</v>
      </c>
      <c r="B248" s="147">
        <v>45832</v>
      </c>
      <c r="C248" s="5" t="s">
        <v>2070</v>
      </c>
      <c r="D248" s="5" t="s">
        <v>2071</v>
      </c>
      <c r="E248" s="5" t="s">
        <v>1331</v>
      </c>
      <c r="F248" s="5" t="s">
        <v>988</v>
      </c>
      <c r="G248" s="5" t="s">
        <v>1332</v>
      </c>
      <c r="H248" s="148">
        <v>1</v>
      </c>
      <c r="I248" s="149">
        <v>13728</v>
      </c>
      <c r="J248" s="150">
        <v>0.2</v>
      </c>
      <c r="K248" s="149">
        <v>10982.4</v>
      </c>
      <c r="L248" s="149">
        <v>3242.33</v>
      </c>
      <c r="M248" s="5" t="s">
        <v>1344</v>
      </c>
      <c r="N248" s="5" t="s">
        <v>1297</v>
      </c>
      <c r="O248" s="5" t="s">
        <v>1298</v>
      </c>
      <c r="P248" s="5" t="s">
        <v>1327</v>
      </c>
      <c r="Q248" s="5" t="s">
        <v>1204</v>
      </c>
      <c r="R248" s="151">
        <v>5</v>
      </c>
      <c r="S248" s="143"/>
    </row>
    <row r="249" spans="1:19" x14ac:dyDescent="0.25">
      <c r="A249" s="5" t="s">
        <v>2072</v>
      </c>
      <c r="B249" s="147">
        <v>46011</v>
      </c>
      <c r="C249" s="5" t="s">
        <v>2073</v>
      </c>
      <c r="D249" s="5" t="s">
        <v>2074</v>
      </c>
      <c r="E249" s="5" t="s">
        <v>1359</v>
      </c>
      <c r="F249" s="5" t="s">
        <v>1360</v>
      </c>
      <c r="G249" s="5" t="s">
        <v>1361</v>
      </c>
      <c r="H249" s="148">
        <v>2</v>
      </c>
      <c r="I249" s="149">
        <v>6055</v>
      </c>
      <c r="J249" s="150">
        <v>0.2</v>
      </c>
      <c r="K249" s="149">
        <v>9688</v>
      </c>
      <c r="L249" s="149">
        <v>1176.2</v>
      </c>
      <c r="M249" s="5" t="s">
        <v>1130</v>
      </c>
      <c r="N249" s="5" t="s">
        <v>1304</v>
      </c>
      <c r="O249" s="5" t="s">
        <v>1305</v>
      </c>
      <c r="P249" s="5" t="s">
        <v>1327</v>
      </c>
      <c r="Q249" s="5" t="s">
        <v>1204</v>
      </c>
      <c r="R249" s="151">
        <v>3</v>
      </c>
      <c r="S249" s="143"/>
    </row>
    <row r="250" spans="1:19" x14ac:dyDescent="0.25">
      <c r="A250" s="5" t="s">
        <v>2075</v>
      </c>
      <c r="B250" s="147">
        <v>45738</v>
      </c>
      <c r="C250" s="5" t="s">
        <v>2076</v>
      </c>
      <c r="D250" s="5" t="s">
        <v>2077</v>
      </c>
      <c r="E250" s="5" t="s">
        <v>1310</v>
      </c>
      <c r="F250" s="5" t="s">
        <v>1311</v>
      </c>
      <c r="G250" s="5" t="s">
        <v>1312</v>
      </c>
      <c r="H250" s="148">
        <v>2</v>
      </c>
      <c r="I250" s="149">
        <v>14012</v>
      </c>
      <c r="J250" s="150">
        <v>0.05</v>
      </c>
      <c r="K250" s="149">
        <v>26622.799999999999</v>
      </c>
      <c r="L250" s="149">
        <v>5743.5</v>
      </c>
      <c r="M250" s="5" t="s">
        <v>1344</v>
      </c>
      <c r="N250" s="5" t="s">
        <v>1337</v>
      </c>
      <c r="O250" s="5" t="s">
        <v>1338</v>
      </c>
      <c r="P250" s="5" t="s">
        <v>1299</v>
      </c>
      <c r="Q250" s="5" t="s">
        <v>1204</v>
      </c>
      <c r="R250" s="151">
        <v>3</v>
      </c>
      <c r="S250" s="143"/>
    </row>
    <row r="251" spans="1:19" x14ac:dyDescent="0.25">
      <c r="A251" s="5" t="s">
        <v>2078</v>
      </c>
      <c r="B251" s="147">
        <v>45882</v>
      </c>
      <c r="C251" s="5" t="s">
        <v>2079</v>
      </c>
      <c r="D251" s="5" t="s">
        <v>2080</v>
      </c>
      <c r="E251" s="5" t="s">
        <v>1342</v>
      </c>
      <c r="F251" s="5" t="s">
        <v>988</v>
      </c>
      <c r="G251" s="5" t="s">
        <v>1343</v>
      </c>
      <c r="H251" s="148">
        <v>4</v>
      </c>
      <c r="I251" s="149">
        <v>10262</v>
      </c>
      <c r="J251" s="150">
        <v>0.05</v>
      </c>
      <c r="K251" s="149">
        <v>38995.599999999999</v>
      </c>
      <c r="L251" s="149">
        <v>3474.76</v>
      </c>
      <c r="M251" s="5" t="s">
        <v>1381</v>
      </c>
      <c r="N251" s="5" t="s">
        <v>1352</v>
      </c>
      <c r="O251" s="5" t="s">
        <v>1352</v>
      </c>
      <c r="P251" s="5" t="s">
        <v>1327</v>
      </c>
      <c r="Q251" s="5" t="s">
        <v>1306</v>
      </c>
      <c r="R251" s="151">
        <v>4</v>
      </c>
      <c r="S251" s="143"/>
    </row>
    <row r="252" spans="1:19" x14ac:dyDescent="0.25">
      <c r="A252" s="5" t="s">
        <v>2081</v>
      </c>
      <c r="B252" s="147">
        <v>45787</v>
      </c>
      <c r="C252" s="5" t="s">
        <v>2082</v>
      </c>
      <c r="D252" s="5" t="s">
        <v>2083</v>
      </c>
      <c r="E252" s="5" t="s">
        <v>1342</v>
      </c>
      <c r="F252" s="5" t="s">
        <v>988</v>
      </c>
      <c r="G252" s="5" t="s">
        <v>1343</v>
      </c>
      <c r="H252" s="148">
        <v>5</v>
      </c>
      <c r="I252" s="149">
        <v>9139</v>
      </c>
      <c r="J252" s="150">
        <v>0.05</v>
      </c>
      <c r="K252" s="149">
        <v>43410.25</v>
      </c>
      <c r="L252" s="149">
        <v>7633.96</v>
      </c>
      <c r="M252" s="5" t="s">
        <v>1130</v>
      </c>
      <c r="N252" s="5" t="s">
        <v>1304</v>
      </c>
      <c r="O252" s="5" t="s">
        <v>1305</v>
      </c>
      <c r="P252" s="5" t="s">
        <v>1299</v>
      </c>
      <c r="Q252" s="5" t="s">
        <v>1306</v>
      </c>
      <c r="R252" s="151">
        <v>1</v>
      </c>
      <c r="S252" s="143"/>
    </row>
    <row r="253" spans="1:19" x14ac:dyDescent="0.25">
      <c r="A253" s="5" t="s">
        <v>2084</v>
      </c>
      <c r="B253" s="147">
        <v>45836</v>
      </c>
      <c r="C253" s="5" t="s">
        <v>2085</v>
      </c>
      <c r="D253" s="5" t="s">
        <v>2086</v>
      </c>
      <c r="E253" s="5" t="s">
        <v>1310</v>
      </c>
      <c r="F253" s="5" t="s">
        <v>1311</v>
      </c>
      <c r="G253" s="5" t="s">
        <v>1312</v>
      </c>
      <c r="H253" s="148">
        <v>2</v>
      </c>
      <c r="I253" s="149">
        <v>12695</v>
      </c>
      <c r="J253" s="150">
        <v>0.2</v>
      </c>
      <c r="K253" s="149">
        <v>20312</v>
      </c>
      <c r="L253" s="149">
        <v>3407.99</v>
      </c>
      <c r="M253" s="5" t="s">
        <v>1313</v>
      </c>
      <c r="N253" s="5" t="s">
        <v>1337</v>
      </c>
      <c r="O253" s="5" t="s">
        <v>1338</v>
      </c>
      <c r="P253" s="5" t="s">
        <v>1348</v>
      </c>
      <c r="Q253" s="5" t="s">
        <v>1184</v>
      </c>
      <c r="R253" s="151">
        <v>1</v>
      </c>
      <c r="S253" s="143"/>
    </row>
    <row r="254" spans="1:19" x14ac:dyDescent="0.25">
      <c r="A254" s="5" t="s">
        <v>2087</v>
      </c>
      <c r="B254" s="147">
        <v>45994</v>
      </c>
      <c r="C254" s="5" t="s">
        <v>2088</v>
      </c>
      <c r="D254" s="5" t="s">
        <v>2089</v>
      </c>
      <c r="E254" s="5" t="s">
        <v>1342</v>
      </c>
      <c r="F254" s="5" t="s">
        <v>988</v>
      </c>
      <c r="G254" s="5" t="s">
        <v>1343</v>
      </c>
      <c r="H254" s="148">
        <v>1</v>
      </c>
      <c r="I254" s="149">
        <v>14080</v>
      </c>
      <c r="J254" s="150">
        <v>0.1</v>
      </c>
      <c r="K254" s="149">
        <v>12672</v>
      </c>
      <c r="L254" s="149">
        <v>2650.98</v>
      </c>
      <c r="M254" s="5" t="s">
        <v>1381</v>
      </c>
      <c r="N254" s="5" t="s">
        <v>1337</v>
      </c>
      <c r="O254" s="5" t="s">
        <v>1338</v>
      </c>
      <c r="P254" s="5" t="s">
        <v>1314</v>
      </c>
      <c r="Q254" s="5" t="s">
        <v>1204</v>
      </c>
      <c r="R254" s="151">
        <v>5</v>
      </c>
      <c r="S254" s="143"/>
    </row>
    <row r="255" spans="1:19" x14ac:dyDescent="0.25">
      <c r="A255" s="5" t="s">
        <v>2090</v>
      </c>
      <c r="B255" s="147">
        <v>45804</v>
      </c>
      <c r="C255" s="5" t="s">
        <v>2091</v>
      </c>
      <c r="D255" s="5" t="s">
        <v>2092</v>
      </c>
      <c r="E255" s="5" t="s">
        <v>1359</v>
      </c>
      <c r="F255" s="5" t="s">
        <v>1360</v>
      </c>
      <c r="G255" s="5" t="s">
        <v>1361</v>
      </c>
      <c r="H255" s="148">
        <v>2</v>
      </c>
      <c r="I255" s="149">
        <v>9226</v>
      </c>
      <c r="J255" s="150">
        <v>0</v>
      </c>
      <c r="K255" s="149">
        <v>18452</v>
      </c>
      <c r="L255" s="149">
        <v>5501.58</v>
      </c>
      <c r="M255" s="5" t="s">
        <v>1126</v>
      </c>
      <c r="N255" s="5" t="s">
        <v>1321</v>
      </c>
      <c r="O255" s="5" t="s">
        <v>1322</v>
      </c>
      <c r="P255" s="5" t="s">
        <v>1323</v>
      </c>
      <c r="Q255" s="5" t="s">
        <v>1204</v>
      </c>
      <c r="R255" s="151">
        <v>1</v>
      </c>
      <c r="S255" s="143"/>
    </row>
    <row r="256" spans="1:19" x14ac:dyDescent="0.25">
      <c r="A256" s="5" t="s">
        <v>2093</v>
      </c>
      <c r="B256" s="147">
        <v>45974</v>
      </c>
      <c r="C256" s="5" t="s">
        <v>2094</v>
      </c>
      <c r="D256" s="5" t="s">
        <v>2095</v>
      </c>
      <c r="E256" s="5" t="s">
        <v>1195</v>
      </c>
      <c r="F256" s="5" t="s">
        <v>988</v>
      </c>
      <c r="G256" s="5" t="s">
        <v>1336</v>
      </c>
      <c r="H256" s="148">
        <v>5</v>
      </c>
      <c r="I256" s="149">
        <v>1650</v>
      </c>
      <c r="J256" s="150">
        <v>0.1</v>
      </c>
      <c r="K256" s="149">
        <v>7425</v>
      </c>
      <c r="L256" s="149">
        <v>2183.4499999999998</v>
      </c>
      <c r="M256" s="5" t="s">
        <v>1344</v>
      </c>
      <c r="N256" s="5" t="s">
        <v>1321</v>
      </c>
      <c r="O256" s="5" t="s">
        <v>1322</v>
      </c>
      <c r="P256" s="5" t="s">
        <v>1323</v>
      </c>
      <c r="Q256" s="5" t="s">
        <v>1306</v>
      </c>
      <c r="R256" s="151">
        <v>3</v>
      </c>
      <c r="S256" s="143"/>
    </row>
    <row r="257" spans="1:19" x14ac:dyDescent="0.25">
      <c r="A257" s="5" t="s">
        <v>2096</v>
      </c>
      <c r="B257" s="147">
        <v>45856</v>
      </c>
      <c r="C257" s="5" t="s">
        <v>2097</v>
      </c>
      <c r="D257" s="5" t="s">
        <v>2098</v>
      </c>
      <c r="E257" s="5" t="s">
        <v>1331</v>
      </c>
      <c r="F257" s="5" t="s">
        <v>988</v>
      </c>
      <c r="G257" s="5" t="s">
        <v>1332</v>
      </c>
      <c r="H257" s="148">
        <v>4</v>
      </c>
      <c r="I257" s="149">
        <v>5443</v>
      </c>
      <c r="J257" s="150">
        <v>0.1</v>
      </c>
      <c r="K257" s="149">
        <v>19594.8</v>
      </c>
      <c r="L257" s="149">
        <v>4395.0600000000004</v>
      </c>
      <c r="M257" s="5" t="s">
        <v>1126</v>
      </c>
      <c r="N257" s="5" t="s">
        <v>1362</v>
      </c>
      <c r="O257" s="5" t="s">
        <v>1363</v>
      </c>
      <c r="P257" s="5" t="s">
        <v>1299</v>
      </c>
      <c r="Q257" s="5" t="s">
        <v>1184</v>
      </c>
      <c r="R257" s="151">
        <v>3</v>
      </c>
      <c r="S257" s="143"/>
    </row>
    <row r="258" spans="1:19" x14ac:dyDescent="0.25">
      <c r="A258" s="5" t="s">
        <v>2099</v>
      </c>
      <c r="B258" s="147">
        <v>45726</v>
      </c>
      <c r="C258" s="5" t="s">
        <v>2100</v>
      </c>
      <c r="D258" s="5" t="s">
        <v>2101</v>
      </c>
      <c r="E258" s="5" t="s">
        <v>1195</v>
      </c>
      <c r="F258" s="5" t="s">
        <v>988</v>
      </c>
      <c r="G258" s="5" t="s">
        <v>1336</v>
      </c>
      <c r="H258" s="148">
        <v>1</v>
      </c>
      <c r="I258" s="149">
        <v>9080</v>
      </c>
      <c r="J258" s="150">
        <v>0.05</v>
      </c>
      <c r="K258" s="149">
        <v>8626</v>
      </c>
      <c r="L258" s="149">
        <v>1300.04</v>
      </c>
      <c r="M258" s="5" t="s">
        <v>1381</v>
      </c>
      <c r="N258" s="5" t="s">
        <v>1297</v>
      </c>
      <c r="O258" s="5" t="s">
        <v>1298</v>
      </c>
      <c r="P258" s="5" t="s">
        <v>1348</v>
      </c>
      <c r="Q258" s="5" t="s">
        <v>1300</v>
      </c>
      <c r="R258" s="151">
        <v>3</v>
      </c>
      <c r="S258" s="143"/>
    </row>
    <row r="259" spans="1:19" x14ac:dyDescent="0.25">
      <c r="A259" s="5" t="s">
        <v>2102</v>
      </c>
      <c r="B259" s="147">
        <v>45882</v>
      </c>
      <c r="C259" s="5" t="s">
        <v>2103</v>
      </c>
      <c r="D259" s="5" t="s">
        <v>2104</v>
      </c>
      <c r="E259" s="5" t="s">
        <v>1318</v>
      </c>
      <c r="F259" s="5" t="s">
        <v>1319</v>
      </c>
      <c r="G259" s="5" t="s">
        <v>1320</v>
      </c>
      <c r="H259" s="148">
        <v>2</v>
      </c>
      <c r="I259" s="149">
        <v>714</v>
      </c>
      <c r="J259" s="150">
        <v>0.15</v>
      </c>
      <c r="K259" s="149">
        <v>1213.8</v>
      </c>
      <c r="L259" s="149">
        <v>354.39</v>
      </c>
      <c r="M259" s="5" t="s">
        <v>1313</v>
      </c>
      <c r="N259" s="5" t="s">
        <v>1362</v>
      </c>
      <c r="O259" s="5" t="s">
        <v>1363</v>
      </c>
      <c r="P259" s="5" t="s">
        <v>1323</v>
      </c>
      <c r="Q259" s="5" t="s">
        <v>1300</v>
      </c>
      <c r="R259" s="151">
        <v>2</v>
      </c>
      <c r="S259" s="143"/>
    </row>
    <row r="260" spans="1:19" x14ac:dyDescent="0.25">
      <c r="A260" s="5" t="s">
        <v>2105</v>
      </c>
      <c r="B260" s="147">
        <v>45997</v>
      </c>
      <c r="C260" s="5" t="s">
        <v>2106</v>
      </c>
      <c r="D260" s="5" t="s">
        <v>2107</v>
      </c>
      <c r="E260" s="5" t="s">
        <v>1318</v>
      </c>
      <c r="F260" s="5" t="s">
        <v>1319</v>
      </c>
      <c r="G260" s="5" t="s">
        <v>1320</v>
      </c>
      <c r="H260" s="148">
        <v>2</v>
      </c>
      <c r="I260" s="149">
        <v>5261</v>
      </c>
      <c r="J260" s="150">
        <v>0.15</v>
      </c>
      <c r="K260" s="149">
        <v>8943.7000000000007</v>
      </c>
      <c r="L260" s="149">
        <v>2113.6</v>
      </c>
      <c r="M260" s="5" t="s">
        <v>1126</v>
      </c>
      <c r="N260" s="5" t="s">
        <v>1321</v>
      </c>
      <c r="O260" s="5" t="s">
        <v>1322</v>
      </c>
      <c r="P260" s="5" t="s">
        <v>1314</v>
      </c>
      <c r="Q260" s="5" t="s">
        <v>1204</v>
      </c>
      <c r="R260" s="151">
        <v>5</v>
      </c>
      <c r="S260" s="143"/>
    </row>
    <row r="261" spans="1:19" x14ac:dyDescent="0.25">
      <c r="A261" s="5" t="s">
        <v>2108</v>
      </c>
      <c r="B261" s="147">
        <v>45746</v>
      </c>
      <c r="C261" s="5" t="s">
        <v>2109</v>
      </c>
      <c r="D261" s="5" t="s">
        <v>2110</v>
      </c>
      <c r="E261" s="5" t="s">
        <v>1295</v>
      </c>
      <c r="F261" s="5" t="s">
        <v>985</v>
      </c>
      <c r="G261" s="5" t="s">
        <v>1296</v>
      </c>
      <c r="H261" s="148">
        <v>5</v>
      </c>
      <c r="I261" s="149">
        <v>13457</v>
      </c>
      <c r="J261" s="150">
        <v>0.15</v>
      </c>
      <c r="K261" s="149">
        <v>57192.25</v>
      </c>
      <c r="L261" s="149">
        <v>9954.7800000000007</v>
      </c>
      <c r="M261" s="5" t="s">
        <v>1313</v>
      </c>
      <c r="N261" s="5" t="s">
        <v>1321</v>
      </c>
      <c r="O261" s="5" t="s">
        <v>1322</v>
      </c>
      <c r="P261" s="5" t="s">
        <v>1323</v>
      </c>
      <c r="Q261" s="5" t="s">
        <v>1204</v>
      </c>
      <c r="R261" s="151">
        <v>5</v>
      </c>
      <c r="S261" s="143"/>
    </row>
    <row r="262" spans="1:19" x14ac:dyDescent="0.25">
      <c r="A262" s="5" t="s">
        <v>2111</v>
      </c>
      <c r="B262" s="147">
        <v>45867</v>
      </c>
      <c r="C262" s="5" t="s">
        <v>2112</v>
      </c>
      <c r="D262" s="5" t="s">
        <v>2113</v>
      </c>
      <c r="E262" s="5" t="s">
        <v>1195</v>
      </c>
      <c r="F262" s="5" t="s">
        <v>988</v>
      </c>
      <c r="G262" s="5" t="s">
        <v>1336</v>
      </c>
      <c r="H262" s="148">
        <v>3</v>
      </c>
      <c r="I262" s="149">
        <v>14965</v>
      </c>
      <c r="J262" s="150">
        <v>0.05</v>
      </c>
      <c r="K262" s="149">
        <v>42650.25</v>
      </c>
      <c r="L262" s="149">
        <v>10422.41</v>
      </c>
      <c r="M262" s="5" t="s">
        <v>1381</v>
      </c>
      <c r="N262" s="5" t="s">
        <v>1297</v>
      </c>
      <c r="O262" s="5" t="s">
        <v>1298</v>
      </c>
      <c r="P262" s="5" t="s">
        <v>1323</v>
      </c>
      <c r="Q262" s="5" t="s">
        <v>1300</v>
      </c>
      <c r="R262" s="151">
        <v>5</v>
      </c>
      <c r="S262" s="143"/>
    </row>
    <row r="263" spans="1:19" x14ac:dyDescent="0.25">
      <c r="A263" s="5" t="s">
        <v>2114</v>
      </c>
      <c r="B263" s="147">
        <v>45910</v>
      </c>
      <c r="C263" s="5" t="s">
        <v>2115</v>
      </c>
      <c r="D263" s="5" t="s">
        <v>2116</v>
      </c>
      <c r="E263" s="5" t="s">
        <v>1359</v>
      </c>
      <c r="F263" s="5" t="s">
        <v>1360</v>
      </c>
      <c r="G263" s="5" t="s">
        <v>1361</v>
      </c>
      <c r="H263" s="148">
        <v>4</v>
      </c>
      <c r="I263" s="149">
        <v>12504</v>
      </c>
      <c r="J263" s="150">
        <v>0</v>
      </c>
      <c r="K263" s="149">
        <v>50016</v>
      </c>
      <c r="L263" s="149">
        <v>6028.28</v>
      </c>
      <c r="M263" s="5" t="s">
        <v>1381</v>
      </c>
      <c r="N263" s="5" t="s">
        <v>1321</v>
      </c>
      <c r="O263" s="5" t="s">
        <v>1322</v>
      </c>
      <c r="P263" s="5" t="s">
        <v>1348</v>
      </c>
      <c r="Q263" s="5" t="s">
        <v>1300</v>
      </c>
      <c r="R263" s="151">
        <v>1</v>
      </c>
      <c r="S263" s="143"/>
    </row>
    <row r="264" spans="1:19" x14ac:dyDescent="0.25">
      <c r="A264" s="5" t="s">
        <v>2117</v>
      </c>
      <c r="B264" s="147">
        <v>45819</v>
      </c>
      <c r="C264" s="5" t="s">
        <v>2118</v>
      </c>
      <c r="D264" s="5" t="s">
        <v>2119</v>
      </c>
      <c r="E264" s="5" t="s">
        <v>1342</v>
      </c>
      <c r="F264" s="5" t="s">
        <v>988</v>
      </c>
      <c r="G264" s="5" t="s">
        <v>1343</v>
      </c>
      <c r="H264" s="148">
        <v>4</v>
      </c>
      <c r="I264" s="149">
        <v>13312</v>
      </c>
      <c r="J264" s="150">
        <v>0</v>
      </c>
      <c r="K264" s="149">
        <v>53248</v>
      </c>
      <c r="L264" s="149">
        <v>11591.84</v>
      </c>
      <c r="M264" s="5" t="s">
        <v>1313</v>
      </c>
      <c r="N264" s="5" t="s">
        <v>1362</v>
      </c>
      <c r="O264" s="5" t="s">
        <v>1363</v>
      </c>
      <c r="P264" s="5" t="s">
        <v>1327</v>
      </c>
      <c r="Q264" s="5" t="s">
        <v>1300</v>
      </c>
      <c r="R264" s="151">
        <v>2</v>
      </c>
      <c r="S264" s="143"/>
    </row>
    <row r="265" spans="1:19" x14ac:dyDescent="0.25">
      <c r="A265" s="5" t="s">
        <v>2120</v>
      </c>
      <c r="B265" s="147">
        <v>45770</v>
      </c>
      <c r="C265" s="5" t="s">
        <v>2121</v>
      </c>
      <c r="D265" s="5" t="s">
        <v>2122</v>
      </c>
      <c r="E265" s="5" t="s">
        <v>1295</v>
      </c>
      <c r="F265" s="5" t="s">
        <v>985</v>
      </c>
      <c r="G265" s="5" t="s">
        <v>1296</v>
      </c>
      <c r="H265" s="148">
        <v>3</v>
      </c>
      <c r="I265" s="149">
        <v>7945</v>
      </c>
      <c r="J265" s="150">
        <v>0.05</v>
      </c>
      <c r="K265" s="149">
        <v>22643.25</v>
      </c>
      <c r="L265" s="149">
        <v>2967.19</v>
      </c>
      <c r="M265" s="5" t="s">
        <v>1381</v>
      </c>
      <c r="N265" s="5" t="s">
        <v>1304</v>
      </c>
      <c r="O265" s="5" t="s">
        <v>1305</v>
      </c>
      <c r="P265" s="5" t="s">
        <v>1327</v>
      </c>
      <c r="Q265" s="5" t="s">
        <v>1184</v>
      </c>
      <c r="R265" s="151">
        <v>1</v>
      </c>
      <c r="S265" s="143"/>
    </row>
    <row r="266" spans="1:19" x14ac:dyDescent="0.25">
      <c r="A266" s="5" t="s">
        <v>2123</v>
      </c>
      <c r="B266" s="147">
        <v>45961</v>
      </c>
      <c r="C266" s="5" t="s">
        <v>2124</v>
      </c>
      <c r="D266" s="5" t="s">
        <v>2125</v>
      </c>
      <c r="E266" s="5" t="s">
        <v>1295</v>
      </c>
      <c r="F266" s="5" t="s">
        <v>985</v>
      </c>
      <c r="G266" s="5" t="s">
        <v>1296</v>
      </c>
      <c r="H266" s="148">
        <v>3</v>
      </c>
      <c r="I266" s="149">
        <v>10595</v>
      </c>
      <c r="J266" s="150">
        <v>0.1</v>
      </c>
      <c r="K266" s="149">
        <v>28606.5</v>
      </c>
      <c r="L266" s="149">
        <v>7886.58</v>
      </c>
      <c r="M266" s="5" t="s">
        <v>1381</v>
      </c>
      <c r="N266" s="5" t="s">
        <v>1321</v>
      </c>
      <c r="O266" s="5" t="s">
        <v>1322</v>
      </c>
      <c r="P266" s="5" t="s">
        <v>1348</v>
      </c>
      <c r="Q266" s="5" t="s">
        <v>1306</v>
      </c>
      <c r="R266" s="151">
        <v>1</v>
      </c>
      <c r="S266" s="143"/>
    </row>
    <row r="267" spans="1:19" x14ac:dyDescent="0.25">
      <c r="A267" s="5" t="s">
        <v>2126</v>
      </c>
      <c r="B267" s="147">
        <v>45871</v>
      </c>
      <c r="C267" s="5" t="s">
        <v>2127</v>
      </c>
      <c r="D267" s="5" t="s">
        <v>2128</v>
      </c>
      <c r="E267" s="5" t="s">
        <v>1359</v>
      </c>
      <c r="F267" s="5" t="s">
        <v>1360</v>
      </c>
      <c r="G267" s="5" t="s">
        <v>1361</v>
      </c>
      <c r="H267" s="148">
        <v>3</v>
      </c>
      <c r="I267" s="149">
        <v>6901</v>
      </c>
      <c r="J267" s="150">
        <v>0</v>
      </c>
      <c r="K267" s="149">
        <v>20703</v>
      </c>
      <c r="L267" s="149">
        <v>2619.6799999999998</v>
      </c>
      <c r="M267" s="5" t="s">
        <v>1313</v>
      </c>
      <c r="N267" s="5" t="s">
        <v>1352</v>
      </c>
      <c r="O267" s="5" t="s">
        <v>1352</v>
      </c>
      <c r="P267" s="5" t="s">
        <v>1348</v>
      </c>
      <c r="Q267" s="5" t="s">
        <v>1306</v>
      </c>
      <c r="R267" s="151">
        <v>5</v>
      </c>
      <c r="S267" s="143"/>
    </row>
    <row r="268" spans="1:19" x14ac:dyDescent="0.25">
      <c r="A268" s="5" t="s">
        <v>2129</v>
      </c>
      <c r="B268" s="147">
        <v>45763</v>
      </c>
      <c r="C268" s="5" t="s">
        <v>2130</v>
      </c>
      <c r="D268" s="5" t="s">
        <v>2131</v>
      </c>
      <c r="E268" s="5" t="s">
        <v>1331</v>
      </c>
      <c r="F268" s="5" t="s">
        <v>988</v>
      </c>
      <c r="G268" s="5" t="s">
        <v>1332</v>
      </c>
      <c r="H268" s="148">
        <v>3</v>
      </c>
      <c r="I268" s="149">
        <v>4322</v>
      </c>
      <c r="J268" s="150">
        <v>0.2</v>
      </c>
      <c r="K268" s="149">
        <v>10372.799999999999</v>
      </c>
      <c r="L268" s="149">
        <v>2890.39</v>
      </c>
      <c r="M268" s="5" t="s">
        <v>1126</v>
      </c>
      <c r="N268" s="5" t="s">
        <v>1304</v>
      </c>
      <c r="O268" s="5" t="s">
        <v>1305</v>
      </c>
      <c r="P268" s="5" t="s">
        <v>1323</v>
      </c>
      <c r="Q268" s="5" t="s">
        <v>1204</v>
      </c>
      <c r="R268" s="151">
        <v>1</v>
      </c>
      <c r="S268" s="143"/>
    </row>
    <row r="269" spans="1:19" x14ac:dyDescent="0.25">
      <c r="A269" s="5" t="s">
        <v>2132</v>
      </c>
      <c r="B269" s="147">
        <v>45747</v>
      </c>
      <c r="C269" s="5" t="s">
        <v>2133</v>
      </c>
      <c r="D269" s="5" t="s">
        <v>2134</v>
      </c>
      <c r="E269" s="5" t="s">
        <v>1318</v>
      </c>
      <c r="F269" s="5" t="s">
        <v>1319</v>
      </c>
      <c r="G269" s="5" t="s">
        <v>1320</v>
      </c>
      <c r="H269" s="148">
        <v>5</v>
      </c>
      <c r="I269" s="149">
        <v>7839</v>
      </c>
      <c r="J269" s="150">
        <v>0.1</v>
      </c>
      <c r="K269" s="149">
        <v>35275.5</v>
      </c>
      <c r="L269" s="149">
        <v>7670.27</v>
      </c>
      <c r="M269" s="5" t="s">
        <v>1381</v>
      </c>
      <c r="N269" s="5" t="s">
        <v>1362</v>
      </c>
      <c r="O269" s="5" t="s">
        <v>1363</v>
      </c>
      <c r="P269" s="5" t="s">
        <v>1299</v>
      </c>
      <c r="Q269" s="5" t="s">
        <v>1204</v>
      </c>
      <c r="R269" s="151">
        <v>1</v>
      </c>
      <c r="S269" s="143"/>
    </row>
    <row r="270" spans="1:19" x14ac:dyDescent="0.25">
      <c r="A270" s="5" t="s">
        <v>2135</v>
      </c>
      <c r="B270" s="147">
        <v>45677</v>
      </c>
      <c r="C270" s="5" t="s">
        <v>2136</v>
      </c>
      <c r="D270" s="5" t="s">
        <v>2137</v>
      </c>
      <c r="E270" s="5" t="s">
        <v>1342</v>
      </c>
      <c r="F270" s="5" t="s">
        <v>988</v>
      </c>
      <c r="G270" s="5" t="s">
        <v>1343</v>
      </c>
      <c r="H270" s="148">
        <v>3</v>
      </c>
      <c r="I270" s="149">
        <v>5209</v>
      </c>
      <c r="J270" s="150">
        <v>0.1</v>
      </c>
      <c r="K270" s="149">
        <v>14064.3</v>
      </c>
      <c r="L270" s="149">
        <v>2567.3200000000002</v>
      </c>
      <c r="M270" s="5" t="s">
        <v>1381</v>
      </c>
      <c r="N270" s="5" t="s">
        <v>1304</v>
      </c>
      <c r="O270" s="5" t="s">
        <v>1305</v>
      </c>
      <c r="P270" s="5" t="s">
        <v>1348</v>
      </c>
      <c r="Q270" s="5" t="s">
        <v>1204</v>
      </c>
      <c r="R270" s="151">
        <v>3</v>
      </c>
      <c r="S270" s="143"/>
    </row>
    <row r="271" spans="1:19" x14ac:dyDescent="0.25">
      <c r="A271" s="5" t="s">
        <v>2138</v>
      </c>
      <c r="B271" s="147">
        <v>45960</v>
      </c>
      <c r="C271" s="5" t="s">
        <v>2139</v>
      </c>
      <c r="D271" s="5" t="s">
        <v>2140</v>
      </c>
      <c r="E271" s="5" t="s">
        <v>1310</v>
      </c>
      <c r="F271" s="5" t="s">
        <v>1311</v>
      </c>
      <c r="G271" s="5" t="s">
        <v>1312</v>
      </c>
      <c r="H271" s="148">
        <v>2</v>
      </c>
      <c r="I271" s="149">
        <v>10260</v>
      </c>
      <c r="J271" s="150">
        <v>0.15</v>
      </c>
      <c r="K271" s="149">
        <v>17442</v>
      </c>
      <c r="L271" s="149">
        <v>3995.11</v>
      </c>
      <c r="M271" s="5" t="s">
        <v>1126</v>
      </c>
      <c r="N271" s="5" t="s">
        <v>1337</v>
      </c>
      <c r="O271" s="5" t="s">
        <v>1338</v>
      </c>
      <c r="P271" s="5" t="s">
        <v>1299</v>
      </c>
      <c r="Q271" s="5" t="s">
        <v>1300</v>
      </c>
      <c r="R271" s="151">
        <v>2</v>
      </c>
      <c r="S271" s="143"/>
    </row>
    <row r="272" spans="1:19" x14ac:dyDescent="0.25">
      <c r="A272" s="5" t="s">
        <v>2141</v>
      </c>
      <c r="B272" s="147">
        <v>45689</v>
      </c>
      <c r="C272" s="5" t="s">
        <v>2142</v>
      </c>
      <c r="D272" s="5" t="s">
        <v>2143</v>
      </c>
      <c r="E272" s="5" t="s">
        <v>1331</v>
      </c>
      <c r="F272" s="5" t="s">
        <v>988</v>
      </c>
      <c r="G272" s="5" t="s">
        <v>1332</v>
      </c>
      <c r="H272" s="148">
        <v>1</v>
      </c>
      <c r="I272" s="149">
        <v>7722</v>
      </c>
      <c r="J272" s="150">
        <v>0.05</v>
      </c>
      <c r="K272" s="149">
        <v>7335.9</v>
      </c>
      <c r="L272" s="149">
        <v>1346.7</v>
      </c>
      <c r="M272" s="5" t="s">
        <v>1130</v>
      </c>
      <c r="N272" s="5" t="s">
        <v>1352</v>
      </c>
      <c r="O272" s="5" t="s">
        <v>1352</v>
      </c>
      <c r="P272" s="5" t="s">
        <v>1327</v>
      </c>
      <c r="Q272" s="5" t="s">
        <v>1306</v>
      </c>
      <c r="R272" s="151">
        <v>2</v>
      </c>
      <c r="S272" s="143"/>
    </row>
    <row r="273" spans="1:19" x14ac:dyDescent="0.25">
      <c r="A273" s="5" t="s">
        <v>2144</v>
      </c>
      <c r="B273" s="147">
        <v>45987</v>
      </c>
      <c r="C273" s="5" t="s">
        <v>2145</v>
      </c>
      <c r="D273" s="5" t="s">
        <v>2146</v>
      </c>
      <c r="E273" s="5" t="s">
        <v>1310</v>
      </c>
      <c r="F273" s="5" t="s">
        <v>1311</v>
      </c>
      <c r="G273" s="5" t="s">
        <v>1312</v>
      </c>
      <c r="H273" s="148">
        <v>5</v>
      </c>
      <c r="I273" s="149">
        <v>5882</v>
      </c>
      <c r="J273" s="150">
        <v>0.05</v>
      </c>
      <c r="K273" s="149">
        <v>27939.5</v>
      </c>
      <c r="L273" s="149">
        <v>7373.45</v>
      </c>
      <c r="M273" s="5" t="s">
        <v>1381</v>
      </c>
      <c r="N273" s="5" t="s">
        <v>1352</v>
      </c>
      <c r="O273" s="5" t="s">
        <v>1352</v>
      </c>
      <c r="P273" s="5" t="s">
        <v>1323</v>
      </c>
      <c r="Q273" s="5" t="s">
        <v>1184</v>
      </c>
      <c r="R273" s="151">
        <v>2</v>
      </c>
      <c r="S273" s="143"/>
    </row>
    <row r="274" spans="1:19" x14ac:dyDescent="0.25">
      <c r="A274" s="5" t="s">
        <v>2147</v>
      </c>
      <c r="B274" s="147">
        <v>45926</v>
      </c>
      <c r="C274" s="5" t="s">
        <v>2148</v>
      </c>
      <c r="D274" s="5" t="s">
        <v>2149</v>
      </c>
      <c r="E274" s="5" t="s">
        <v>1295</v>
      </c>
      <c r="F274" s="5" t="s">
        <v>985</v>
      </c>
      <c r="G274" s="5" t="s">
        <v>1296</v>
      </c>
      <c r="H274" s="148">
        <v>4</v>
      </c>
      <c r="I274" s="149">
        <v>10301</v>
      </c>
      <c r="J274" s="150">
        <v>0.05</v>
      </c>
      <c r="K274" s="149">
        <v>39143.800000000003</v>
      </c>
      <c r="L274" s="149">
        <v>3607.98</v>
      </c>
      <c r="M274" s="5" t="s">
        <v>1381</v>
      </c>
      <c r="N274" s="5" t="s">
        <v>1362</v>
      </c>
      <c r="O274" s="5" t="s">
        <v>1363</v>
      </c>
      <c r="P274" s="5" t="s">
        <v>1327</v>
      </c>
      <c r="Q274" s="5" t="s">
        <v>1300</v>
      </c>
      <c r="R274" s="151">
        <v>5</v>
      </c>
      <c r="S274" s="143"/>
    </row>
    <row r="275" spans="1:19" x14ac:dyDescent="0.25">
      <c r="A275" s="5" t="s">
        <v>2150</v>
      </c>
      <c r="B275" s="147">
        <v>45796</v>
      </c>
      <c r="C275" s="5" t="s">
        <v>2151</v>
      </c>
      <c r="D275" s="5" t="s">
        <v>2152</v>
      </c>
      <c r="E275" s="5" t="s">
        <v>1359</v>
      </c>
      <c r="F275" s="5" t="s">
        <v>1360</v>
      </c>
      <c r="G275" s="5" t="s">
        <v>1361</v>
      </c>
      <c r="H275" s="148">
        <v>2</v>
      </c>
      <c r="I275" s="149">
        <v>4087</v>
      </c>
      <c r="J275" s="150">
        <v>0</v>
      </c>
      <c r="K275" s="149">
        <v>8174</v>
      </c>
      <c r="L275" s="149">
        <v>1323.92</v>
      </c>
      <c r="M275" s="5" t="s">
        <v>1130</v>
      </c>
      <c r="N275" s="5" t="s">
        <v>1297</v>
      </c>
      <c r="O275" s="5" t="s">
        <v>1298</v>
      </c>
      <c r="P275" s="5" t="s">
        <v>1348</v>
      </c>
      <c r="Q275" s="5" t="s">
        <v>1184</v>
      </c>
      <c r="R275" s="151">
        <v>2</v>
      </c>
      <c r="S275" s="143"/>
    </row>
    <row r="276" spans="1:19" x14ac:dyDescent="0.25">
      <c r="A276" s="5" t="s">
        <v>2153</v>
      </c>
      <c r="B276" s="147">
        <v>45800</v>
      </c>
      <c r="C276" s="5" t="s">
        <v>2154</v>
      </c>
      <c r="D276" s="5" t="s">
        <v>2155</v>
      </c>
      <c r="E276" s="5" t="s">
        <v>1331</v>
      </c>
      <c r="F276" s="5" t="s">
        <v>988</v>
      </c>
      <c r="G276" s="5" t="s">
        <v>1332</v>
      </c>
      <c r="H276" s="148">
        <v>3</v>
      </c>
      <c r="I276" s="149">
        <v>2771</v>
      </c>
      <c r="J276" s="150">
        <v>0.1</v>
      </c>
      <c r="K276" s="149">
        <v>7481.7</v>
      </c>
      <c r="L276" s="149">
        <v>703.37</v>
      </c>
      <c r="M276" s="5" t="s">
        <v>1130</v>
      </c>
      <c r="N276" s="5" t="s">
        <v>1362</v>
      </c>
      <c r="O276" s="5" t="s">
        <v>1363</v>
      </c>
      <c r="P276" s="5" t="s">
        <v>1327</v>
      </c>
      <c r="Q276" s="5" t="s">
        <v>1184</v>
      </c>
      <c r="R276" s="151">
        <v>1</v>
      </c>
      <c r="S276" s="143"/>
    </row>
    <row r="277" spans="1:19" x14ac:dyDescent="0.25">
      <c r="A277" s="5" t="s">
        <v>2156</v>
      </c>
      <c r="B277" s="147">
        <v>45803</v>
      </c>
      <c r="C277" s="5" t="s">
        <v>2157</v>
      </c>
      <c r="D277" s="5" t="s">
        <v>2158</v>
      </c>
      <c r="E277" s="5" t="s">
        <v>1195</v>
      </c>
      <c r="F277" s="5" t="s">
        <v>988</v>
      </c>
      <c r="G277" s="5" t="s">
        <v>1336</v>
      </c>
      <c r="H277" s="148">
        <v>2</v>
      </c>
      <c r="I277" s="149">
        <v>4019</v>
      </c>
      <c r="J277" s="150">
        <v>0.1</v>
      </c>
      <c r="K277" s="149">
        <v>7234.2</v>
      </c>
      <c r="L277" s="149">
        <v>1098.18</v>
      </c>
      <c r="M277" s="5" t="s">
        <v>1344</v>
      </c>
      <c r="N277" s="5" t="s">
        <v>1321</v>
      </c>
      <c r="O277" s="5" t="s">
        <v>1322</v>
      </c>
      <c r="P277" s="5" t="s">
        <v>1323</v>
      </c>
      <c r="Q277" s="5" t="s">
        <v>1300</v>
      </c>
      <c r="R277" s="151">
        <v>1</v>
      </c>
      <c r="S277" s="143"/>
    </row>
    <row r="278" spans="1:19" x14ac:dyDescent="0.25">
      <c r="A278" s="5" t="s">
        <v>2159</v>
      </c>
      <c r="B278" s="147">
        <v>45832</v>
      </c>
      <c r="C278" s="5" t="s">
        <v>2160</v>
      </c>
      <c r="D278" s="5" t="s">
        <v>2161</v>
      </c>
      <c r="E278" s="5" t="s">
        <v>1331</v>
      </c>
      <c r="F278" s="5" t="s">
        <v>988</v>
      </c>
      <c r="G278" s="5" t="s">
        <v>1332</v>
      </c>
      <c r="H278" s="148">
        <v>4</v>
      </c>
      <c r="I278" s="149">
        <v>5816</v>
      </c>
      <c r="J278" s="150">
        <v>0.15</v>
      </c>
      <c r="K278" s="149">
        <v>19774.400000000001</v>
      </c>
      <c r="L278" s="149">
        <v>3399.88</v>
      </c>
      <c r="M278" s="5" t="s">
        <v>1126</v>
      </c>
      <c r="N278" s="5" t="s">
        <v>1321</v>
      </c>
      <c r="O278" s="5" t="s">
        <v>1322</v>
      </c>
      <c r="P278" s="5" t="s">
        <v>1299</v>
      </c>
      <c r="Q278" s="5" t="s">
        <v>1306</v>
      </c>
      <c r="R278" s="151">
        <v>1</v>
      </c>
      <c r="S278" s="143"/>
    </row>
    <row r="279" spans="1:19" x14ac:dyDescent="0.25">
      <c r="A279" s="5" t="s">
        <v>2162</v>
      </c>
      <c r="B279" s="147">
        <v>45768</v>
      </c>
      <c r="C279" s="5" t="s">
        <v>2163</v>
      </c>
      <c r="D279" s="5" t="s">
        <v>2164</v>
      </c>
      <c r="E279" s="5" t="s">
        <v>1310</v>
      </c>
      <c r="F279" s="5" t="s">
        <v>1311</v>
      </c>
      <c r="G279" s="5" t="s">
        <v>1312</v>
      </c>
      <c r="H279" s="148">
        <v>1</v>
      </c>
      <c r="I279" s="149">
        <v>11586</v>
      </c>
      <c r="J279" s="150">
        <v>0.1</v>
      </c>
      <c r="K279" s="149">
        <v>10427.4</v>
      </c>
      <c r="L279" s="149">
        <v>2301.87</v>
      </c>
      <c r="M279" s="5" t="s">
        <v>1344</v>
      </c>
      <c r="N279" s="5" t="s">
        <v>1304</v>
      </c>
      <c r="O279" s="5" t="s">
        <v>1305</v>
      </c>
      <c r="P279" s="5" t="s">
        <v>1299</v>
      </c>
      <c r="Q279" s="5" t="s">
        <v>1306</v>
      </c>
      <c r="R279" s="151">
        <v>3</v>
      </c>
      <c r="S279" s="143"/>
    </row>
    <row r="280" spans="1:19" x14ac:dyDescent="0.25">
      <c r="A280" s="5" t="s">
        <v>2165</v>
      </c>
      <c r="B280" s="147">
        <v>45923</v>
      </c>
      <c r="C280" s="5" t="s">
        <v>2166</v>
      </c>
      <c r="D280" s="5" t="s">
        <v>2167</v>
      </c>
      <c r="E280" s="5" t="s">
        <v>1310</v>
      </c>
      <c r="F280" s="5" t="s">
        <v>1311</v>
      </c>
      <c r="G280" s="5" t="s">
        <v>1312</v>
      </c>
      <c r="H280" s="148">
        <v>4</v>
      </c>
      <c r="I280" s="149">
        <v>11474</v>
      </c>
      <c r="J280" s="150">
        <v>0.2</v>
      </c>
      <c r="K280" s="149">
        <v>36716.800000000003</v>
      </c>
      <c r="L280" s="149">
        <v>4383.4799999999996</v>
      </c>
      <c r="M280" s="5" t="s">
        <v>1126</v>
      </c>
      <c r="N280" s="5" t="s">
        <v>1362</v>
      </c>
      <c r="O280" s="5" t="s">
        <v>1363</v>
      </c>
      <c r="P280" s="5" t="s">
        <v>1323</v>
      </c>
      <c r="Q280" s="5" t="s">
        <v>1184</v>
      </c>
      <c r="R280" s="151">
        <v>4</v>
      </c>
      <c r="S280" s="143"/>
    </row>
    <row r="281" spans="1:19" x14ac:dyDescent="0.25">
      <c r="A281" s="5" t="s">
        <v>2168</v>
      </c>
      <c r="B281" s="147">
        <v>45853</v>
      </c>
      <c r="C281" s="5" t="s">
        <v>2169</v>
      </c>
      <c r="D281" s="5" t="s">
        <v>2170</v>
      </c>
      <c r="E281" s="5" t="s">
        <v>1295</v>
      </c>
      <c r="F281" s="5" t="s">
        <v>985</v>
      </c>
      <c r="G281" s="5" t="s">
        <v>1296</v>
      </c>
      <c r="H281" s="148">
        <v>2</v>
      </c>
      <c r="I281" s="149">
        <v>7611</v>
      </c>
      <c r="J281" s="150">
        <v>0</v>
      </c>
      <c r="K281" s="149">
        <v>15222</v>
      </c>
      <c r="L281" s="149">
        <v>4186.51</v>
      </c>
      <c r="M281" s="5" t="s">
        <v>1313</v>
      </c>
      <c r="N281" s="5" t="s">
        <v>1337</v>
      </c>
      <c r="O281" s="5" t="s">
        <v>1338</v>
      </c>
      <c r="P281" s="5" t="s">
        <v>1327</v>
      </c>
      <c r="Q281" s="5" t="s">
        <v>1306</v>
      </c>
      <c r="R281" s="151">
        <v>3</v>
      </c>
      <c r="S281" s="143"/>
    </row>
    <row r="282" spans="1:19" x14ac:dyDescent="0.25">
      <c r="A282" s="5" t="s">
        <v>2171</v>
      </c>
      <c r="B282" s="147">
        <v>46003</v>
      </c>
      <c r="C282" s="5" t="s">
        <v>2172</v>
      </c>
      <c r="D282" s="5" t="s">
        <v>2173</v>
      </c>
      <c r="E282" s="5" t="s">
        <v>1295</v>
      </c>
      <c r="F282" s="5" t="s">
        <v>985</v>
      </c>
      <c r="G282" s="5" t="s">
        <v>1296</v>
      </c>
      <c r="H282" s="148">
        <v>4</v>
      </c>
      <c r="I282" s="149">
        <v>12825</v>
      </c>
      <c r="J282" s="150">
        <v>0.15</v>
      </c>
      <c r="K282" s="149">
        <v>43605</v>
      </c>
      <c r="L282" s="149">
        <v>7267.4</v>
      </c>
      <c r="M282" s="5" t="s">
        <v>1344</v>
      </c>
      <c r="N282" s="5" t="s">
        <v>1304</v>
      </c>
      <c r="O282" s="5" t="s">
        <v>1305</v>
      </c>
      <c r="P282" s="5" t="s">
        <v>1323</v>
      </c>
      <c r="Q282" s="5" t="s">
        <v>1306</v>
      </c>
      <c r="R282" s="151">
        <v>4</v>
      </c>
      <c r="S282" s="143"/>
    </row>
    <row r="283" spans="1:19" x14ac:dyDescent="0.25">
      <c r="A283" s="5" t="s">
        <v>2174</v>
      </c>
      <c r="B283" s="147">
        <v>45797</v>
      </c>
      <c r="C283" s="5" t="s">
        <v>2175</v>
      </c>
      <c r="D283" s="5" t="s">
        <v>2176</v>
      </c>
      <c r="E283" s="5" t="s">
        <v>1342</v>
      </c>
      <c r="F283" s="5" t="s">
        <v>988</v>
      </c>
      <c r="G283" s="5" t="s">
        <v>1343</v>
      </c>
      <c r="H283" s="148">
        <v>2</v>
      </c>
      <c r="I283" s="149">
        <v>11353</v>
      </c>
      <c r="J283" s="150">
        <v>0</v>
      </c>
      <c r="K283" s="149">
        <v>22706</v>
      </c>
      <c r="L283" s="149">
        <v>2444.42</v>
      </c>
      <c r="M283" s="5" t="s">
        <v>1344</v>
      </c>
      <c r="N283" s="5" t="s">
        <v>1321</v>
      </c>
      <c r="O283" s="5" t="s">
        <v>1322</v>
      </c>
      <c r="P283" s="5" t="s">
        <v>1314</v>
      </c>
      <c r="Q283" s="5" t="s">
        <v>1306</v>
      </c>
      <c r="R283" s="151">
        <v>1</v>
      </c>
      <c r="S283" s="143"/>
    </row>
    <row r="284" spans="1:19" x14ac:dyDescent="0.25">
      <c r="A284" s="5" t="s">
        <v>2177</v>
      </c>
      <c r="B284" s="147">
        <v>45793</v>
      </c>
      <c r="C284" s="5" t="s">
        <v>2178</v>
      </c>
      <c r="D284" s="5" t="s">
        <v>2179</v>
      </c>
      <c r="E284" s="5" t="s">
        <v>1310</v>
      </c>
      <c r="F284" s="5" t="s">
        <v>1311</v>
      </c>
      <c r="G284" s="5" t="s">
        <v>1312</v>
      </c>
      <c r="H284" s="148">
        <v>5</v>
      </c>
      <c r="I284" s="149">
        <v>3464</v>
      </c>
      <c r="J284" s="150">
        <v>0.15</v>
      </c>
      <c r="K284" s="149">
        <v>14722</v>
      </c>
      <c r="L284" s="149">
        <v>1612.77</v>
      </c>
      <c r="M284" s="5" t="s">
        <v>1126</v>
      </c>
      <c r="N284" s="5" t="s">
        <v>1337</v>
      </c>
      <c r="O284" s="5" t="s">
        <v>1338</v>
      </c>
      <c r="P284" s="5" t="s">
        <v>1314</v>
      </c>
      <c r="Q284" s="5" t="s">
        <v>1300</v>
      </c>
      <c r="R284" s="151">
        <v>1</v>
      </c>
      <c r="S284" s="143"/>
    </row>
    <row r="285" spans="1:19" x14ac:dyDescent="0.25">
      <c r="A285" s="5" t="s">
        <v>2180</v>
      </c>
      <c r="B285" s="147">
        <v>45904</v>
      </c>
      <c r="C285" s="5" t="s">
        <v>2181</v>
      </c>
      <c r="D285" s="5" t="s">
        <v>2182</v>
      </c>
      <c r="E285" s="5" t="s">
        <v>1370</v>
      </c>
      <c r="F285" s="5" t="s">
        <v>1160</v>
      </c>
      <c r="G285" s="5" t="s">
        <v>1371</v>
      </c>
      <c r="H285" s="148">
        <v>5</v>
      </c>
      <c r="I285" s="149">
        <v>14312</v>
      </c>
      <c r="J285" s="150">
        <v>0.2</v>
      </c>
      <c r="K285" s="149">
        <v>57248</v>
      </c>
      <c r="L285" s="149">
        <v>5576.81</v>
      </c>
      <c r="M285" s="5" t="s">
        <v>1381</v>
      </c>
      <c r="N285" s="5" t="s">
        <v>1321</v>
      </c>
      <c r="O285" s="5" t="s">
        <v>1322</v>
      </c>
      <c r="P285" s="5" t="s">
        <v>1327</v>
      </c>
      <c r="Q285" s="5" t="s">
        <v>1204</v>
      </c>
      <c r="R285" s="151">
        <v>2</v>
      </c>
      <c r="S285" s="143"/>
    </row>
    <row r="286" spans="1:19" x14ac:dyDescent="0.25">
      <c r="A286" s="5" t="s">
        <v>2183</v>
      </c>
      <c r="B286" s="147">
        <v>45969</v>
      </c>
      <c r="C286" s="5" t="s">
        <v>2184</v>
      </c>
      <c r="D286" s="5" t="s">
        <v>2185</v>
      </c>
      <c r="E286" s="5" t="s">
        <v>1310</v>
      </c>
      <c r="F286" s="5" t="s">
        <v>1311</v>
      </c>
      <c r="G286" s="5" t="s">
        <v>1312</v>
      </c>
      <c r="H286" s="148">
        <v>4</v>
      </c>
      <c r="I286" s="149">
        <v>4169</v>
      </c>
      <c r="J286" s="150">
        <v>0.15</v>
      </c>
      <c r="K286" s="149">
        <v>14174.6</v>
      </c>
      <c r="L286" s="149">
        <v>1698.74</v>
      </c>
      <c r="M286" s="5" t="s">
        <v>1130</v>
      </c>
      <c r="N286" s="5" t="s">
        <v>1362</v>
      </c>
      <c r="O286" s="5" t="s">
        <v>1363</v>
      </c>
      <c r="P286" s="5" t="s">
        <v>1314</v>
      </c>
      <c r="Q286" s="5" t="s">
        <v>1204</v>
      </c>
      <c r="R286" s="151">
        <v>3</v>
      </c>
      <c r="S286" s="143"/>
    </row>
    <row r="287" spans="1:19" x14ac:dyDescent="0.25">
      <c r="A287" s="5" t="s">
        <v>2186</v>
      </c>
      <c r="B287" s="147">
        <v>45873</v>
      </c>
      <c r="C287" s="5" t="s">
        <v>2187</v>
      </c>
      <c r="D287" s="5" t="s">
        <v>2188</v>
      </c>
      <c r="E287" s="5" t="s">
        <v>1331</v>
      </c>
      <c r="F287" s="5" t="s">
        <v>988</v>
      </c>
      <c r="G287" s="5" t="s">
        <v>1332</v>
      </c>
      <c r="H287" s="148">
        <v>4</v>
      </c>
      <c r="I287" s="149">
        <v>4401</v>
      </c>
      <c r="J287" s="150">
        <v>0.2</v>
      </c>
      <c r="K287" s="149">
        <v>14083.2</v>
      </c>
      <c r="L287" s="149">
        <v>1459.25</v>
      </c>
      <c r="M287" s="5" t="s">
        <v>1126</v>
      </c>
      <c r="N287" s="5" t="s">
        <v>1337</v>
      </c>
      <c r="O287" s="5" t="s">
        <v>1338</v>
      </c>
      <c r="P287" s="5" t="s">
        <v>1348</v>
      </c>
      <c r="Q287" s="5" t="s">
        <v>1204</v>
      </c>
      <c r="R287" s="151">
        <v>5</v>
      </c>
      <c r="S287" s="143"/>
    </row>
    <row r="288" spans="1:19" x14ac:dyDescent="0.25">
      <c r="A288" s="5" t="s">
        <v>2189</v>
      </c>
      <c r="B288" s="147">
        <v>45855</v>
      </c>
      <c r="C288" s="5" t="s">
        <v>2190</v>
      </c>
      <c r="D288" s="5" t="s">
        <v>2191</v>
      </c>
      <c r="E288" s="5" t="s">
        <v>1195</v>
      </c>
      <c r="F288" s="5" t="s">
        <v>988</v>
      </c>
      <c r="G288" s="5" t="s">
        <v>1336</v>
      </c>
      <c r="H288" s="148">
        <v>4</v>
      </c>
      <c r="I288" s="149">
        <v>13824</v>
      </c>
      <c r="J288" s="150">
        <v>0.1</v>
      </c>
      <c r="K288" s="149">
        <v>49766.400000000001</v>
      </c>
      <c r="L288" s="149">
        <v>10172.19</v>
      </c>
      <c r="M288" s="5" t="s">
        <v>1126</v>
      </c>
      <c r="N288" s="5" t="s">
        <v>1297</v>
      </c>
      <c r="O288" s="5" t="s">
        <v>1298</v>
      </c>
      <c r="P288" s="5" t="s">
        <v>1327</v>
      </c>
      <c r="Q288" s="5" t="s">
        <v>1306</v>
      </c>
      <c r="R288" s="151">
        <v>3</v>
      </c>
      <c r="S288" s="143"/>
    </row>
    <row r="289" spans="1:19" x14ac:dyDescent="0.25">
      <c r="A289" s="5" t="s">
        <v>2192</v>
      </c>
      <c r="B289" s="147">
        <v>46003</v>
      </c>
      <c r="C289" s="5" t="s">
        <v>2193</v>
      </c>
      <c r="D289" s="5" t="s">
        <v>2194</v>
      </c>
      <c r="E289" s="5" t="s">
        <v>1310</v>
      </c>
      <c r="F289" s="5" t="s">
        <v>1311</v>
      </c>
      <c r="G289" s="5" t="s">
        <v>1312</v>
      </c>
      <c r="H289" s="148">
        <v>2</v>
      </c>
      <c r="I289" s="149">
        <v>9303</v>
      </c>
      <c r="J289" s="150">
        <v>0.2</v>
      </c>
      <c r="K289" s="149">
        <v>14884.8</v>
      </c>
      <c r="L289" s="149">
        <v>2107.6799999999998</v>
      </c>
      <c r="M289" s="5" t="s">
        <v>1344</v>
      </c>
      <c r="N289" s="5" t="s">
        <v>1321</v>
      </c>
      <c r="O289" s="5" t="s">
        <v>1322</v>
      </c>
      <c r="P289" s="5" t="s">
        <v>1348</v>
      </c>
      <c r="Q289" s="5" t="s">
        <v>1204</v>
      </c>
      <c r="R289" s="151">
        <v>1</v>
      </c>
      <c r="S289" s="143"/>
    </row>
    <row r="290" spans="1:19" x14ac:dyDescent="0.25">
      <c r="A290" s="5" t="s">
        <v>2195</v>
      </c>
      <c r="B290" s="147">
        <v>45667</v>
      </c>
      <c r="C290" s="5" t="s">
        <v>2196</v>
      </c>
      <c r="D290" s="5" t="s">
        <v>2197</v>
      </c>
      <c r="E290" s="5" t="s">
        <v>1318</v>
      </c>
      <c r="F290" s="5" t="s">
        <v>1319</v>
      </c>
      <c r="G290" s="5" t="s">
        <v>1320</v>
      </c>
      <c r="H290" s="148">
        <v>5</v>
      </c>
      <c r="I290" s="149">
        <v>354</v>
      </c>
      <c r="J290" s="150">
        <v>0.1</v>
      </c>
      <c r="K290" s="149">
        <v>1593</v>
      </c>
      <c r="L290" s="149">
        <v>274.79000000000002</v>
      </c>
      <c r="M290" s="5" t="s">
        <v>1313</v>
      </c>
      <c r="N290" s="5" t="s">
        <v>1304</v>
      </c>
      <c r="O290" s="5" t="s">
        <v>1305</v>
      </c>
      <c r="P290" s="5" t="s">
        <v>1299</v>
      </c>
      <c r="Q290" s="5" t="s">
        <v>1306</v>
      </c>
      <c r="R290" s="151">
        <v>2</v>
      </c>
      <c r="S290" s="143"/>
    </row>
    <row r="291" spans="1:19" x14ac:dyDescent="0.25">
      <c r="A291" s="5" t="s">
        <v>2198</v>
      </c>
      <c r="B291" s="147">
        <v>45849</v>
      </c>
      <c r="C291" s="5" t="s">
        <v>2199</v>
      </c>
      <c r="D291" s="5" t="s">
        <v>2200</v>
      </c>
      <c r="E291" s="5" t="s">
        <v>1310</v>
      </c>
      <c r="F291" s="5" t="s">
        <v>1311</v>
      </c>
      <c r="G291" s="5" t="s">
        <v>1312</v>
      </c>
      <c r="H291" s="148">
        <v>2</v>
      </c>
      <c r="I291" s="149">
        <v>9323</v>
      </c>
      <c r="J291" s="150">
        <v>0.1</v>
      </c>
      <c r="K291" s="149">
        <v>16781.400000000001</v>
      </c>
      <c r="L291" s="149">
        <v>1496.58</v>
      </c>
      <c r="M291" s="5" t="s">
        <v>1126</v>
      </c>
      <c r="N291" s="5" t="s">
        <v>1304</v>
      </c>
      <c r="O291" s="5" t="s">
        <v>1305</v>
      </c>
      <c r="P291" s="5" t="s">
        <v>1348</v>
      </c>
      <c r="Q291" s="5" t="s">
        <v>1300</v>
      </c>
      <c r="R291" s="151">
        <v>5</v>
      </c>
      <c r="S291" s="143"/>
    </row>
    <row r="292" spans="1:19" x14ac:dyDescent="0.25">
      <c r="A292" s="5" t="s">
        <v>2201</v>
      </c>
      <c r="B292" s="147">
        <v>45941</v>
      </c>
      <c r="C292" s="5" t="s">
        <v>2202</v>
      </c>
      <c r="D292" s="5" t="s">
        <v>2203</v>
      </c>
      <c r="E292" s="5" t="s">
        <v>1370</v>
      </c>
      <c r="F292" s="5" t="s">
        <v>1160</v>
      </c>
      <c r="G292" s="5" t="s">
        <v>1371</v>
      </c>
      <c r="H292" s="148">
        <v>4</v>
      </c>
      <c r="I292" s="149">
        <v>13148</v>
      </c>
      <c r="J292" s="150">
        <v>0.1</v>
      </c>
      <c r="K292" s="149">
        <v>47332.800000000003</v>
      </c>
      <c r="L292" s="149">
        <v>6890.96</v>
      </c>
      <c r="M292" s="5" t="s">
        <v>1344</v>
      </c>
      <c r="N292" s="5" t="s">
        <v>1304</v>
      </c>
      <c r="O292" s="5" t="s">
        <v>1305</v>
      </c>
      <c r="P292" s="5" t="s">
        <v>1323</v>
      </c>
      <c r="Q292" s="5" t="s">
        <v>1300</v>
      </c>
      <c r="R292" s="151">
        <v>1</v>
      </c>
      <c r="S292" s="143"/>
    </row>
    <row r="293" spans="1:19" x14ac:dyDescent="0.25">
      <c r="A293" s="5" t="s">
        <v>2204</v>
      </c>
      <c r="B293" s="147">
        <v>45818</v>
      </c>
      <c r="C293" s="5" t="s">
        <v>2205</v>
      </c>
      <c r="D293" s="5" t="s">
        <v>2206</v>
      </c>
      <c r="E293" s="5" t="s">
        <v>1342</v>
      </c>
      <c r="F293" s="5" t="s">
        <v>988</v>
      </c>
      <c r="G293" s="5" t="s">
        <v>1343</v>
      </c>
      <c r="H293" s="148">
        <v>4</v>
      </c>
      <c r="I293" s="149">
        <v>11922</v>
      </c>
      <c r="J293" s="150">
        <v>0.05</v>
      </c>
      <c r="K293" s="149">
        <v>45303.6</v>
      </c>
      <c r="L293" s="149">
        <v>12365.66</v>
      </c>
      <c r="M293" s="5" t="s">
        <v>1130</v>
      </c>
      <c r="N293" s="5" t="s">
        <v>1297</v>
      </c>
      <c r="O293" s="5" t="s">
        <v>1298</v>
      </c>
      <c r="P293" s="5" t="s">
        <v>1348</v>
      </c>
      <c r="Q293" s="5" t="s">
        <v>1300</v>
      </c>
      <c r="R293" s="151">
        <v>5</v>
      </c>
      <c r="S293" s="143"/>
    </row>
    <row r="294" spans="1:19" x14ac:dyDescent="0.25">
      <c r="A294" s="5" t="s">
        <v>2207</v>
      </c>
      <c r="B294" s="147">
        <v>45725</v>
      </c>
      <c r="C294" s="5" t="s">
        <v>2208</v>
      </c>
      <c r="D294" s="5" t="s">
        <v>2209</v>
      </c>
      <c r="E294" s="5" t="s">
        <v>1370</v>
      </c>
      <c r="F294" s="5" t="s">
        <v>1160</v>
      </c>
      <c r="G294" s="5" t="s">
        <v>1371</v>
      </c>
      <c r="H294" s="148">
        <v>1</v>
      </c>
      <c r="I294" s="149">
        <v>9726</v>
      </c>
      <c r="J294" s="150">
        <v>0.1</v>
      </c>
      <c r="K294" s="149">
        <v>8753.4</v>
      </c>
      <c r="L294" s="149">
        <v>1413.87</v>
      </c>
      <c r="M294" s="5" t="s">
        <v>1313</v>
      </c>
      <c r="N294" s="5" t="s">
        <v>1352</v>
      </c>
      <c r="O294" s="5" t="s">
        <v>1352</v>
      </c>
      <c r="P294" s="5" t="s">
        <v>1299</v>
      </c>
      <c r="Q294" s="5" t="s">
        <v>1204</v>
      </c>
      <c r="R294" s="151">
        <v>5</v>
      </c>
      <c r="S294" s="143"/>
    </row>
    <row r="295" spans="1:19" x14ac:dyDescent="0.25">
      <c r="A295" s="5" t="s">
        <v>2210</v>
      </c>
      <c r="B295" s="147">
        <v>45887</v>
      </c>
      <c r="C295" s="5" t="s">
        <v>2211</v>
      </c>
      <c r="D295" s="5" t="s">
        <v>2212</v>
      </c>
      <c r="E295" s="5" t="s">
        <v>1195</v>
      </c>
      <c r="F295" s="5" t="s">
        <v>988</v>
      </c>
      <c r="G295" s="5" t="s">
        <v>1336</v>
      </c>
      <c r="H295" s="148">
        <v>1</v>
      </c>
      <c r="I295" s="149">
        <v>7950</v>
      </c>
      <c r="J295" s="150">
        <v>0.1</v>
      </c>
      <c r="K295" s="149">
        <v>7155</v>
      </c>
      <c r="L295" s="149">
        <v>1185.6300000000001</v>
      </c>
      <c r="M295" s="5" t="s">
        <v>1381</v>
      </c>
      <c r="N295" s="5" t="s">
        <v>1337</v>
      </c>
      <c r="O295" s="5" t="s">
        <v>1338</v>
      </c>
      <c r="P295" s="5" t="s">
        <v>1314</v>
      </c>
      <c r="Q295" s="5" t="s">
        <v>1306</v>
      </c>
      <c r="R295" s="151">
        <v>5</v>
      </c>
      <c r="S295" s="143"/>
    </row>
    <row r="296" spans="1:19" x14ac:dyDescent="0.25">
      <c r="A296" s="5" t="s">
        <v>2213</v>
      </c>
      <c r="B296" s="147">
        <v>45874</v>
      </c>
      <c r="C296" s="5" t="s">
        <v>2214</v>
      </c>
      <c r="D296" s="5" t="s">
        <v>2215</v>
      </c>
      <c r="E296" s="5" t="s">
        <v>1295</v>
      </c>
      <c r="F296" s="5" t="s">
        <v>985</v>
      </c>
      <c r="G296" s="5" t="s">
        <v>1296</v>
      </c>
      <c r="H296" s="148">
        <v>1</v>
      </c>
      <c r="I296" s="149">
        <v>6621</v>
      </c>
      <c r="J296" s="150">
        <v>0.2</v>
      </c>
      <c r="K296" s="149">
        <v>5296.8</v>
      </c>
      <c r="L296" s="149">
        <v>1372.49</v>
      </c>
      <c r="M296" s="5" t="s">
        <v>1313</v>
      </c>
      <c r="N296" s="5" t="s">
        <v>1304</v>
      </c>
      <c r="O296" s="5" t="s">
        <v>1305</v>
      </c>
      <c r="P296" s="5" t="s">
        <v>1348</v>
      </c>
      <c r="Q296" s="5" t="s">
        <v>1184</v>
      </c>
      <c r="R296" s="151">
        <v>3</v>
      </c>
      <c r="S296" s="143"/>
    </row>
    <row r="297" spans="1:19" x14ac:dyDescent="0.25">
      <c r="A297" s="5" t="s">
        <v>2216</v>
      </c>
      <c r="B297" s="147">
        <v>45804</v>
      </c>
      <c r="C297" s="5" t="s">
        <v>2217</v>
      </c>
      <c r="D297" s="5" t="s">
        <v>2218</v>
      </c>
      <c r="E297" s="5" t="s">
        <v>1342</v>
      </c>
      <c r="F297" s="5" t="s">
        <v>988</v>
      </c>
      <c r="G297" s="5" t="s">
        <v>1343</v>
      </c>
      <c r="H297" s="148">
        <v>5</v>
      </c>
      <c r="I297" s="149">
        <v>3395</v>
      </c>
      <c r="J297" s="150">
        <v>0.15</v>
      </c>
      <c r="K297" s="149">
        <v>14428.75</v>
      </c>
      <c r="L297" s="149">
        <v>1756.9</v>
      </c>
      <c r="M297" s="5" t="s">
        <v>1126</v>
      </c>
      <c r="N297" s="5" t="s">
        <v>1304</v>
      </c>
      <c r="O297" s="5" t="s">
        <v>1305</v>
      </c>
      <c r="P297" s="5" t="s">
        <v>1323</v>
      </c>
      <c r="Q297" s="5" t="s">
        <v>1184</v>
      </c>
      <c r="R297" s="151">
        <v>5</v>
      </c>
      <c r="S297" s="143"/>
    </row>
    <row r="298" spans="1:19" x14ac:dyDescent="0.25">
      <c r="A298" s="5" t="s">
        <v>2219</v>
      </c>
      <c r="B298" s="147">
        <v>45990</v>
      </c>
      <c r="C298" s="5" t="s">
        <v>2220</v>
      </c>
      <c r="D298" s="5" t="s">
        <v>2221</v>
      </c>
      <c r="E298" s="5" t="s">
        <v>1370</v>
      </c>
      <c r="F298" s="5" t="s">
        <v>1160</v>
      </c>
      <c r="G298" s="5" t="s">
        <v>1371</v>
      </c>
      <c r="H298" s="148">
        <v>2</v>
      </c>
      <c r="I298" s="149">
        <v>4727</v>
      </c>
      <c r="J298" s="150">
        <v>0.05</v>
      </c>
      <c r="K298" s="149">
        <v>8981.2999999999993</v>
      </c>
      <c r="L298" s="149">
        <v>2155.37</v>
      </c>
      <c r="M298" s="5" t="s">
        <v>1130</v>
      </c>
      <c r="N298" s="5" t="s">
        <v>1362</v>
      </c>
      <c r="O298" s="5" t="s">
        <v>1363</v>
      </c>
      <c r="P298" s="5" t="s">
        <v>1314</v>
      </c>
      <c r="Q298" s="5" t="s">
        <v>1184</v>
      </c>
      <c r="R298" s="151">
        <v>2</v>
      </c>
      <c r="S298" s="143"/>
    </row>
    <row r="299" spans="1:19" x14ac:dyDescent="0.25">
      <c r="A299" s="5" t="s">
        <v>2222</v>
      </c>
      <c r="B299" s="147">
        <v>45737</v>
      </c>
      <c r="C299" s="5" t="s">
        <v>2223</v>
      </c>
      <c r="D299" s="5" t="s">
        <v>2224</v>
      </c>
      <c r="E299" s="5" t="s">
        <v>1359</v>
      </c>
      <c r="F299" s="5" t="s">
        <v>1360</v>
      </c>
      <c r="G299" s="5" t="s">
        <v>1361</v>
      </c>
      <c r="H299" s="148">
        <v>5</v>
      </c>
      <c r="I299" s="149">
        <v>13807</v>
      </c>
      <c r="J299" s="150">
        <v>0.1</v>
      </c>
      <c r="K299" s="149">
        <v>62131.5</v>
      </c>
      <c r="L299" s="149">
        <v>10791.39</v>
      </c>
      <c r="M299" s="5" t="s">
        <v>1126</v>
      </c>
      <c r="N299" s="5" t="s">
        <v>1321</v>
      </c>
      <c r="O299" s="5" t="s">
        <v>1322</v>
      </c>
      <c r="P299" s="5" t="s">
        <v>1299</v>
      </c>
      <c r="Q299" s="5" t="s">
        <v>1184</v>
      </c>
      <c r="R299" s="151">
        <v>3</v>
      </c>
      <c r="S299" s="143"/>
    </row>
    <row r="300" spans="1:19" x14ac:dyDescent="0.25">
      <c r="A300" s="5" t="s">
        <v>2225</v>
      </c>
      <c r="B300" s="147">
        <v>46000</v>
      </c>
      <c r="C300" s="5" t="s">
        <v>2226</v>
      </c>
      <c r="D300" s="5" t="s">
        <v>2227</v>
      </c>
      <c r="E300" s="5" t="s">
        <v>1295</v>
      </c>
      <c r="F300" s="5" t="s">
        <v>985</v>
      </c>
      <c r="G300" s="5" t="s">
        <v>1296</v>
      </c>
      <c r="H300" s="148">
        <v>3</v>
      </c>
      <c r="I300" s="149">
        <v>14908</v>
      </c>
      <c r="J300" s="150">
        <v>0.1</v>
      </c>
      <c r="K300" s="149">
        <v>40251.599999999999</v>
      </c>
      <c r="L300" s="149">
        <v>9950.17</v>
      </c>
      <c r="M300" s="5" t="s">
        <v>1313</v>
      </c>
      <c r="N300" s="5" t="s">
        <v>1352</v>
      </c>
      <c r="O300" s="5" t="s">
        <v>1352</v>
      </c>
      <c r="P300" s="5" t="s">
        <v>1348</v>
      </c>
      <c r="Q300" s="5" t="s">
        <v>1300</v>
      </c>
      <c r="R300" s="151">
        <v>5</v>
      </c>
      <c r="S300" s="143"/>
    </row>
    <row r="301" spans="1:19" x14ac:dyDescent="0.25">
      <c r="A301" s="5" t="s">
        <v>2228</v>
      </c>
      <c r="B301" s="147">
        <v>45899</v>
      </c>
      <c r="C301" s="5" t="s">
        <v>2229</v>
      </c>
      <c r="D301" s="5" t="s">
        <v>2230</v>
      </c>
      <c r="E301" s="5" t="s">
        <v>1331</v>
      </c>
      <c r="F301" s="5" t="s">
        <v>988</v>
      </c>
      <c r="G301" s="5" t="s">
        <v>1332</v>
      </c>
      <c r="H301" s="148">
        <v>2</v>
      </c>
      <c r="I301" s="149">
        <v>10765</v>
      </c>
      <c r="J301" s="150">
        <v>0.1</v>
      </c>
      <c r="K301" s="149">
        <v>19377</v>
      </c>
      <c r="L301" s="149">
        <v>3567.91</v>
      </c>
      <c r="M301" s="5" t="s">
        <v>1313</v>
      </c>
      <c r="N301" s="5" t="s">
        <v>1362</v>
      </c>
      <c r="O301" s="5" t="s">
        <v>1363</v>
      </c>
      <c r="P301" s="5" t="s">
        <v>1327</v>
      </c>
      <c r="Q301" s="5" t="s">
        <v>1300</v>
      </c>
      <c r="R301" s="151">
        <v>3</v>
      </c>
      <c r="S301" s="143"/>
    </row>
    <row r="302" spans="1:19" x14ac:dyDescent="0.25">
      <c r="A302" s="5" t="s">
        <v>2231</v>
      </c>
      <c r="B302" s="147">
        <v>45777</v>
      </c>
      <c r="C302" s="5" t="s">
        <v>2232</v>
      </c>
      <c r="D302" s="5" t="s">
        <v>2233</v>
      </c>
      <c r="E302" s="5" t="s">
        <v>1295</v>
      </c>
      <c r="F302" s="5" t="s">
        <v>985</v>
      </c>
      <c r="G302" s="5" t="s">
        <v>1296</v>
      </c>
      <c r="H302" s="148">
        <v>4</v>
      </c>
      <c r="I302" s="149">
        <v>8488</v>
      </c>
      <c r="J302" s="150">
        <v>0.1</v>
      </c>
      <c r="K302" s="149">
        <v>30556.799999999999</v>
      </c>
      <c r="L302" s="149">
        <v>6422.2</v>
      </c>
      <c r="M302" s="5" t="s">
        <v>1344</v>
      </c>
      <c r="N302" s="5" t="s">
        <v>1297</v>
      </c>
      <c r="O302" s="5" t="s">
        <v>1298</v>
      </c>
      <c r="P302" s="5" t="s">
        <v>1348</v>
      </c>
      <c r="Q302" s="5" t="s">
        <v>1306</v>
      </c>
      <c r="R302" s="151">
        <v>5</v>
      </c>
      <c r="S302" s="143"/>
    </row>
    <row r="303" spans="1:19" x14ac:dyDescent="0.25">
      <c r="A303" s="5" t="s">
        <v>2234</v>
      </c>
      <c r="B303" s="147">
        <v>45794</v>
      </c>
      <c r="C303" s="5" t="s">
        <v>2235</v>
      </c>
      <c r="D303" s="5" t="s">
        <v>2236</v>
      </c>
      <c r="E303" s="5" t="s">
        <v>1370</v>
      </c>
      <c r="F303" s="5" t="s">
        <v>1160</v>
      </c>
      <c r="G303" s="5" t="s">
        <v>1371</v>
      </c>
      <c r="H303" s="148">
        <v>5</v>
      </c>
      <c r="I303" s="149">
        <v>10970</v>
      </c>
      <c r="J303" s="150">
        <v>0.2</v>
      </c>
      <c r="K303" s="149">
        <v>43880</v>
      </c>
      <c r="L303" s="149">
        <v>4305.29</v>
      </c>
      <c r="M303" s="5" t="s">
        <v>1126</v>
      </c>
      <c r="N303" s="5" t="s">
        <v>1352</v>
      </c>
      <c r="O303" s="5" t="s">
        <v>1352</v>
      </c>
      <c r="P303" s="5" t="s">
        <v>1348</v>
      </c>
      <c r="Q303" s="5" t="s">
        <v>1300</v>
      </c>
      <c r="R303" s="151">
        <v>4</v>
      </c>
      <c r="S303" s="143"/>
    </row>
    <row r="304" spans="1:19" x14ac:dyDescent="0.25">
      <c r="A304" s="5" t="s">
        <v>2237</v>
      </c>
      <c r="B304" s="147">
        <v>46020</v>
      </c>
      <c r="C304" s="5" t="s">
        <v>2238</v>
      </c>
      <c r="D304" s="5" t="s">
        <v>2239</v>
      </c>
      <c r="E304" s="5" t="s">
        <v>1342</v>
      </c>
      <c r="F304" s="5" t="s">
        <v>988</v>
      </c>
      <c r="G304" s="5" t="s">
        <v>1343</v>
      </c>
      <c r="H304" s="148">
        <v>4</v>
      </c>
      <c r="I304" s="149">
        <v>7457</v>
      </c>
      <c r="J304" s="150">
        <v>0.1</v>
      </c>
      <c r="K304" s="149">
        <v>26845.200000000001</v>
      </c>
      <c r="L304" s="149">
        <v>2462.5300000000002</v>
      </c>
      <c r="M304" s="5" t="s">
        <v>1344</v>
      </c>
      <c r="N304" s="5" t="s">
        <v>1297</v>
      </c>
      <c r="O304" s="5" t="s">
        <v>1298</v>
      </c>
      <c r="P304" s="5" t="s">
        <v>1323</v>
      </c>
      <c r="Q304" s="5" t="s">
        <v>1204</v>
      </c>
      <c r="R304" s="151">
        <v>5</v>
      </c>
      <c r="S304" s="143"/>
    </row>
    <row r="305" spans="1:19" x14ac:dyDescent="0.25">
      <c r="A305" s="5" t="s">
        <v>2240</v>
      </c>
      <c r="B305" s="147">
        <v>45997</v>
      </c>
      <c r="C305" s="5" t="s">
        <v>2241</v>
      </c>
      <c r="D305" s="5" t="s">
        <v>2242</v>
      </c>
      <c r="E305" s="5" t="s">
        <v>1370</v>
      </c>
      <c r="F305" s="5" t="s">
        <v>1160</v>
      </c>
      <c r="G305" s="5" t="s">
        <v>1371</v>
      </c>
      <c r="H305" s="148">
        <v>5</v>
      </c>
      <c r="I305" s="149">
        <v>10275</v>
      </c>
      <c r="J305" s="150">
        <v>0.1</v>
      </c>
      <c r="K305" s="149">
        <v>46237.5</v>
      </c>
      <c r="L305" s="149">
        <v>6670.62</v>
      </c>
      <c r="M305" s="5" t="s">
        <v>1313</v>
      </c>
      <c r="N305" s="5" t="s">
        <v>1297</v>
      </c>
      <c r="O305" s="5" t="s">
        <v>1298</v>
      </c>
      <c r="P305" s="5" t="s">
        <v>1323</v>
      </c>
      <c r="Q305" s="5" t="s">
        <v>1306</v>
      </c>
      <c r="R305" s="151">
        <v>5</v>
      </c>
      <c r="S305" s="143"/>
    </row>
    <row r="306" spans="1:19" x14ac:dyDescent="0.25">
      <c r="A306" s="5" t="s">
        <v>2243</v>
      </c>
      <c r="B306" s="147">
        <v>45973</v>
      </c>
      <c r="C306" s="5" t="s">
        <v>2244</v>
      </c>
      <c r="D306" s="5" t="s">
        <v>2245</v>
      </c>
      <c r="E306" s="5" t="s">
        <v>1359</v>
      </c>
      <c r="F306" s="5" t="s">
        <v>1360</v>
      </c>
      <c r="G306" s="5" t="s">
        <v>1361</v>
      </c>
      <c r="H306" s="148">
        <v>3</v>
      </c>
      <c r="I306" s="149">
        <v>3516</v>
      </c>
      <c r="J306" s="150">
        <v>0</v>
      </c>
      <c r="K306" s="149">
        <v>10548</v>
      </c>
      <c r="L306" s="149">
        <v>2704.93</v>
      </c>
      <c r="M306" s="5" t="s">
        <v>1130</v>
      </c>
      <c r="N306" s="5" t="s">
        <v>1337</v>
      </c>
      <c r="O306" s="5" t="s">
        <v>1338</v>
      </c>
      <c r="P306" s="5" t="s">
        <v>1323</v>
      </c>
      <c r="Q306" s="5" t="s">
        <v>1300</v>
      </c>
      <c r="R306" s="151">
        <v>5</v>
      </c>
      <c r="S306" s="143"/>
    </row>
    <row r="307" spans="1:19" x14ac:dyDescent="0.25">
      <c r="A307" s="5" t="s">
        <v>2246</v>
      </c>
      <c r="B307" s="147">
        <v>45990</v>
      </c>
      <c r="C307" s="5" t="s">
        <v>2247</v>
      </c>
      <c r="D307" s="5" t="s">
        <v>2248</v>
      </c>
      <c r="E307" s="5" t="s">
        <v>1342</v>
      </c>
      <c r="F307" s="5" t="s">
        <v>988</v>
      </c>
      <c r="G307" s="5" t="s">
        <v>1343</v>
      </c>
      <c r="H307" s="148">
        <v>5</v>
      </c>
      <c r="I307" s="149">
        <v>13811</v>
      </c>
      <c r="J307" s="150">
        <v>0.15</v>
      </c>
      <c r="K307" s="149">
        <v>58696.75</v>
      </c>
      <c r="L307" s="149">
        <v>6786.01</v>
      </c>
      <c r="M307" s="5" t="s">
        <v>1313</v>
      </c>
      <c r="N307" s="5" t="s">
        <v>1321</v>
      </c>
      <c r="O307" s="5" t="s">
        <v>1322</v>
      </c>
      <c r="P307" s="5" t="s">
        <v>1348</v>
      </c>
      <c r="Q307" s="5" t="s">
        <v>1306</v>
      </c>
      <c r="R307" s="151">
        <v>1</v>
      </c>
      <c r="S307" s="143"/>
    </row>
    <row r="308" spans="1:19" x14ac:dyDescent="0.25">
      <c r="A308" s="5" t="s">
        <v>2249</v>
      </c>
      <c r="B308" s="147">
        <v>45944</v>
      </c>
      <c r="C308" s="5" t="s">
        <v>2250</v>
      </c>
      <c r="D308" s="5" t="s">
        <v>2251</v>
      </c>
      <c r="E308" s="5" t="s">
        <v>1310</v>
      </c>
      <c r="F308" s="5" t="s">
        <v>1311</v>
      </c>
      <c r="G308" s="5" t="s">
        <v>1312</v>
      </c>
      <c r="H308" s="148">
        <v>2</v>
      </c>
      <c r="I308" s="149">
        <v>4839</v>
      </c>
      <c r="J308" s="150">
        <v>0.1</v>
      </c>
      <c r="K308" s="149">
        <v>8710.2000000000007</v>
      </c>
      <c r="L308" s="149">
        <v>2170.39</v>
      </c>
      <c r="M308" s="5" t="s">
        <v>1130</v>
      </c>
      <c r="N308" s="5" t="s">
        <v>1304</v>
      </c>
      <c r="O308" s="5" t="s">
        <v>1305</v>
      </c>
      <c r="P308" s="5" t="s">
        <v>1327</v>
      </c>
      <c r="Q308" s="5" t="s">
        <v>1184</v>
      </c>
      <c r="R308" s="151">
        <v>1</v>
      </c>
      <c r="S308" s="143"/>
    </row>
    <row r="309" spans="1:19" x14ac:dyDescent="0.25">
      <c r="A309" s="5" t="s">
        <v>2252</v>
      </c>
      <c r="B309" s="147">
        <v>46018</v>
      </c>
      <c r="C309" s="5" t="s">
        <v>2253</v>
      </c>
      <c r="D309" s="5" t="s">
        <v>2254</v>
      </c>
      <c r="E309" s="5" t="s">
        <v>1342</v>
      </c>
      <c r="F309" s="5" t="s">
        <v>988</v>
      </c>
      <c r="G309" s="5" t="s">
        <v>1343</v>
      </c>
      <c r="H309" s="148">
        <v>1</v>
      </c>
      <c r="I309" s="149">
        <v>8010</v>
      </c>
      <c r="J309" s="150">
        <v>0</v>
      </c>
      <c r="K309" s="149">
        <v>8010</v>
      </c>
      <c r="L309" s="149">
        <v>2083.77</v>
      </c>
      <c r="M309" s="5" t="s">
        <v>1381</v>
      </c>
      <c r="N309" s="5" t="s">
        <v>1352</v>
      </c>
      <c r="O309" s="5" t="s">
        <v>1352</v>
      </c>
      <c r="P309" s="5" t="s">
        <v>1323</v>
      </c>
      <c r="Q309" s="5" t="s">
        <v>1300</v>
      </c>
      <c r="R309" s="151">
        <v>2</v>
      </c>
      <c r="S309" s="143"/>
    </row>
    <row r="310" spans="1:19" x14ac:dyDescent="0.25">
      <c r="A310" s="5" t="s">
        <v>2255</v>
      </c>
      <c r="B310" s="147">
        <v>45979</v>
      </c>
      <c r="C310" s="5" t="s">
        <v>2256</v>
      </c>
      <c r="D310" s="5" t="s">
        <v>2257</v>
      </c>
      <c r="E310" s="5" t="s">
        <v>1310</v>
      </c>
      <c r="F310" s="5" t="s">
        <v>1311</v>
      </c>
      <c r="G310" s="5" t="s">
        <v>1312</v>
      </c>
      <c r="H310" s="148">
        <v>5</v>
      </c>
      <c r="I310" s="149">
        <v>11548</v>
      </c>
      <c r="J310" s="150">
        <v>0.2</v>
      </c>
      <c r="K310" s="149">
        <v>46192</v>
      </c>
      <c r="L310" s="149">
        <v>6862.66</v>
      </c>
      <c r="M310" s="5" t="s">
        <v>1381</v>
      </c>
      <c r="N310" s="5" t="s">
        <v>1304</v>
      </c>
      <c r="O310" s="5" t="s">
        <v>1305</v>
      </c>
      <c r="P310" s="5" t="s">
        <v>1323</v>
      </c>
      <c r="Q310" s="5" t="s">
        <v>1300</v>
      </c>
      <c r="R310" s="151">
        <v>3</v>
      </c>
      <c r="S310" s="143"/>
    </row>
    <row r="311" spans="1:19" x14ac:dyDescent="0.25">
      <c r="A311" s="5" t="s">
        <v>2258</v>
      </c>
      <c r="B311" s="147">
        <v>45995</v>
      </c>
      <c r="C311" s="5" t="s">
        <v>2259</v>
      </c>
      <c r="D311" s="5" t="s">
        <v>2260</v>
      </c>
      <c r="E311" s="5" t="s">
        <v>1359</v>
      </c>
      <c r="F311" s="5" t="s">
        <v>1360</v>
      </c>
      <c r="G311" s="5" t="s">
        <v>1361</v>
      </c>
      <c r="H311" s="148">
        <v>4</v>
      </c>
      <c r="I311" s="149">
        <v>543</v>
      </c>
      <c r="J311" s="150">
        <v>0.05</v>
      </c>
      <c r="K311" s="149">
        <v>2063.4</v>
      </c>
      <c r="L311" s="149">
        <v>372.48</v>
      </c>
      <c r="M311" s="5" t="s">
        <v>1344</v>
      </c>
      <c r="N311" s="5" t="s">
        <v>1337</v>
      </c>
      <c r="O311" s="5" t="s">
        <v>1338</v>
      </c>
      <c r="P311" s="5" t="s">
        <v>1314</v>
      </c>
      <c r="Q311" s="5" t="s">
        <v>1306</v>
      </c>
      <c r="R311" s="151">
        <v>1</v>
      </c>
      <c r="S311" s="143"/>
    </row>
    <row r="312" spans="1:19" x14ac:dyDescent="0.25">
      <c r="A312" s="5" t="s">
        <v>2261</v>
      </c>
      <c r="B312" s="147">
        <v>45972</v>
      </c>
      <c r="C312" s="5" t="s">
        <v>2262</v>
      </c>
      <c r="D312" s="5" t="s">
        <v>2263</v>
      </c>
      <c r="E312" s="5" t="s">
        <v>1370</v>
      </c>
      <c r="F312" s="5" t="s">
        <v>1160</v>
      </c>
      <c r="G312" s="5" t="s">
        <v>1371</v>
      </c>
      <c r="H312" s="148">
        <v>3</v>
      </c>
      <c r="I312" s="149">
        <v>10426</v>
      </c>
      <c r="J312" s="150">
        <v>0.05</v>
      </c>
      <c r="K312" s="149">
        <v>29714.1</v>
      </c>
      <c r="L312" s="149">
        <v>8284.98</v>
      </c>
      <c r="M312" s="5" t="s">
        <v>1344</v>
      </c>
      <c r="N312" s="5" t="s">
        <v>1321</v>
      </c>
      <c r="O312" s="5" t="s">
        <v>1322</v>
      </c>
      <c r="P312" s="5" t="s">
        <v>1323</v>
      </c>
      <c r="Q312" s="5" t="s">
        <v>1300</v>
      </c>
      <c r="R312" s="151">
        <v>4</v>
      </c>
      <c r="S312" s="143"/>
    </row>
    <row r="313" spans="1:19" x14ac:dyDescent="0.25">
      <c r="A313" s="5" t="s">
        <v>2264</v>
      </c>
      <c r="B313" s="147">
        <v>45969</v>
      </c>
      <c r="C313" s="5" t="s">
        <v>2265</v>
      </c>
      <c r="D313" s="5" t="s">
        <v>2266</v>
      </c>
      <c r="E313" s="5" t="s">
        <v>1318</v>
      </c>
      <c r="F313" s="5" t="s">
        <v>1319</v>
      </c>
      <c r="G313" s="5" t="s">
        <v>1320</v>
      </c>
      <c r="H313" s="148">
        <v>3</v>
      </c>
      <c r="I313" s="149">
        <v>12024</v>
      </c>
      <c r="J313" s="150">
        <v>0.1</v>
      </c>
      <c r="K313" s="149">
        <v>32464.799999999999</v>
      </c>
      <c r="L313" s="149">
        <v>4230.88</v>
      </c>
      <c r="M313" s="5" t="s">
        <v>1313</v>
      </c>
      <c r="N313" s="5" t="s">
        <v>1304</v>
      </c>
      <c r="O313" s="5" t="s">
        <v>1305</v>
      </c>
      <c r="P313" s="5" t="s">
        <v>1348</v>
      </c>
      <c r="Q313" s="5" t="s">
        <v>1204</v>
      </c>
      <c r="R313" s="151">
        <v>4</v>
      </c>
      <c r="S313" s="143"/>
    </row>
    <row r="314" spans="1:19" x14ac:dyDescent="0.25">
      <c r="A314" s="5" t="s">
        <v>2267</v>
      </c>
      <c r="B314" s="147">
        <v>45732</v>
      </c>
      <c r="C314" s="5" t="s">
        <v>2268</v>
      </c>
      <c r="D314" s="5" t="s">
        <v>2269</v>
      </c>
      <c r="E314" s="5" t="s">
        <v>1331</v>
      </c>
      <c r="F314" s="5" t="s">
        <v>988</v>
      </c>
      <c r="G314" s="5" t="s">
        <v>1332</v>
      </c>
      <c r="H314" s="148">
        <v>4</v>
      </c>
      <c r="I314" s="149">
        <v>14396</v>
      </c>
      <c r="J314" s="150">
        <v>0.15</v>
      </c>
      <c r="K314" s="149">
        <v>48946.400000000001</v>
      </c>
      <c r="L314" s="149">
        <v>6349.45</v>
      </c>
      <c r="M314" s="5" t="s">
        <v>1130</v>
      </c>
      <c r="N314" s="5" t="s">
        <v>1304</v>
      </c>
      <c r="O314" s="5" t="s">
        <v>1305</v>
      </c>
      <c r="P314" s="5" t="s">
        <v>1327</v>
      </c>
      <c r="Q314" s="5" t="s">
        <v>1184</v>
      </c>
      <c r="R314" s="151">
        <v>3</v>
      </c>
      <c r="S314" s="143"/>
    </row>
    <row r="315" spans="1:19" x14ac:dyDescent="0.25">
      <c r="A315" s="5" t="s">
        <v>2270</v>
      </c>
      <c r="B315" s="147">
        <v>45917</v>
      </c>
      <c r="C315" s="5" t="s">
        <v>2271</v>
      </c>
      <c r="D315" s="5" t="s">
        <v>2272</v>
      </c>
      <c r="E315" s="5" t="s">
        <v>1331</v>
      </c>
      <c r="F315" s="5" t="s">
        <v>988</v>
      </c>
      <c r="G315" s="5" t="s">
        <v>1332</v>
      </c>
      <c r="H315" s="148">
        <v>4</v>
      </c>
      <c r="I315" s="149">
        <v>1949</v>
      </c>
      <c r="J315" s="150">
        <v>0.2</v>
      </c>
      <c r="K315" s="149">
        <v>6236.8</v>
      </c>
      <c r="L315" s="149">
        <v>1425.93</v>
      </c>
      <c r="M315" s="5" t="s">
        <v>1381</v>
      </c>
      <c r="N315" s="5" t="s">
        <v>1352</v>
      </c>
      <c r="O315" s="5" t="s">
        <v>1352</v>
      </c>
      <c r="P315" s="5" t="s">
        <v>1323</v>
      </c>
      <c r="Q315" s="5" t="s">
        <v>1184</v>
      </c>
      <c r="R315" s="151">
        <v>5</v>
      </c>
      <c r="S315" s="143"/>
    </row>
    <row r="316" spans="1:19" x14ac:dyDescent="0.25">
      <c r="A316" s="5" t="s">
        <v>2273</v>
      </c>
      <c r="B316" s="147">
        <v>45812</v>
      </c>
      <c r="C316" s="5" t="s">
        <v>2274</v>
      </c>
      <c r="D316" s="5" t="s">
        <v>2275</v>
      </c>
      <c r="E316" s="5" t="s">
        <v>1318</v>
      </c>
      <c r="F316" s="5" t="s">
        <v>1319</v>
      </c>
      <c r="G316" s="5" t="s">
        <v>1320</v>
      </c>
      <c r="H316" s="148">
        <v>3</v>
      </c>
      <c r="I316" s="149">
        <v>293</v>
      </c>
      <c r="J316" s="150">
        <v>0.05</v>
      </c>
      <c r="K316" s="149">
        <v>835.05</v>
      </c>
      <c r="L316" s="149">
        <v>81.28</v>
      </c>
      <c r="M316" s="5" t="s">
        <v>1381</v>
      </c>
      <c r="N316" s="5" t="s">
        <v>1321</v>
      </c>
      <c r="O316" s="5" t="s">
        <v>1322</v>
      </c>
      <c r="P316" s="5" t="s">
        <v>1327</v>
      </c>
      <c r="Q316" s="5" t="s">
        <v>1204</v>
      </c>
      <c r="R316" s="151">
        <v>5</v>
      </c>
      <c r="S316" s="143"/>
    </row>
    <row r="317" spans="1:19" x14ac:dyDescent="0.25">
      <c r="A317" s="5" t="s">
        <v>2276</v>
      </c>
      <c r="B317" s="147">
        <v>45910</v>
      </c>
      <c r="C317" s="5" t="s">
        <v>2277</v>
      </c>
      <c r="D317" s="5" t="s">
        <v>2278</v>
      </c>
      <c r="E317" s="5" t="s">
        <v>1359</v>
      </c>
      <c r="F317" s="5" t="s">
        <v>1360</v>
      </c>
      <c r="G317" s="5" t="s">
        <v>1361</v>
      </c>
      <c r="H317" s="148">
        <v>1</v>
      </c>
      <c r="I317" s="149">
        <v>1020</v>
      </c>
      <c r="J317" s="150">
        <v>0.05</v>
      </c>
      <c r="K317" s="149">
        <v>969</v>
      </c>
      <c r="L317" s="149">
        <v>221.48</v>
      </c>
      <c r="M317" s="5" t="s">
        <v>1381</v>
      </c>
      <c r="N317" s="5" t="s">
        <v>1352</v>
      </c>
      <c r="O317" s="5" t="s">
        <v>1352</v>
      </c>
      <c r="P317" s="5" t="s">
        <v>1348</v>
      </c>
      <c r="Q317" s="5" t="s">
        <v>1204</v>
      </c>
      <c r="R317" s="151">
        <v>1</v>
      </c>
      <c r="S317" s="143"/>
    </row>
    <row r="318" spans="1:19" x14ac:dyDescent="0.25">
      <c r="A318" s="5" t="s">
        <v>2279</v>
      </c>
      <c r="B318" s="147">
        <v>45958</v>
      </c>
      <c r="C318" s="5" t="s">
        <v>2280</v>
      </c>
      <c r="D318" s="5" t="s">
        <v>2281</v>
      </c>
      <c r="E318" s="5" t="s">
        <v>1342</v>
      </c>
      <c r="F318" s="5" t="s">
        <v>988</v>
      </c>
      <c r="G318" s="5" t="s">
        <v>1343</v>
      </c>
      <c r="H318" s="148">
        <v>1</v>
      </c>
      <c r="I318" s="149">
        <v>12049</v>
      </c>
      <c r="J318" s="150">
        <v>0.15</v>
      </c>
      <c r="K318" s="149">
        <v>10241.65</v>
      </c>
      <c r="L318" s="149">
        <v>2748.29</v>
      </c>
      <c r="M318" s="5" t="s">
        <v>1313</v>
      </c>
      <c r="N318" s="5" t="s">
        <v>1352</v>
      </c>
      <c r="O318" s="5" t="s">
        <v>1352</v>
      </c>
      <c r="P318" s="5" t="s">
        <v>1323</v>
      </c>
      <c r="Q318" s="5" t="s">
        <v>1306</v>
      </c>
      <c r="R318" s="151">
        <v>3</v>
      </c>
      <c r="S318" s="143"/>
    </row>
    <row r="319" spans="1:19" x14ac:dyDescent="0.25">
      <c r="A319" s="5" t="s">
        <v>2282</v>
      </c>
      <c r="B319" s="147">
        <v>45734</v>
      </c>
      <c r="C319" s="5" t="s">
        <v>2283</v>
      </c>
      <c r="D319" s="5" t="s">
        <v>2284</v>
      </c>
      <c r="E319" s="5" t="s">
        <v>1195</v>
      </c>
      <c r="F319" s="5" t="s">
        <v>988</v>
      </c>
      <c r="G319" s="5" t="s">
        <v>1336</v>
      </c>
      <c r="H319" s="148">
        <v>2</v>
      </c>
      <c r="I319" s="149">
        <v>13112</v>
      </c>
      <c r="J319" s="150">
        <v>0.2</v>
      </c>
      <c r="K319" s="149">
        <v>20979.200000000001</v>
      </c>
      <c r="L319" s="149">
        <v>2891.91</v>
      </c>
      <c r="M319" s="5" t="s">
        <v>1381</v>
      </c>
      <c r="N319" s="5" t="s">
        <v>1297</v>
      </c>
      <c r="O319" s="5" t="s">
        <v>1298</v>
      </c>
      <c r="P319" s="5" t="s">
        <v>1327</v>
      </c>
      <c r="Q319" s="5" t="s">
        <v>1184</v>
      </c>
      <c r="R319" s="151">
        <v>4</v>
      </c>
      <c r="S319" s="143"/>
    </row>
    <row r="320" spans="1:19" x14ac:dyDescent="0.25">
      <c r="A320" s="5" t="s">
        <v>2285</v>
      </c>
      <c r="B320" s="147">
        <v>45658</v>
      </c>
      <c r="C320" s="5" t="s">
        <v>2286</v>
      </c>
      <c r="D320" s="5" t="s">
        <v>2287</v>
      </c>
      <c r="E320" s="5" t="s">
        <v>1310</v>
      </c>
      <c r="F320" s="5" t="s">
        <v>1311</v>
      </c>
      <c r="G320" s="5" t="s">
        <v>1312</v>
      </c>
      <c r="H320" s="148">
        <v>3</v>
      </c>
      <c r="I320" s="149">
        <v>3683</v>
      </c>
      <c r="J320" s="150">
        <v>0.1</v>
      </c>
      <c r="K320" s="149">
        <v>9944.1</v>
      </c>
      <c r="L320" s="149">
        <v>1135.5</v>
      </c>
      <c r="M320" s="5" t="s">
        <v>1344</v>
      </c>
      <c r="N320" s="5" t="s">
        <v>1362</v>
      </c>
      <c r="O320" s="5" t="s">
        <v>1363</v>
      </c>
      <c r="P320" s="5" t="s">
        <v>1299</v>
      </c>
      <c r="Q320" s="5" t="s">
        <v>1306</v>
      </c>
      <c r="R320" s="151">
        <v>1</v>
      </c>
      <c r="S320" s="143"/>
    </row>
    <row r="321" spans="1:19" x14ac:dyDescent="0.25">
      <c r="A321" s="5" t="s">
        <v>2288</v>
      </c>
      <c r="B321" s="147">
        <v>45838</v>
      </c>
      <c r="C321" s="5" t="s">
        <v>2289</v>
      </c>
      <c r="D321" s="5" t="s">
        <v>2290</v>
      </c>
      <c r="E321" s="5" t="s">
        <v>1318</v>
      </c>
      <c r="F321" s="5" t="s">
        <v>1319</v>
      </c>
      <c r="G321" s="5" t="s">
        <v>1320</v>
      </c>
      <c r="H321" s="148">
        <v>1</v>
      </c>
      <c r="I321" s="149">
        <v>11976</v>
      </c>
      <c r="J321" s="150">
        <v>0</v>
      </c>
      <c r="K321" s="149">
        <v>11976</v>
      </c>
      <c r="L321" s="149">
        <v>2251.12</v>
      </c>
      <c r="M321" s="5" t="s">
        <v>1313</v>
      </c>
      <c r="N321" s="5" t="s">
        <v>1362</v>
      </c>
      <c r="O321" s="5" t="s">
        <v>1363</v>
      </c>
      <c r="P321" s="5" t="s">
        <v>1314</v>
      </c>
      <c r="Q321" s="5" t="s">
        <v>1184</v>
      </c>
      <c r="R321" s="151">
        <v>4</v>
      </c>
      <c r="S321" s="143"/>
    </row>
    <row r="322" spans="1:19" x14ac:dyDescent="0.25">
      <c r="A322" s="5" t="s">
        <v>2291</v>
      </c>
      <c r="B322" s="147">
        <v>45881</v>
      </c>
      <c r="C322" s="5" t="s">
        <v>2292</v>
      </c>
      <c r="D322" s="5" t="s">
        <v>2293</v>
      </c>
      <c r="E322" s="5" t="s">
        <v>1295</v>
      </c>
      <c r="F322" s="5" t="s">
        <v>985</v>
      </c>
      <c r="G322" s="5" t="s">
        <v>1296</v>
      </c>
      <c r="H322" s="148">
        <v>2</v>
      </c>
      <c r="I322" s="149">
        <v>10406</v>
      </c>
      <c r="J322" s="150">
        <v>0.05</v>
      </c>
      <c r="K322" s="149">
        <v>19771.400000000001</v>
      </c>
      <c r="L322" s="149">
        <v>3555.99</v>
      </c>
      <c r="M322" s="5" t="s">
        <v>1344</v>
      </c>
      <c r="N322" s="5" t="s">
        <v>1321</v>
      </c>
      <c r="O322" s="5" t="s">
        <v>1322</v>
      </c>
      <c r="P322" s="5" t="s">
        <v>1314</v>
      </c>
      <c r="Q322" s="5" t="s">
        <v>1204</v>
      </c>
      <c r="R322" s="151">
        <v>4</v>
      </c>
      <c r="S322" s="143"/>
    </row>
    <row r="323" spans="1:19" x14ac:dyDescent="0.25">
      <c r="A323" s="5" t="s">
        <v>2294</v>
      </c>
      <c r="B323" s="147">
        <v>45883</v>
      </c>
      <c r="C323" s="5" t="s">
        <v>2295</v>
      </c>
      <c r="D323" s="5" t="s">
        <v>2296</v>
      </c>
      <c r="E323" s="5" t="s">
        <v>1295</v>
      </c>
      <c r="F323" s="5" t="s">
        <v>985</v>
      </c>
      <c r="G323" s="5" t="s">
        <v>1296</v>
      </c>
      <c r="H323" s="148">
        <v>2</v>
      </c>
      <c r="I323" s="149">
        <v>9377</v>
      </c>
      <c r="J323" s="150">
        <v>0.05</v>
      </c>
      <c r="K323" s="149">
        <v>17816.3</v>
      </c>
      <c r="L323" s="149">
        <v>4080.99</v>
      </c>
      <c r="M323" s="5" t="s">
        <v>1313</v>
      </c>
      <c r="N323" s="5" t="s">
        <v>1321</v>
      </c>
      <c r="O323" s="5" t="s">
        <v>1322</v>
      </c>
      <c r="P323" s="5" t="s">
        <v>1314</v>
      </c>
      <c r="Q323" s="5" t="s">
        <v>1300</v>
      </c>
      <c r="R323" s="151">
        <v>2</v>
      </c>
      <c r="S323" s="143"/>
    </row>
    <row r="324" spans="1:19" x14ac:dyDescent="0.25">
      <c r="A324" s="5" t="s">
        <v>2297</v>
      </c>
      <c r="B324" s="147">
        <v>45834</v>
      </c>
      <c r="C324" s="5" t="s">
        <v>2298</v>
      </c>
      <c r="D324" s="5" t="s">
        <v>2299</v>
      </c>
      <c r="E324" s="5" t="s">
        <v>1295</v>
      </c>
      <c r="F324" s="5" t="s">
        <v>985</v>
      </c>
      <c r="G324" s="5" t="s">
        <v>1296</v>
      </c>
      <c r="H324" s="148">
        <v>5</v>
      </c>
      <c r="I324" s="149">
        <v>8274</v>
      </c>
      <c r="J324" s="150">
        <v>0.15</v>
      </c>
      <c r="K324" s="149">
        <v>35164.5</v>
      </c>
      <c r="L324" s="149">
        <v>9765</v>
      </c>
      <c r="M324" s="5" t="s">
        <v>1126</v>
      </c>
      <c r="N324" s="5" t="s">
        <v>1362</v>
      </c>
      <c r="O324" s="5" t="s">
        <v>1363</v>
      </c>
      <c r="P324" s="5" t="s">
        <v>1327</v>
      </c>
      <c r="Q324" s="5" t="s">
        <v>1306</v>
      </c>
      <c r="R324" s="151">
        <v>1</v>
      </c>
      <c r="S324" s="143"/>
    </row>
    <row r="325" spans="1:19" x14ac:dyDescent="0.25">
      <c r="A325" s="5" t="s">
        <v>2300</v>
      </c>
      <c r="B325" s="147">
        <v>45724</v>
      </c>
      <c r="C325" s="5" t="s">
        <v>2301</v>
      </c>
      <c r="D325" s="5" t="s">
        <v>2302</v>
      </c>
      <c r="E325" s="5" t="s">
        <v>1195</v>
      </c>
      <c r="F325" s="5" t="s">
        <v>988</v>
      </c>
      <c r="G325" s="5" t="s">
        <v>1336</v>
      </c>
      <c r="H325" s="148">
        <v>4</v>
      </c>
      <c r="I325" s="149">
        <v>1767</v>
      </c>
      <c r="J325" s="150">
        <v>0.05</v>
      </c>
      <c r="K325" s="149">
        <v>6714.6</v>
      </c>
      <c r="L325" s="149">
        <v>931.72</v>
      </c>
      <c r="M325" s="5" t="s">
        <v>1130</v>
      </c>
      <c r="N325" s="5" t="s">
        <v>1297</v>
      </c>
      <c r="O325" s="5" t="s">
        <v>1298</v>
      </c>
      <c r="P325" s="5" t="s">
        <v>1314</v>
      </c>
      <c r="Q325" s="5" t="s">
        <v>1184</v>
      </c>
      <c r="R325" s="151">
        <v>3</v>
      </c>
      <c r="S325" s="143"/>
    </row>
    <row r="326" spans="1:19" x14ac:dyDescent="0.25">
      <c r="A326" s="5" t="s">
        <v>2303</v>
      </c>
      <c r="B326" s="147">
        <v>46022</v>
      </c>
      <c r="C326" s="5" t="s">
        <v>2304</v>
      </c>
      <c r="D326" s="5" t="s">
        <v>2305</v>
      </c>
      <c r="E326" s="5" t="s">
        <v>1195</v>
      </c>
      <c r="F326" s="5" t="s">
        <v>988</v>
      </c>
      <c r="G326" s="5" t="s">
        <v>1336</v>
      </c>
      <c r="H326" s="148">
        <v>4</v>
      </c>
      <c r="I326" s="149">
        <v>7070</v>
      </c>
      <c r="J326" s="150">
        <v>0</v>
      </c>
      <c r="K326" s="149">
        <v>28280</v>
      </c>
      <c r="L326" s="149">
        <v>4031.18</v>
      </c>
      <c r="M326" s="5" t="s">
        <v>1313</v>
      </c>
      <c r="N326" s="5" t="s">
        <v>1297</v>
      </c>
      <c r="O326" s="5" t="s">
        <v>1298</v>
      </c>
      <c r="P326" s="5" t="s">
        <v>1323</v>
      </c>
      <c r="Q326" s="5" t="s">
        <v>1184</v>
      </c>
      <c r="R326" s="151">
        <v>3</v>
      </c>
      <c r="S326" s="143"/>
    </row>
    <row r="327" spans="1:19" x14ac:dyDescent="0.25">
      <c r="A327" s="5" t="s">
        <v>2306</v>
      </c>
      <c r="B327" s="147">
        <v>45835</v>
      </c>
      <c r="C327" s="5" t="s">
        <v>2307</v>
      </c>
      <c r="D327" s="5" t="s">
        <v>2308</v>
      </c>
      <c r="E327" s="5" t="s">
        <v>1370</v>
      </c>
      <c r="F327" s="5" t="s">
        <v>1160</v>
      </c>
      <c r="G327" s="5" t="s">
        <v>1371</v>
      </c>
      <c r="H327" s="148">
        <v>3</v>
      </c>
      <c r="I327" s="149">
        <v>5561</v>
      </c>
      <c r="J327" s="150">
        <v>0.15</v>
      </c>
      <c r="K327" s="149">
        <v>14180.55</v>
      </c>
      <c r="L327" s="149">
        <v>3739.92</v>
      </c>
      <c r="M327" s="5" t="s">
        <v>1381</v>
      </c>
      <c r="N327" s="5" t="s">
        <v>1352</v>
      </c>
      <c r="O327" s="5" t="s">
        <v>1352</v>
      </c>
      <c r="P327" s="5" t="s">
        <v>1327</v>
      </c>
      <c r="Q327" s="5" t="s">
        <v>1184</v>
      </c>
      <c r="R327" s="151">
        <v>1</v>
      </c>
      <c r="S327" s="143"/>
    </row>
    <row r="328" spans="1:19" x14ac:dyDescent="0.25">
      <c r="A328" s="5" t="s">
        <v>2309</v>
      </c>
      <c r="B328" s="147">
        <v>45683</v>
      </c>
      <c r="C328" s="5" t="s">
        <v>2310</v>
      </c>
      <c r="D328" s="5" t="s">
        <v>2311</v>
      </c>
      <c r="E328" s="5" t="s">
        <v>1342</v>
      </c>
      <c r="F328" s="5" t="s">
        <v>988</v>
      </c>
      <c r="G328" s="5" t="s">
        <v>1343</v>
      </c>
      <c r="H328" s="148">
        <v>4</v>
      </c>
      <c r="I328" s="149">
        <v>10328</v>
      </c>
      <c r="J328" s="150">
        <v>0</v>
      </c>
      <c r="K328" s="149">
        <v>41312</v>
      </c>
      <c r="L328" s="149">
        <v>6684.54</v>
      </c>
      <c r="M328" s="5" t="s">
        <v>1313</v>
      </c>
      <c r="N328" s="5" t="s">
        <v>1297</v>
      </c>
      <c r="O328" s="5" t="s">
        <v>1298</v>
      </c>
      <c r="P328" s="5" t="s">
        <v>1348</v>
      </c>
      <c r="Q328" s="5" t="s">
        <v>1300</v>
      </c>
      <c r="R328" s="151">
        <v>2</v>
      </c>
      <c r="S328" s="143"/>
    </row>
    <row r="329" spans="1:19" x14ac:dyDescent="0.25">
      <c r="A329" s="5" t="s">
        <v>2312</v>
      </c>
      <c r="B329" s="147">
        <v>45910</v>
      </c>
      <c r="C329" s="5" t="s">
        <v>2313</v>
      </c>
      <c r="D329" s="5" t="s">
        <v>2314</v>
      </c>
      <c r="E329" s="5" t="s">
        <v>1318</v>
      </c>
      <c r="F329" s="5" t="s">
        <v>1319</v>
      </c>
      <c r="G329" s="5" t="s">
        <v>1320</v>
      </c>
      <c r="H329" s="148">
        <v>4</v>
      </c>
      <c r="I329" s="149">
        <v>4131</v>
      </c>
      <c r="J329" s="150">
        <v>0.15</v>
      </c>
      <c r="K329" s="149">
        <v>14045.4</v>
      </c>
      <c r="L329" s="149">
        <v>1535.07</v>
      </c>
      <c r="M329" s="5" t="s">
        <v>1130</v>
      </c>
      <c r="N329" s="5" t="s">
        <v>1304</v>
      </c>
      <c r="O329" s="5" t="s">
        <v>1305</v>
      </c>
      <c r="P329" s="5" t="s">
        <v>1327</v>
      </c>
      <c r="Q329" s="5" t="s">
        <v>1300</v>
      </c>
      <c r="R329" s="151">
        <v>4</v>
      </c>
      <c r="S329" s="143"/>
    </row>
    <row r="330" spans="1:19" x14ac:dyDescent="0.25">
      <c r="A330" s="5" t="s">
        <v>2315</v>
      </c>
      <c r="B330" s="147">
        <v>45978</v>
      </c>
      <c r="C330" s="5" t="s">
        <v>2316</v>
      </c>
      <c r="D330" s="5" t="s">
        <v>2317</v>
      </c>
      <c r="E330" s="5" t="s">
        <v>1370</v>
      </c>
      <c r="F330" s="5" t="s">
        <v>1160</v>
      </c>
      <c r="G330" s="5" t="s">
        <v>1371</v>
      </c>
      <c r="H330" s="148">
        <v>5</v>
      </c>
      <c r="I330" s="149">
        <v>6287</v>
      </c>
      <c r="J330" s="150">
        <v>0.2</v>
      </c>
      <c r="K330" s="149">
        <v>25148</v>
      </c>
      <c r="L330" s="149">
        <v>3193.85</v>
      </c>
      <c r="M330" s="5" t="s">
        <v>1381</v>
      </c>
      <c r="N330" s="5" t="s">
        <v>1337</v>
      </c>
      <c r="O330" s="5" t="s">
        <v>1338</v>
      </c>
      <c r="P330" s="5" t="s">
        <v>1348</v>
      </c>
      <c r="Q330" s="5" t="s">
        <v>1204</v>
      </c>
      <c r="R330" s="151">
        <v>2</v>
      </c>
      <c r="S330" s="143"/>
    </row>
    <row r="331" spans="1:19" x14ac:dyDescent="0.25">
      <c r="A331" s="5" t="s">
        <v>2318</v>
      </c>
      <c r="B331" s="147">
        <v>45773</v>
      </c>
      <c r="C331" s="5" t="s">
        <v>2319</v>
      </c>
      <c r="D331" s="5" t="s">
        <v>2320</v>
      </c>
      <c r="E331" s="5" t="s">
        <v>1359</v>
      </c>
      <c r="F331" s="5" t="s">
        <v>1360</v>
      </c>
      <c r="G331" s="5" t="s">
        <v>1361</v>
      </c>
      <c r="H331" s="148">
        <v>5</v>
      </c>
      <c r="I331" s="149">
        <v>13227</v>
      </c>
      <c r="J331" s="150">
        <v>0.2</v>
      </c>
      <c r="K331" s="149">
        <v>52908</v>
      </c>
      <c r="L331" s="149">
        <v>5773.23</v>
      </c>
      <c r="M331" s="5" t="s">
        <v>1126</v>
      </c>
      <c r="N331" s="5" t="s">
        <v>1304</v>
      </c>
      <c r="O331" s="5" t="s">
        <v>1305</v>
      </c>
      <c r="P331" s="5" t="s">
        <v>1314</v>
      </c>
      <c r="Q331" s="5" t="s">
        <v>1300</v>
      </c>
      <c r="R331" s="151">
        <v>4</v>
      </c>
      <c r="S331" s="143"/>
    </row>
    <row r="332" spans="1:19" x14ac:dyDescent="0.25">
      <c r="A332" s="5" t="s">
        <v>2321</v>
      </c>
      <c r="B332" s="147">
        <v>45669</v>
      </c>
      <c r="C332" s="5" t="s">
        <v>2322</v>
      </c>
      <c r="D332" s="5" t="s">
        <v>2323</v>
      </c>
      <c r="E332" s="5" t="s">
        <v>1310</v>
      </c>
      <c r="F332" s="5" t="s">
        <v>1311</v>
      </c>
      <c r="G332" s="5" t="s">
        <v>1312</v>
      </c>
      <c r="H332" s="148">
        <v>1</v>
      </c>
      <c r="I332" s="149">
        <v>8487</v>
      </c>
      <c r="J332" s="150">
        <v>0.05</v>
      </c>
      <c r="K332" s="149">
        <v>8062.65</v>
      </c>
      <c r="L332" s="149">
        <v>1511.33</v>
      </c>
      <c r="M332" s="5" t="s">
        <v>1344</v>
      </c>
      <c r="N332" s="5" t="s">
        <v>1352</v>
      </c>
      <c r="O332" s="5" t="s">
        <v>1352</v>
      </c>
      <c r="P332" s="5" t="s">
        <v>1323</v>
      </c>
      <c r="Q332" s="5" t="s">
        <v>1204</v>
      </c>
      <c r="R332" s="151">
        <v>2</v>
      </c>
      <c r="S332" s="143"/>
    </row>
    <row r="333" spans="1:19" x14ac:dyDescent="0.25">
      <c r="A333" s="5" t="s">
        <v>2324</v>
      </c>
      <c r="B333" s="147">
        <v>45854</v>
      </c>
      <c r="C333" s="5" t="s">
        <v>2325</v>
      </c>
      <c r="D333" s="5" t="s">
        <v>2326</v>
      </c>
      <c r="E333" s="5" t="s">
        <v>1318</v>
      </c>
      <c r="F333" s="5" t="s">
        <v>1319</v>
      </c>
      <c r="G333" s="5" t="s">
        <v>1320</v>
      </c>
      <c r="H333" s="148">
        <v>5</v>
      </c>
      <c r="I333" s="149">
        <v>2492</v>
      </c>
      <c r="J333" s="150">
        <v>0.2</v>
      </c>
      <c r="K333" s="149">
        <v>9968</v>
      </c>
      <c r="L333" s="149">
        <v>1534.63</v>
      </c>
      <c r="M333" s="5" t="s">
        <v>1130</v>
      </c>
      <c r="N333" s="5" t="s">
        <v>1321</v>
      </c>
      <c r="O333" s="5" t="s">
        <v>1322</v>
      </c>
      <c r="P333" s="5" t="s">
        <v>1327</v>
      </c>
      <c r="Q333" s="5" t="s">
        <v>1306</v>
      </c>
      <c r="R333" s="151">
        <v>2</v>
      </c>
      <c r="S333" s="143"/>
    </row>
    <row r="334" spans="1:19" x14ac:dyDescent="0.25">
      <c r="A334" s="5" t="s">
        <v>2327</v>
      </c>
      <c r="B334" s="147">
        <v>45939</v>
      </c>
      <c r="C334" s="5" t="s">
        <v>2328</v>
      </c>
      <c r="D334" s="5" t="s">
        <v>2329</v>
      </c>
      <c r="E334" s="5" t="s">
        <v>1318</v>
      </c>
      <c r="F334" s="5" t="s">
        <v>1319</v>
      </c>
      <c r="G334" s="5" t="s">
        <v>1320</v>
      </c>
      <c r="H334" s="148">
        <v>2</v>
      </c>
      <c r="I334" s="149">
        <v>3007</v>
      </c>
      <c r="J334" s="150">
        <v>0</v>
      </c>
      <c r="K334" s="149">
        <v>6014</v>
      </c>
      <c r="L334" s="149">
        <v>1369.5</v>
      </c>
      <c r="M334" s="5" t="s">
        <v>1381</v>
      </c>
      <c r="N334" s="5" t="s">
        <v>1304</v>
      </c>
      <c r="O334" s="5" t="s">
        <v>1305</v>
      </c>
      <c r="P334" s="5" t="s">
        <v>1348</v>
      </c>
      <c r="Q334" s="5" t="s">
        <v>1306</v>
      </c>
      <c r="R334" s="151">
        <v>5</v>
      </c>
      <c r="S334" s="143"/>
    </row>
    <row r="335" spans="1:19" x14ac:dyDescent="0.25">
      <c r="A335" s="5" t="s">
        <v>2330</v>
      </c>
      <c r="B335" s="147">
        <v>45829</v>
      </c>
      <c r="C335" s="5" t="s">
        <v>2331</v>
      </c>
      <c r="D335" s="5" t="s">
        <v>2332</v>
      </c>
      <c r="E335" s="5" t="s">
        <v>1342</v>
      </c>
      <c r="F335" s="5" t="s">
        <v>988</v>
      </c>
      <c r="G335" s="5" t="s">
        <v>1343</v>
      </c>
      <c r="H335" s="148">
        <v>3</v>
      </c>
      <c r="I335" s="149">
        <v>13956</v>
      </c>
      <c r="J335" s="150">
        <v>0.2</v>
      </c>
      <c r="K335" s="149">
        <v>33494.400000000001</v>
      </c>
      <c r="L335" s="149">
        <v>3925.84</v>
      </c>
      <c r="M335" s="5" t="s">
        <v>1344</v>
      </c>
      <c r="N335" s="5" t="s">
        <v>1297</v>
      </c>
      <c r="O335" s="5" t="s">
        <v>1298</v>
      </c>
      <c r="P335" s="5" t="s">
        <v>1327</v>
      </c>
      <c r="Q335" s="5" t="s">
        <v>1300</v>
      </c>
      <c r="R335" s="151">
        <v>1</v>
      </c>
      <c r="S335" s="143"/>
    </row>
    <row r="336" spans="1:19" x14ac:dyDescent="0.25">
      <c r="A336" s="5" t="s">
        <v>2333</v>
      </c>
      <c r="B336" s="147">
        <v>45811</v>
      </c>
      <c r="C336" s="5" t="s">
        <v>2334</v>
      </c>
      <c r="D336" s="5" t="s">
        <v>2335</v>
      </c>
      <c r="E336" s="5" t="s">
        <v>1295</v>
      </c>
      <c r="F336" s="5" t="s">
        <v>985</v>
      </c>
      <c r="G336" s="5" t="s">
        <v>1296</v>
      </c>
      <c r="H336" s="148">
        <v>2</v>
      </c>
      <c r="I336" s="149">
        <v>1368</v>
      </c>
      <c r="J336" s="150">
        <v>0.15</v>
      </c>
      <c r="K336" s="149">
        <v>2325.6</v>
      </c>
      <c r="L336" s="149">
        <v>214.8</v>
      </c>
      <c r="M336" s="5" t="s">
        <v>1126</v>
      </c>
      <c r="N336" s="5" t="s">
        <v>1352</v>
      </c>
      <c r="O336" s="5" t="s">
        <v>1352</v>
      </c>
      <c r="P336" s="5" t="s">
        <v>1314</v>
      </c>
      <c r="Q336" s="5" t="s">
        <v>1204</v>
      </c>
      <c r="R336" s="151">
        <v>2</v>
      </c>
      <c r="S336" s="143"/>
    </row>
    <row r="337" spans="1:19" x14ac:dyDescent="0.25">
      <c r="A337" s="5" t="s">
        <v>2336</v>
      </c>
      <c r="B337" s="147">
        <v>45669</v>
      </c>
      <c r="C337" s="5" t="s">
        <v>2337</v>
      </c>
      <c r="D337" s="5" t="s">
        <v>2338</v>
      </c>
      <c r="E337" s="5" t="s">
        <v>1295</v>
      </c>
      <c r="F337" s="5" t="s">
        <v>985</v>
      </c>
      <c r="G337" s="5" t="s">
        <v>1296</v>
      </c>
      <c r="H337" s="148">
        <v>1</v>
      </c>
      <c r="I337" s="149">
        <v>7392</v>
      </c>
      <c r="J337" s="150">
        <v>0.1</v>
      </c>
      <c r="K337" s="149">
        <v>6652.8</v>
      </c>
      <c r="L337" s="149">
        <v>1213.6199999999999</v>
      </c>
      <c r="M337" s="5" t="s">
        <v>1313</v>
      </c>
      <c r="N337" s="5" t="s">
        <v>1337</v>
      </c>
      <c r="O337" s="5" t="s">
        <v>1338</v>
      </c>
      <c r="P337" s="5" t="s">
        <v>1299</v>
      </c>
      <c r="Q337" s="5" t="s">
        <v>1300</v>
      </c>
      <c r="R337" s="151">
        <v>5</v>
      </c>
      <c r="S337" s="143"/>
    </row>
    <row r="338" spans="1:19" x14ac:dyDescent="0.25">
      <c r="A338" s="5" t="s">
        <v>2339</v>
      </c>
      <c r="B338" s="147">
        <v>45691</v>
      </c>
      <c r="C338" s="5" t="s">
        <v>2340</v>
      </c>
      <c r="D338" s="5" t="s">
        <v>2341</v>
      </c>
      <c r="E338" s="5" t="s">
        <v>1370</v>
      </c>
      <c r="F338" s="5" t="s">
        <v>1160</v>
      </c>
      <c r="G338" s="5" t="s">
        <v>1371</v>
      </c>
      <c r="H338" s="148">
        <v>3</v>
      </c>
      <c r="I338" s="149">
        <v>3682</v>
      </c>
      <c r="J338" s="150">
        <v>0.1</v>
      </c>
      <c r="K338" s="149">
        <v>9941.4</v>
      </c>
      <c r="L338" s="149">
        <v>1241.7</v>
      </c>
      <c r="M338" s="5" t="s">
        <v>1313</v>
      </c>
      <c r="N338" s="5" t="s">
        <v>1337</v>
      </c>
      <c r="O338" s="5" t="s">
        <v>1338</v>
      </c>
      <c r="P338" s="5" t="s">
        <v>1299</v>
      </c>
      <c r="Q338" s="5" t="s">
        <v>1300</v>
      </c>
      <c r="R338" s="151">
        <v>5</v>
      </c>
      <c r="S338" s="143"/>
    </row>
    <row r="339" spans="1:19" x14ac:dyDescent="0.25">
      <c r="A339" s="5" t="s">
        <v>2342</v>
      </c>
      <c r="B339" s="147">
        <v>45832</v>
      </c>
      <c r="C339" s="5" t="s">
        <v>2343</v>
      </c>
      <c r="D339" s="5" t="s">
        <v>2344</v>
      </c>
      <c r="E339" s="5" t="s">
        <v>1318</v>
      </c>
      <c r="F339" s="5" t="s">
        <v>1319</v>
      </c>
      <c r="G339" s="5" t="s">
        <v>1320</v>
      </c>
      <c r="H339" s="148">
        <v>5</v>
      </c>
      <c r="I339" s="149">
        <v>11922</v>
      </c>
      <c r="J339" s="150">
        <v>0.15</v>
      </c>
      <c r="K339" s="149">
        <v>50668.5</v>
      </c>
      <c r="L339" s="149">
        <v>8335.7900000000009</v>
      </c>
      <c r="M339" s="5" t="s">
        <v>1130</v>
      </c>
      <c r="N339" s="5" t="s">
        <v>1362</v>
      </c>
      <c r="O339" s="5" t="s">
        <v>1363</v>
      </c>
      <c r="P339" s="5" t="s">
        <v>1314</v>
      </c>
      <c r="Q339" s="5" t="s">
        <v>1300</v>
      </c>
      <c r="R339" s="151">
        <v>4</v>
      </c>
      <c r="S339" s="143"/>
    </row>
    <row r="340" spans="1:19" x14ac:dyDescent="0.25">
      <c r="A340" s="5" t="s">
        <v>2345</v>
      </c>
      <c r="B340" s="147">
        <v>45729</v>
      </c>
      <c r="C340" s="5" t="s">
        <v>2346</v>
      </c>
      <c r="D340" s="5" t="s">
        <v>2347</v>
      </c>
      <c r="E340" s="5" t="s">
        <v>1295</v>
      </c>
      <c r="F340" s="5" t="s">
        <v>985</v>
      </c>
      <c r="G340" s="5" t="s">
        <v>1296</v>
      </c>
      <c r="H340" s="148">
        <v>5</v>
      </c>
      <c r="I340" s="149">
        <v>11800</v>
      </c>
      <c r="J340" s="150">
        <v>0.1</v>
      </c>
      <c r="K340" s="149">
        <v>53100</v>
      </c>
      <c r="L340" s="149">
        <v>9790.23</v>
      </c>
      <c r="M340" s="5" t="s">
        <v>1344</v>
      </c>
      <c r="N340" s="5" t="s">
        <v>1352</v>
      </c>
      <c r="O340" s="5" t="s">
        <v>1352</v>
      </c>
      <c r="P340" s="5" t="s">
        <v>1299</v>
      </c>
      <c r="Q340" s="5" t="s">
        <v>1184</v>
      </c>
      <c r="R340" s="151">
        <v>5</v>
      </c>
      <c r="S340" s="143"/>
    </row>
    <row r="341" spans="1:19" x14ac:dyDescent="0.25">
      <c r="A341" s="5" t="s">
        <v>2348</v>
      </c>
      <c r="B341" s="147">
        <v>45958</v>
      </c>
      <c r="C341" s="5" t="s">
        <v>2349</v>
      </c>
      <c r="D341" s="5" t="s">
        <v>2350</v>
      </c>
      <c r="E341" s="5" t="s">
        <v>1359</v>
      </c>
      <c r="F341" s="5" t="s">
        <v>1360</v>
      </c>
      <c r="G341" s="5" t="s">
        <v>1361</v>
      </c>
      <c r="H341" s="148">
        <v>1</v>
      </c>
      <c r="I341" s="149">
        <v>9740</v>
      </c>
      <c r="J341" s="150">
        <v>0</v>
      </c>
      <c r="K341" s="149">
        <v>9740</v>
      </c>
      <c r="L341" s="149">
        <v>1966.84</v>
      </c>
      <c r="M341" s="5" t="s">
        <v>1126</v>
      </c>
      <c r="N341" s="5" t="s">
        <v>1297</v>
      </c>
      <c r="O341" s="5" t="s">
        <v>1298</v>
      </c>
      <c r="P341" s="5" t="s">
        <v>1327</v>
      </c>
      <c r="Q341" s="5" t="s">
        <v>1204</v>
      </c>
      <c r="R341" s="151">
        <v>3</v>
      </c>
      <c r="S341" s="143"/>
    </row>
    <row r="342" spans="1:19" x14ac:dyDescent="0.25">
      <c r="A342" s="5" t="s">
        <v>2351</v>
      </c>
      <c r="B342" s="147">
        <v>45661</v>
      </c>
      <c r="C342" s="5" t="s">
        <v>2352</v>
      </c>
      <c r="D342" s="5" t="s">
        <v>2353</v>
      </c>
      <c r="E342" s="5" t="s">
        <v>1370</v>
      </c>
      <c r="F342" s="5" t="s">
        <v>1160</v>
      </c>
      <c r="G342" s="5" t="s">
        <v>1371</v>
      </c>
      <c r="H342" s="148">
        <v>4</v>
      </c>
      <c r="I342" s="149">
        <v>9127</v>
      </c>
      <c r="J342" s="150">
        <v>0.15</v>
      </c>
      <c r="K342" s="149">
        <v>31031.8</v>
      </c>
      <c r="L342" s="149">
        <v>3329.55</v>
      </c>
      <c r="M342" s="5" t="s">
        <v>1130</v>
      </c>
      <c r="N342" s="5" t="s">
        <v>1362</v>
      </c>
      <c r="O342" s="5" t="s">
        <v>1363</v>
      </c>
      <c r="P342" s="5" t="s">
        <v>1314</v>
      </c>
      <c r="Q342" s="5" t="s">
        <v>1204</v>
      </c>
      <c r="R342" s="151">
        <v>1</v>
      </c>
      <c r="S342" s="143"/>
    </row>
    <row r="343" spans="1:19" x14ac:dyDescent="0.25">
      <c r="A343" s="5" t="s">
        <v>2354</v>
      </c>
      <c r="B343" s="147">
        <v>45865</v>
      </c>
      <c r="C343" s="5" t="s">
        <v>2355</v>
      </c>
      <c r="D343" s="5" t="s">
        <v>2356</v>
      </c>
      <c r="E343" s="5" t="s">
        <v>1295</v>
      </c>
      <c r="F343" s="5" t="s">
        <v>985</v>
      </c>
      <c r="G343" s="5" t="s">
        <v>1296</v>
      </c>
      <c r="H343" s="148">
        <v>3</v>
      </c>
      <c r="I343" s="149">
        <v>10810</v>
      </c>
      <c r="J343" s="150">
        <v>0.15</v>
      </c>
      <c r="K343" s="149">
        <v>27565.5</v>
      </c>
      <c r="L343" s="149">
        <v>5408.49</v>
      </c>
      <c r="M343" s="5" t="s">
        <v>1130</v>
      </c>
      <c r="N343" s="5" t="s">
        <v>1352</v>
      </c>
      <c r="O343" s="5" t="s">
        <v>1352</v>
      </c>
      <c r="P343" s="5" t="s">
        <v>1299</v>
      </c>
      <c r="Q343" s="5" t="s">
        <v>1300</v>
      </c>
      <c r="R343" s="151">
        <v>5</v>
      </c>
      <c r="S343" s="143"/>
    </row>
    <row r="344" spans="1:19" x14ac:dyDescent="0.25">
      <c r="A344" s="5" t="s">
        <v>2357</v>
      </c>
      <c r="B344" s="147">
        <v>45676</v>
      </c>
      <c r="C344" s="5" t="s">
        <v>2358</v>
      </c>
      <c r="D344" s="5" t="s">
        <v>2359</v>
      </c>
      <c r="E344" s="5" t="s">
        <v>1342</v>
      </c>
      <c r="F344" s="5" t="s">
        <v>988</v>
      </c>
      <c r="G344" s="5" t="s">
        <v>1343</v>
      </c>
      <c r="H344" s="148">
        <v>2</v>
      </c>
      <c r="I344" s="149">
        <v>4384</v>
      </c>
      <c r="J344" s="150">
        <v>0.2</v>
      </c>
      <c r="K344" s="149">
        <v>7014.4</v>
      </c>
      <c r="L344" s="149">
        <v>1750.26</v>
      </c>
      <c r="M344" s="5" t="s">
        <v>1344</v>
      </c>
      <c r="N344" s="5" t="s">
        <v>1297</v>
      </c>
      <c r="O344" s="5" t="s">
        <v>1298</v>
      </c>
      <c r="P344" s="5" t="s">
        <v>1314</v>
      </c>
      <c r="Q344" s="5" t="s">
        <v>1306</v>
      </c>
      <c r="R344" s="151">
        <v>4</v>
      </c>
      <c r="S344" s="143"/>
    </row>
    <row r="345" spans="1:19" x14ac:dyDescent="0.25">
      <c r="A345" s="5" t="s">
        <v>2360</v>
      </c>
      <c r="B345" s="147">
        <v>45803</v>
      </c>
      <c r="C345" s="5" t="s">
        <v>2361</v>
      </c>
      <c r="D345" s="5" t="s">
        <v>2362</v>
      </c>
      <c r="E345" s="5" t="s">
        <v>1370</v>
      </c>
      <c r="F345" s="5" t="s">
        <v>1160</v>
      </c>
      <c r="G345" s="5" t="s">
        <v>1371</v>
      </c>
      <c r="H345" s="148">
        <v>4</v>
      </c>
      <c r="I345" s="149">
        <v>7635</v>
      </c>
      <c r="J345" s="150">
        <v>0.15</v>
      </c>
      <c r="K345" s="149">
        <v>25959</v>
      </c>
      <c r="L345" s="149">
        <v>5660.58</v>
      </c>
      <c r="M345" s="5" t="s">
        <v>1344</v>
      </c>
      <c r="N345" s="5" t="s">
        <v>1321</v>
      </c>
      <c r="O345" s="5" t="s">
        <v>1322</v>
      </c>
      <c r="P345" s="5" t="s">
        <v>1327</v>
      </c>
      <c r="Q345" s="5" t="s">
        <v>1300</v>
      </c>
      <c r="R345" s="151">
        <v>2</v>
      </c>
      <c r="S345" s="143"/>
    </row>
    <row r="346" spans="1:19" x14ac:dyDescent="0.25">
      <c r="A346" s="5" t="s">
        <v>2363</v>
      </c>
      <c r="B346" s="147">
        <v>45867</v>
      </c>
      <c r="C346" s="5" t="s">
        <v>2364</v>
      </c>
      <c r="D346" s="5" t="s">
        <v>2365</v>
      </c>
      <c r="E346" s="5" t="s">
        <v>1359</v>
      </c>
      <c r="F346" s="5" t="s">
        <v>1360</v>
      </c>
      <c r="G346" s="5" t="s">
        <v>1361</v>
      </c>
      <c r="H346" s="148">
        <v>1</v>
      </c>
      <c r="I346" s="149">
        <v>3775</v>
      </c>
      <c r="J346" s="150">
        <v>0.15</v>
      </c>
      <c r="K346" s="149">
        <v>3208.75</v>
      </c>
      <c r="L346" s="149">
        <v>606.36</v>
      </c>
      <c r="M346" s="5" t="s">
        <v>1126</v>
      </c>
      <c r="N346" s="5" t="s">
        <v>1321</v>
      </c>
      <c r="O346" s="5" t="s">
        <v>1322</v>
      </c>
      <c r="P346" s="5" t="s">
        <v>1314</v>
      </c>
      <c r="Q346" s="5" t="s">
        <v>1300</v>
      </c>
      <c r="R346" s="151">
        <v>4</v>
      </c>
      <c r="S346" s="143"/>
    </row>
    <row r="347" spans="1:19" x14ac:dyDescent="0.25">
      <c r="A347" s="5" t="s">
        <v>2366</v>
      </c>
      <c r="B347" s="147">
        <v>45898</v>
      </c>
      <c r="C347" s="5" t="s">
        <v>2367</v>
      </c>
      <c r="D347" s="5" t="s">
        <v>2368</v>
      </c>
      <c r="E347" s="5" t="s">
        <v>1342</v>
      </c>
      <c r="F347" s="5" t="s">
        <v>988</v>
      </c>
      <c r="G347" s="5" t="s">
        <v>1343</v>
      </c>
      <c r="H347" s="148">
        <v>3</v>
      </c>
      <c r="I347" s="149">
        <v>1048</v>
      </c>
      <c r="J347" s="150">
        <v>0</v>
      </c>
      <c r="K347" s="149">
        <v>3144</v>
      </c>
      <c r="L347" s="149">
        <v>539.63</v>
      </c>
      <c r="M347" s="5" t="s">
        <v>1126</v>
      </c>
      <c r="N347" s="5" t="s">
        <v>1352</v>
      </c>
      <c r="O347" s="5" t="s">
        <v>1352</v>
      </c>
      <c r="P347" s="5" t="s">
        <v>1323</v>
      </c>
      <c r="Q347" s="5" t="s">
        <v>1300</v>
      </c>
      <c r="R347" s="151">
        <v>4</v>
      </c>
      <c r="S347" s="143"/>
    </row>
    <row r="348" spans="1:19" x14ac:dyDescent="0.25">
      <c r="A348" s="5" t="s">
        <v>2369</v>
      </c>
      <c r="B348" s="147">
        <v>45821</v>
      </c>
      <c r="C348" s="5" t="s">
        <v>2370</v>
      </c>
      <c r="D348" s="5" t="s">
        <v>2371</v>
      </c>
      <c r="E348" s="5" t="s">
        <v>1370</v>
      </c>
      <c r="F348" s="5" t="s">
        <v>1160</v>
      </c>
      <c r="G348" s="5" t="s">
        <v>1371</v>
      </c>
      <c r="H348" s="148">
        <v>5</v>
      </c>
      <c r="I348" s="149">
        <v>14284</v>
      </c>
      <c r="J348" s="150">
        <v>0.1</v>
      </c>
      <c r="K348" s="149">
        <v>64278</v>
      </c>
      <c r="L348" s="149">
        <v>10438.25</v>
      </c>
      <c r="M348" s="5" t="s">
        <v>1313</v>
      </c>
      <c r="N348" s="5" t="s">
        <v>1304</v>
      </c>
      <c r="O348" s="5" t="s">
        <v>1305</v>
      </c>
      <c r="P348" s="5" t="s">
        <v>1323</v>
      </c>
      <c r="Q348" s="5" t="s">
        <v>1300</v>
      </c>
      <c r="R348" s="151">
        <v>3</v>
      </c>
      <c r="S348" s="143"/>
    </row>
    <row r="349" spans="1:19" x14ac:dyDescent="0.25">
      <c r="A349" s="5" t="s">
        <v>2372</v>
      </c>
      <c r="B349" s="147">
        <v>45894</v>
      </c>
      <c r="C349" s="5" t="s">
        <v>2373</v>
      </c>
      <c r="D349" s="5" t="s">
        <v>2374</v>
      </c>
      <c r="E349" s="5" t="s">
        <v>1195</v>
      </c>
      <c r="F349" s="5" t="s">
        <v>988</v>
      </c>
      <c r="G349" s="5" t="s">
        <v>1336</v>
      </c>
      <c r="H349" s="148">
        <v>5</v>
      </c>
      <c r="I349" s="149">
        <v>12527</v>
      </c>
      <c r="J349" s="150">
        <v>0.05</v>
      </c>
      <c r="K349" s="149">
        <v>59503.25</v>
      </c>
      <c r="L349" s="149">
        <v>11303.12</v>
      </c>
      <c r="M349" s="5" t="s">
        <v>1313</v>
      </c>
      <c r="N349" s="5" t="s">
        <v>1337</v>
      </c>
      <c r="O349" s="5" t="s">
        <v>1338</v>
      </c>
      <c r="P349" s="5" t="s">
        <v>1314</v>
      </c>
      <c r="Q349" s="5" t="s">
        <v>1204</v>
      </c>
      <c r="R349" s="151">
        <v>4</v>
      </c>
      <c r="S349" s="143"/>
    </row>
    <row r="350" spans="1:19" x14ac:dyDescent="0.25">
      <c r="A350" s="5" t="s">
        <v>2375</v>
      </c>
      <c r="B350" s="147">
        <v>45794</v>
      </c>
      <c r="C350" s="5" t="s">
        <v>2376</v>
      </c>
      <c r="D350" s="5" t="s">
        <v>2377</v>
      </c>
      <c r="E350" s="5" t="s">
        <v>1342</v>
      </c>
      <c r="F350" s="5" t="s">
        <v>988</v>
      </c>
      <c r="G350" s="5" t="s">
        <v>1343</v>
      </c>
      <c r="H350" s="148">
        <v>5</v>
      </c>
      <c r="I350" s="149">
        <v>6363</v>
      </c>
      <c r="J350" s="150">
        <v>0.05</v>
      </c>
      <c r="K350" s="149">
        <v>30224.25</v>
      </c>
      <c r="L350" s="149">
        <v>8118.19</v>
      </c>
      <c r="M350" s="5" t="s">
        <v>1126</v>
      </c>
      <c r="N350" s="5" t="s">
        <v>1321</v>
      </c>
      <c r="O350" s="5" t="s">
        <v>1322</v>
      </c>
      <c r="P350" s="5" t="s">
        <v>1348</v>
      </c>
      <c r="Q350" s="5" t="s">
        <v>1204</v>
      </c>
      <c r="R350" s="151">
        <v>1</v>
      </c>
      <c r="S350" s="143"/>
    </row>
    <row r="351" spans="1:19" x14ac:dyDescent="0.25">
      <c r="A351" s="5" t="s">
        <v>2378</v>
      </c>
      <c r="B351" s="147">
        <v>45843</v>
      </c>
      <c r="C351" s="5" t="s">
        <v>2379</v>
      </c>
      <c r="D351" s="5" t="s">
        <v>2380</v>
      </c>
      <c r="E351" s="5" t="s">
        <v>1318</v>
      </c>
      <c r="F351" s="5" t="s">
        <v>1319</v>
      </c>
      <c r="G351" s="5" t="s">
        <v>1320</v>
      </c>
      <c r="H351" s="148">
        <v>4</v>
      </c>
      <c r="I351" s="149">
        <v>2036</v>
      </c>
      <c r="J351" s="150">
        <v>0</v>
      </c>
      <c r="K351" s="149">
        <v>8144</v>
      </c>
      <c r="L351" s="149">
        <v>2277.1999999999998</v>
      </c>
      <c r="M351" s="5" t="s">
        <v>1381</v>
      </c>
      <c r="N351" s="5" t="s">
        <v>1321</v>
      </c>
      <c r="O351" s="5" t="s">
        <v>1322</v>
      </c>
      <c r="P351" s="5" t="s">
        <v>1323</v>
      </c>
      <c r="Q351" s="5" t="s">
        <v>1306</v>
      </c>
      <c r="R351" s="151">
        <v>2</v>
      </c>
      <c r="S351" s="143"/>
    </row>
    <row r="352" spans="1:19" x14ac:dyDescent="0.25">
      <c r="A352" s="5" t="s">
        <v>2381</v>
      </c>
      <c r="B352" s="147">
        <v>45799</v>
      </c>
      <c r="C352" s="5" t="s">
        <v>2382</v>
      </c>
      <c r="D352" s="5" t="s">
        <v>2383</v>
      </c>
      <c r="E352" s="5" t="s">
        <v>1310</v>
      </c>
      <c r="F352" s="5" t="s">
        <v>1311</v>
      </c>
      <c r="G352" s="5" t="s">
        <v>1312</v>
      </c>
      <c r="H352" s="148">
        <v>3</v>
      </c>
      <c r="I352" s="149">
        <v>13418</v>
      </c>
      <c r="J352" s="150">
        <v>0.15</v>
      </c>
      <c r="K352" s="149">
        <v>34215.9</v>
      </c>
      <c r="L352" s="149">
        <v>7558.51</v>
      </c>
      <c r="M352" s="5" t="s">
        <v>1344</v>
      </c>
      <c r="N352" s="5" t="s">
        <v>1337</v>
      </c>
      <c r="O352" s="5" t="s">
        <v>1338</v>
      </c>
      <c r="P352" s="5" t="s">
        <v>1299</v>
      </c>
      <c r="Q352" s="5" t="s">
        <v>1306</v>
      </c>
      <c r="R352" s="151">
        <v>2</v>
      </c>
      <c r="S352" s="143"/>
    </row>
    <row r="353" spans="1:19" x14ac:dyDescent="0.25">
      <c r="A353" s="5" t="s">
        <v>2384</v>
      </c>
      <c r="B353" s="147">
        <v>45751</v>
      </c>
      <c r="C353" s="5" t="s">
        <v>2385</v>
      </c>
      <c r="D353" s="5" t="s">
        <v>2386</v>
      </c>
      <c r="E353" s="5" t="s">
        <v>1370</v>
      </c>
      <c r="F353" s="5" t="s">
        <v>1160</v>
      </c>
      <c r="G353" s="5" t="s">
        <v>1371</v>
      </c>
      <c r="H353" s="148">
        <v>4</v>
      </c>
      <c r="I353" s="149">
        <v>13865</v>
      </c>
      <c r="J353" s="150">
        <v>0.05</v>
      </c>
      <c r="K353" s="149">
        <v>52687</v>
      </c>
      <c r="L353" s="149">
        <v>6434.95</v>
      </c>
      <c r="M353" s="5" t="s">
        <v>1130</v>
      </c>
      <c r="N353" s="5" t="s">
        <v>1321</v>
      </c>
      <c r="O353" s="5" t="s">
        <v>1322</v>
      </c>
      <c r="P353" s="5" t="s">
        <v>1299</v>
      </c>
      <c r="Q353" s="5" t="s">
        <v>1184</v>
      </c>
      <c r="R353" s="151">
        <v>1</v>
      </c>
      <c r="S353" s="143"/>
    </row>
    <row r="354" spans="1:19" x14ac:dyDescent="0.25">
      <c r="A354" s="5" t="s">
        <v>2387</v>
      </c>
      <c r="B354" s="147">
        <v>45824</v>
      </c>
      <c r="C354" s="5" t="s">
        <v>2388</v>
      </c>
      <c r="D354" s="5" t="s">
        <v>2389</v>
      </c>
      <c r="E354" s="5" t="s">
        <v>1318</v>
      </c>
      <c r="F354" s="5" t="s">
        <v>1319</v>
      </c>
      <c r="G354" s="5" t="s">
        <v>1320</v>
      </c>
      <c r="H354" s="148">
        <v>2</v>
      </c>
      <c r="I354" s="149">
        <v>8051</v>
      </c>
      <c r="J354" s="150">
        <v>0.15</v>
      </c>
      <c r="K354" s="149">
        <v>13686.7</v>
      </c>
      <c r="L354" s="149">
        <v>1754.76</v>
      </c>
      <c r="M354" s="5" t="s">
        <v>1130</v>
      </c>
      <c r="N354" s="5" t="s">
        <v>1362</v>
      </c>
      <c r="O354" s="5" t="s">
        <v>1363</v>
      </c>
      <c r="P354" s="5" t="s">
        <v>1323</v>
      </c>
      <c r="Q354" s="5" t="s">
        <v>1184</v>
      </c>
      <c r="R354" s="151">
        <v>1</v>
      </c>
      <c r="S354" s="143"/>
    </row>
    <row r="355" spans="1:19" x14ac:dyDescent="0.25">
      <c r="A355" s="5" t="s">
        <v>2390</v>
      </c>
      <c r="B355" s="147">
        <v>45823</v>
      </c>
      <c r="C355" s="5" t="s">
        <v>2391</v>
      </c>
      <c r="D355" s="5" t="s">
        <v>2392</v>
      </c>
      <c r="E355" s="5" t="s">
        <v>1342</v>
      </c>
      <c r="F355" s="5" t="s">
        <v>988</v>
      </c>
      <c r="G355" s="5" t="s">
        <v>1343</v>
      </c>
      <c r="H355" s="148">
        <v>5</v>
      </c>
      <c r="I355" s="149">
        <v>7416</v>
      </c>
      <c r="J355" s="150">
        <v>0.2</v>
      </c>
      <c r="K355" s="149">
        <v>29664</v>
      </c>
      <c r="L355" s="149">
        <v>4311.42</v>
      </c>
      <c r="M355" s="5" t="s">
        <v>1130</v>
      </c>
      <c r="N355" s="5" t="s">
        <v>1297</v>
      </c>
      <c r="O355" s="5" t="s">
        <v>1298</v>
      </c>
      <c r="P355" s="5" t="s">
        <v>1348</v>
      </c>
      <c r="Q355" s="5" t="s">
        <v>1204</v>
      </c>
      <c r="R355" s="151">
        <v>3</v>
      </c>
      <c r="S355" s="143"/>
    </row>
    <row r="356" spans="1:19" x14ac:dyDescent="0.25">
      <c r="A356" s="5" t="s">
        <v>2393</v>
      </c>
      <c r="B356" s="147">
        <v>45765</v>
      </c>
      <c r="C356" s="5" t="s">
        <v>2394</v>
      </c>
      <c r="D356" s="5" t="s">
        <v>2395</v>
      </c>
      <c r="E356" s="5" t="s">
        <v>1370</v>
      </c>
      <c r="F356" s="5" t="s">
        <v>1160</v>
      </c>
      <c r="G356" s="5" t="s">
        <v>1371</v>
      </c>
      <c r="H356" s="148">
        <v>2</v>
      </c>
      <c r="I356" s="149">
        <v>11184</v>
      </c>
      <c r="J356" s="150">
        <v>0.05</v>
      </c>
      <c r="K356" s="149">
        <v>21249.599999999999</v>
      </c>
      <c r="L356" s="149">
        <v>3721.28</v>
      </c>
      <c r="M356" s="5" t="s">
        <v>1126</v>
      </c>
      <c r="N356" s="5" t="s">
        <v>1337</v>
      </c>
      <c r="O356" s="5" t="s">
        <v>1338</v>
      </c>
      <c r="P356" s="5" t="s">
        <v>1327</v>
      </c>
      <c r="Q356" s="5" t="s">
        <v>1306</v>
      </c>
      <c r="R356" s="151">
        <v>5</v>
      </c>
      <c r="S356" s="143"/>
    </row>
    <row r="357" spans="1:19" x14ac:dyDescent="0.25">
      <c r="A357" s="5" t="s">
        <v>2396</v>
      </c>
      <c r="B357" s="147">
        <v>45831</v>
      </c>
      <c r="C357" s="5" t="s">
        <v>2397</v>
      </c>
      <c r="D357" s="5" t="s">
        <v>2398</v>
      </c>
      <c r="E357" s="5" t="s">
        <v>1318</v>
      </c>
      <c r="F357" s="5" t="s">
        <v>1319</v>
      </c>
      <c r="G357" s="5" t="s">
        <v>1320</v>
      </c>
      <c r="H357" s="148">
        <v>5</v>
      </c>
      <c r="I357" s="149">
        <v>10157</v>
      </c>
      <c r="J357" s="150">
        <v>0.05</v>
      </c>
      <c r="K357" s="149">
        <v>48245.75</v>
      </c>
      <c r="L357" s="149">
        <v>10274.19</v>
      </c>
      <c r="M357" s="5" t="s">
        <v>1313</v>
      </c>
      <c r="N357" s="5" t="s">
        <v>1297</v>
      </c>
      <c r="O357" s="5" t="s">
        <v>1298</v>
      </c>
      <c r="P357" s="5" t="s">
        <v>1299</v>
      </c>
      <c r="Q357" s="5" t="s">
        <v>1306</v>
      </c>
      <c r="R357" s="151">
        <v>4</v>
      </c>
      <c r="S357" s="143"/>
    </row>
    <row r="358" spans="1:19" x14ac:dyDescent="0.25">
      <c r="A358" s="5" t="s">
        <v>2399</v>
      </c>
      <c r="B358" s="147">
        <v>45987</v>
      </c>
      <c r="C358" s="5" t="s">
        <v>2400</v>
      </c>
      <c r="D358" s="5" t="s">
        <v>2401</v>
      </c>
      <c r="E358" s="5" t="s">
        <v>1331</v>
      </c>
      <c r="F358" s="5" t="s">
        <v>988</v>
      </c>
      <c r="G358" s="5" t="s">
        <v>1332</v>
      </c>
      <c r="H358" s="148">
        <v>3</v>
      </c>
      <c r="I358" s="149">
        <v>3260</v>
      </c>
      <c r="J358" s="150">
        <v>0.05</v>
      </c>
      <c r="K358" s="149">
        <v>9291</v>
      </c>
      <c r="L358" s="149">
        <v>1443.34</v>
      </c>
      <c r="M358" s="5" t="s">
        <v>1313</v>
      </c>
      <c r="N358" s="5" t="s">
        <v>1362</v>
      </c>
      <c r="O358" s="5" t="s">
        <v>1363</v>
      </c>
      <c r="P358" s="5" t="s">
        <v>1299</v>
      </c>
      <c r="Q358" s="5" t="s">
        <v>1306</v>
      </c>
      <c r="R358" s="151">
        <v>5</v>
      </c>
      <c r="S358" s="143"/>
    </row>
    <row r="359" spans="1:19" x14ac:dyDescent="0.25">
      <c r="A359" s="5" t="s">
        <v>2402</v>
      </c>
      <c r="B359" s="147">
        <v>46019</v>
      </c>
      <c r="C359" s="5" t="s">
        <v>2403</v>
      </c>
      <c r="D359" s="5" t="s">
        <v>2404</v>
      </c>
      <c r="E359" s="5" t="s">
        <v>1195</v>
      </c>
      <c r="F359" s="5" t="s">
        <v>988</v>
      </c>
      <c r="G359" s="5" t="s">
        <v>1336</v>
      </c>
      <c r="H359" s="148">
        <v>2</v>
      </c>
      <c r="I359" s="149">
        <v>9365</v>
      </c>
      <c r="J359" s="150">
        <v>0.15</v>
      </c>
      <c r="K359" s="149">
        <v>15920.5</v>
      </c>
      <c r="L359" s="149">
        <v>1290.9000000000001</v>
      </c>
      <c r="M359" s="5" t="s">
        <v>1130</v>
      </c>
      <c r="N359" s="5" t="s">
        <v>1304</v>
      </c>
      <c r="O359" s="5" t="s">
        <v>1305</v>
      </c>
      <c r="P359" s="5" t="s">
        <v>1299</v>
      </c>
      <c r="Q359" s="5" t="s">
        <v>1306</v>
      </c>
      <c r="R359" s="151">
        <v>2</v>
      </c>
      <c r="S359" s="143"/>
    </row>
    <row r="360" spans="1:19" x14ac:dyDescent="0.25">
      <c r="A360" s="5" t="s">
        <v>2405</v>
      </c>
      <c r="B360" s="147">
        <v>45844</v>
      </c>
      <c r="C360" s="5" t="s">
        <v>2406</v>
      </c>
      <c r="D360" s="5" t="s">
        <v>2407</v>
      </c>
      <c r="E360" s="5" t="s">
        <v>1195</v>
      </c>
      <c r="F360" s="5" t="s">
        <v>988</v>
      </c>
      <c r="G360" s="5" t="s">
        <v>1336</v>
      </c>
      <c r="H360" s="148">
        <v>2</v>
      </c>
      <c r="I360" s="149">
        <v>14506</v>
      </c>
      <c r="J360" s="150">
        <v>0.15</v>
      </c>
      <c r="K360" s="149">
        <v>24660.2</v>
      </c>
      <c r="L360" s="149">
        <v>5951.69</v>
      </c>
      <c r="M360" s="5" t="s">
        <v>1130</v>
      </c>
      <c r="N360" s="5" t="s">
        <v>1297</v>
      </c>
      <c r="O360" s="5" t="s">
        <v>1298</v>
      </c>
      <c r="P360" s="5" t="s">
        <v>1323</v>
      </c>
      <c r="Q360" s="5" t="s">
        <v>1184</v>
      </c>
      <c r="R360" s="151">
        <v>4</v>
      </c>
      <c r="S360" s="143"/>
    </row>
    <row r="361" spans="1:19" x14ac:dyDescent="0.25">
      <c r="A361" s="5" t="s">
        <v>2408</v>
      </c>
      <c r="B361" s="147">
        <v>45851</v>
      </c>
      <c r="C361" s="5" t="s">
        <v>2409</v>
      </c>
      <c r="D361" s="5" t="s">
        <v>2410</v>
      </c>
      <c r="E361" s="5" t="s">
        <v>1295</v>
      </c>
      <c r="F361" s="5" t="s">
        <v>985</v>
      </c>
      <c r="G361" s="5" t="s">
        <v>1296</v>
      </c>
      <c r="H361" s="148">
        <v>2</v>
      </c>
      <c r="I361" s="149">
        <v>11071</v>
      </c>
      <c r="J361" s="150">
        <v>0.05</v>
      </c>
      <c r="K361" s="149">
        <v>21034.9</v>
      </c>
      <c r="L361" s="149">
        <v>6248.7</v>
      </c>
      <c r="M361" s="5" t="s">
        <v>1126</v>
      </c>
      <c r="N361" s="5" t="s">
        <v>1362</v>
      </c>
      <c r="O361" s="5" t="s">
        <v>1363</v>
      </c>
      <c r="P361" s="5" t="s">
        <v>1327</v>
      </c>
      <c r="Q361" s="5" t="s">
        <v>1306</v>
      </c>
      <c r="R361" s="151">
        <v>4</v>
      </c>
      <c r="S361" s="143"/>
    </row>
    <row r="362" spans="1:19" x14ac:dyDescent="0.25">
      <c r="A362" s="5" t="s">
        <v>2411</v>
      </c>
      <c r="B362" s="147">
        <v>45848</v>
      </c>
      <c r="C362" s="5" t="s">
        <v>2412</v>
      </c>
      <c r="D362" s="5" t="s">
        <v>2413</v>
      </c>
      <c r="E362" s="5" t="s">
        <v>1310</v>
      </c>
      <c r="F362" s="5" t="s">
        <v>1311</v>
      </c>
      <c r="G362" s="5" t="s">
        <v>1312</v>
      </c>
      <c r="H362" s="148">
        <v>4</v>
      </c>
      <c r="I362" s="149">
        <v>13189</v>
      </c>
      <c r="J362" s="150">
        <v>0.1</v>
      </c>
      <c r="K362" s="149">
        <v>47480.4</v>
      </c>
      <c r="L362" s="149">
        <v>8054.57</v>
      </c>
      <c r="M362" s="5" t="s">
        <v>1126</v>
      </c>
      <c r="N362" s="5" t="s">
        <v>1304</v>
      </c>
      <c r="O362" s="5" t="s">
        <v>1305</v>
      </c>
      <c r="P362" s="5" t="s">
        <v>1327</v>
      </c>
      <c r="Q362" s="5" t="s">
        <v>1300</v>
      </c>
      <c r="R362" s="151">
        <v>3</v>
      </c>
      <c r="S362" s="143"/>
    </row>
    <row r="363" spans="1:19" x14ac:dyDescent="0.25">
      <c r="A363" s="5" t="s">
        <v>2414</v>
      </c>
      <c r="B363" s="147">
        <v>45865</v>
      </c>
      <c r="C363" s="5" t="s">
        <v>2415</v>
      </c>
      <c r="D363" s="5" t="s">
        <v>2416</v>
      </c>
      <c r="E363" s="5" t="s">
        <v>1318</v>
      </c>
      <c r="F363" s="5" t="s">
        <v>1319</v>
      </c>
      <c r="G363" s="5" t="s">
        <v>1320</v>
      </c>
      <c r="H363" s="148">
        <v>4</v>
      </c>
      <c r="I363" s="149">
        <v>8619</v>
      </c>
      <c r="J363" s="150">
        <v>0.2</v>
      </c>
      <c r="K363" s="149">
        <v>27580.799999999999</v>
      </c>
      <c r="L363" s="149">
        <v>2427.13</v>
      </c>
      <c r="M363" s="5" t="s">
        <v>1130</v>
      </c>
      <c r="N363" s="5" t="s">
        <v>1297</v>
      </c>
      <c r="O363" s="5" t="s">
        <v>1298</v>
      </c>
      <c r="P363" s="5" t="s">
        <v>1323</v>
      </c>
      <c r="Q363" s="5" t="s">
        <v>1184</v>
      </c>
      <c r="R363" s="151">
        <v>2</v>
      </c>
      <c r="S363" s="143"/>
    </row>
    <row r="364" spans="1:19" x14ac:dyDescent="0.25">
      <c r="A364" s="5" t="s">
        <v>2417</v>
      </c>
      <c r="B364" s="147">
        <v>45744</v>
      </c>
      <c r="C364" s="5" t="s">
        <v>2418</v>
      </c>
      <c r="D364" s="5" t="s">
        <v>2419</v>
      </c>
      <c r="E364" s="5" t="s">
        <v>1359</v>
      </c>
      <c r="F364" s="5" t="s">
        <v>1360</v>
      </c>
      <c r="G364" s="5" t="s">
        <v>1361</v>
      </c>
      <c r="H364" s="148">
        <v>5</v>
      </c>
      <c r="I364" s="149">
        <v>6921</v>
      </c>
      <c r="J364" s="150">
        <v>0.1</v>
      </c>
      <c r="K364" s="149">
        <v>31144.5</v>
      </c>
      <c r="L364" s="149">
        <v>7408.72</v>
      </c>
      <c r="M364" s="5" t="s">
        <v>1126</v>
      </c>
      <c r="N364" s="5" t="s">
        <v>1304</v>
      </c>
      <c r="O364" s="5" t="s">
        <v>1305</v>
      </c>
      <c r="P364" s="5" t="s">
        <v>1327</v>
      </c>
      <c r="Q364" s="5" t="s">
        <v>1184</v>
      </c>
      <c r="R364" s="151">
        <v>5</v>
      </c>
      <c r="S364" s="143"/>
    </row>
    <row r="365" spans="1:19" x14ac:dyDescent="0.25">
      <c r="A365" s="5" t="s">
        <v>2420</v>
      </c>
      <c r="B365" s="147">
        <v>45738</v>
      </c>
      <c r="C365" s="5" t="s">
        <v>2421</v>
      </c>
      <c r="D365" s="5" t="s">
        <v>2422</v>
      </c>
      <c r="E365" s="5" t="s">
        <v>1295</v>
      </c>
      <c r="F365" s="5" t="s">
        <v>985</v>
      </c>
      <c r="G365" s="5" t="s">
        <v>1296</v>
      </c>
      <c r="H365" s="148">
        <v>5</v>
      </c>
      <c r="I365" s="149">
        <v>13164</v>
      </c>
      <c r="J365" s="150">
        <v>0</v>
      </c>
      <c r="K365" s="149">
        <v>65820</v>
      </c>
      <c r="L365" s="149">
        <v>17194.7</v>
      </c>
      <c r="M365" s="5" t="s">
        <v>1381</v>
      </c>
      <c r="N365" s="5" t="s">
        <v>1352</v>
      </c>
      <c r="O365" s="5" t="s">
        <v>1352</v>
      </c>
      <c r="P365" s="5" t="s">
        <v>1348</v>
      </c>
      <c r="Q365" s="5" t="s">
        <v>1306</v>
      </c>
      <c r="R365" s="151">
        <v>5</v>
      </c>
      <c r="S365" s="143"/>
    </row>
    <row r="366" spans="1:19" x14ac:dyDescent="0.25">
      <c r="A366" s="5" t="s">
        <v>2423</v>
      </c>
      <c r="B366" s="147">
        <v>45767</v>
      </c>
      <c r="C366" s="5" t="s">
        <v>2424</v>
      </c>
      <c r="D366" s="5" t="s">
        <v>2425</v>
      </c>
      <c r="E366" s="5" t="s">
        <v>1370</v>
      </c>
      <c r="F366" s="5" t="s">
        <v>1160</v>
      </c>
      <c r="G366" s="5" t="s">
        <v>1371</v>
      </c>
      <c r="H366" s="148">
        <v>2</v>
      </c>
      <c r="I366" s="149">
        <v>3455</v>
      </c>
      <c r="J366" s="150">
        <v>0</v>
      </c>
      <c r="K366" s="149">
        <v>6910</v>
      </c>
      <c r="L366" s="149">
        <v>1070.8499999999999</v>
      </c>
      <c r="M366" s="5" t="s">
        <v>1130</v>
      </c>
      <c r="N366" s="5" t="s">
        <v>1337</v>
      </c>
      <c r="O366" s="5" t="s">
        <v>1338</v>
      </c>
      <c r="P366" s="5" t="s">
        <v>1299</v>
      </c>
      <c r="Q366" s="5" t="s">
        <v>1300</v>
      </c>
      <c r="R366" s="151">
        <v>4</v>
      </c>
      <c r="S366" s="143"/>
    </row>
    <row r="367" spans="1:19" x14ac:dyDescent="0.25">
      <c r="A367" s="5" t="s">
        <v>2426</v>
      </c>
      <c r="B367" s="147">
        <v>45878</v>
      </c>
      <c r="C367" s="5" t="s">
        <v>2427</v>
      </c>
      <c r="D367" s="5" t="s">
        <v>2428</v>
      </c>
      <c r="E367" s="5" t="s">
        <v>1310</v>
      </c>
      <c r="F367" s="5" t="s">
        <v>1311</v>
      </c>
      <c r="G367" s="5" t="s">
        <v>1312</v>
      </c>
      <c r="H367" s="148">
        <v>4</v>
      </c>
      <c r="I367" s="149">
        <v>13169</v>
      </c>
      <c r="J367" s="150">
        <v>0</v>
      </c>
      <c r="K367" s="149">
        <v>52676</v>
      </c>
      <c r="L367" s="149">
        <v>14716.54</v>
      </c>
      <c r="M367" s="5" t="s">
        <v>1130</v>
      </c>
      <c r="N367" s="5" t="s">
        <v>1352</v>
      </c>
      <c r="O367" s="5" t="s">
        <v>1352</v>
      </c>
      <c r="P367" s="5" t="s">
        <v>1327</v>
      </c>
      <c r="Q367" s="5" t="s">
        <v>1306</v>
      </c>
      <c r="R367" s="151">
        <v>3</v>
      </c>
      <c r="S367" s="143"/>
    </row>
    <row r="368" spans="1:19" x14ac:dyDescent="0.25">
      <c r="A368" s="5" t="s">
        <v>2429</v>
      </c>
      <c r="B368" s="147">
        <v>45788</v>
      </c>
      <c r="C368" s="5" t="s">
        <v>2430</v>
      </c>
      <c r="D368" s="5" t="s">
        <v>2431</v>
      </c>
      <c r="E368" s="5" t="s">
        <v>1370</v>
      </c>
      <c r="F368" s="5" t="s">
        <v>1160</v>
      </c>
      <c r="G368" s="5" t="s">
        <v>1371</v>
      </c>
      <c r="H368" s="148">
        <v>2</v>
      </c>
      <c r="I368" s="149">
        <v>8993</v>
      </c>
      <c r="J368" s="150">
        <v>0</v>
      </c>
      <c r="K368" s="149">
        <v>17986</v>
      </c>
      <c r="L368" s="149">
        <v>4616.07</v>
      </c>
      <c r="M368" s="5" t="s">
        <v>1130</v>
      </c>
      <c r="N368" s="5" t="s">
        <v>1297</v>
      </c>
      <c r="O368" s="5" t="s">
        <v>1298</v>
      </c>
      <c r="P368" s="5" t="s">
        <v>1314</v>
      </c>
      <c r="Q368" s="5" t="s">
        <v>1300</v>
      </c>
      <c r="R368" s="151">
        <v>5</v>
      </c>
      <c r="S368" s="143"/>
    </row>
    <row r="369" spans="1:19" x14ac:dyDescent="0.25">
      <c r="A369" s="5" t="s">
        <v>2432</v>
      </c>
      <c r="B369" s="147">
        <v>45855</v>
      </c>
      <c r="C369" s="5" t="s">
        <v>2433</v>
      </c>
      <c r="D369" s="5" t="s">
        <v>2434</v>
      </c>
      <c r="E369" s="5" t="s">
        <v>1370</v>
      </c>
      <c r="F369" s="5" t="s">
        <v>1160</v>
      </c>
      <c r="G369" s="5" t="s">
        <v>1371</v>
      </c>
      <c r="H369" s="148">
        <v>1</v>
      </c>
      <c r="I369" s="149">
        <v>12506</v>
      </c>
      <c r="J369" s="150">
        <v>0.1</v>
      </c>
      <c r="K369" s="149">
        <v>11255.4</v>
      </c>
      <c r="L369" s="149">
        <v>3122.97</v>
      </c>
      <c r="M369" s="5" t="s">
        <v>1313</v>
      </c>
      <c r="N369" s="5" t="s">
        <v>1352</v>
      </c>
      <c r="O369" s="5" t="s">
        <v>1352</v>
      </c>
      <c r="P369" s="5" t="s">
        <v>1327</v>
      </c>
      <c r="Q369" s="5" t="s">
        <v>1300</v>
      </c>
      <c r="R369" s="151">
        <v>1</v>
      </c>
      <c r="S369" s="143"/>
    </row>
    <row r="370" spans="1:19" x14ac:dyDescent="0.25">
      <c r="A370" s="5" t="s">
        <v>2435</v>
      </c>
      <c r="B370" s="147">
        <v>45672</v>
      </c>
      <c r="C370" s="5" t="s">
        <v>2436</v>
      </c>
      <c r="D370" s="5" t="s">
        <v>2437</v>
      </c>
      <c r="E370" s="5" t="s">
        <v>1295</v>
      </c>
      <c r="F370" s="5" t="s">
        <v>985</v>
      </c>
      <c r="G370" s="5" t="s">
        <v>1296</v>
      </c>
      <c r="H370" s="148">
        <v>3</v>
      </c>
      <c r="I370" s="149">
        <v>2749</v>
      </c>
      <c r="J370" s="150">
        <v>0.15</v>
      </c>
      <c r="K370" s="149">
        <v>7009.95</v>
      </c>
      <c r="L370" s="149">
        <v>1117.93</v>
      </c>
      <c r="M370" s="5" t="s">
        <v>1126</v>
      </c>
      <c r="N370" s="5" t="s">
        <v>1352</v>
      </c>
      <c r="O370" s="5" t="s">
        <v>1352</v>
      </c>
      <c r="P370" s="5" t="s">
        <v>1348</v>
      </c>
      <c r="Q370" s="5" t="s">
        <v>1300</v>
      </c>
      <c r="R370" s="151">
        <v>1</v>
      </c>
      <c r="S370" s="143"/>
    </row>
    <row r="371" spans="1:19" x14ac:dyDescent="0.25">
      <c r="A371" s="5" t="s">
        <v>2438</v>
      </c>
      <c r="B371" s="147">
        <v>45904</v>
      </c>
      <c r="C371" s="5" t="s">
        <v>2439</v>
      </c>
      <c r="D371" s="5" t="s">
        <v>2440</v>
      </c>
      <c r="E371" s="5" t="s">
        <v>1342</v>
      </c>
      <c r="F371" s="5" t="s">
        <v>988</v>
      </c>
      <c r="G371" s="5" t="s">
        <v>1343</v>
      </c>
      <c r="H371" s="148">
        <v>5</v>
      </c>
      <c r="I371" s="149">
        <v>4419</v>
      </c>
      <c r="J371" s="150">
        <v>0.05</v>
      </c>
      <c r="K371" s="149">
        <v>20990.25</v>
      </c>
      <c r="L371" s="149">
        <v>6041.04</v>
      </c>
      <c r="M371" s="5" t="s">
        <v>1126</v>
      </c>
      <c r="N371" s="5" t="s">
        <v>1337</v>
      </c>
      <c r="O371" s="5" t="s">
        <v>1338</v>
      </c>
      <c r="P371" s="5" t="s">
        <v>1323</v>
      </c>
      <c r="Q371" s="5" t="s">
        <v>1204</v>
      </c>
      <c r="R371" s="151">
        <v>3</v>
      </c>
      <c r="S371" s="143"/>
    </row>
    <row r="372" spans="1:19" x14ac:dyDescent="0.25">
      <c r="A372" s="5" t="s">
        <v>2441</v>
      </c>
      <c r="B372" s="147">
        <v>45769</v>
      </c>
      <c r="C372" s="5" t="s">
        <v>2442</v>
      </c>
      <c r="D372" s="5" t="s">
        <v>2443</v>
      </c>
      <c r="E372" s="5" t="s">
        <v>1331</v>
      </c>
      <c r="F372" s="5" t="s">
        <v>988</v>
      </c>
      <c r="G372" s="5" t="s">
        <v>1332</v>
      </c>
      <c r="H372" s="148">
        <v>1</v>
      </c>
      <c r="I372" s="149">
        <v>10101</v>
      </c>
      <c r="J372" s="150">
        <v>0.2</v>
      </c>
      <c r="K372" s="149">
        <v>8080.8</v>
      </c>
      <c r="L372" s="149">
        <v>1755.33</v>
      </c>
      <c r="M372" s="5" t="s">
        <v>1344</v>
      </c>
      <c r="N372" s="5" t="s">
        <v>1337</v>
      </c>
      <c r="O372" s="5" t="s">
        <v>1338</v>
      </c>
      <c r="P372" s="5" t="s">
        <v>1348</v>
      </c>
      <c r="Q372" s="5" t="s">
        <v>1204</v>
      </c>
      <c r="R372" s="151">
        <v>1</v>
      </c>
      <c r="S372" s="143"/>
    </row>
    <row r="373" spans="1:19" x14ac:dyDescent="0.25">
      <c r="A373" s="5" t="s">
        <v>2444</v>
      </c>
      <c r="B373" s="147">
        <v>46019</v>
      </c>
      <c r="C373" s="5" t="s">
        <v>2445</v>
      </c>
      <c r="D373" s="5" t="s">
        <v>2446</v>
      </c>
      <c r="E373" s="5" t="s">
        <v>1370</v>
      </c>
      <c r="F373" s="5" t="s">
        <v>1160</v>
      </c>
      <c r="G373" s="5" t="s">
        <v>1371</v>
      </c>
      <c r="H373" s="148">
        <v>5</v>
      </c>
      <c r="I373" s="149">
        <v>4831</v>
      </c>
      <c r="J373" s="150">
        <v>0.15</v>
      </c>
      <c r="K373" s="149">
        <v>20531.75</v>
      </c>
      <c r="L373" s="149">
        <v>3493.3</v>
      </c>
      <c r="M373" s="5" t="s">
        <v>1381</v>
      </c>
      <c r="N373" s="5" t="s">
        <v>1297</v>
      </c>
      <c r="O373" s="5" t="s">
        <v>1298</v>
      </c>
      <c r="P373" s="5" t="s">
        <v>1323</v>
      </c>
      <c r="Q373" s="5" t="s">
        <v>1300</v>
      </c>
      <c r="R373" s="151">
        <v>4</v>
      </c>
      <c r="S373" s="143"/>
    </row>
    <row r="374" spans="1:19" x14ac:dyDescent="0.25">
      <c r="A374" s="5" t="s">
        <v>2447</v>
      </c>
      <c r="B374" s="147">
        <v>45712</v>
      </c>
      <c r="C374" s="5" t="s">
        <v>2448</v>
      </c>
      <c r="D374" s="5" t="s">
        <v>2449</v>
      </c>
      <c r="E374" s="5" t="s">
        <v>1342</v>
      </c>
      <c r="F374" s="5" t="s">
        <v>988</v>
      </c>
      <c r="G374" s="5" t="s">
        <v>1343</v>
      </c>
      <c r="H374" s="148">
        <v>5</v>
      </c>
      <c r="I374" s="149">
        <v>6454</v>
      </c>
      <c r="J374" s="150">
        <v>0.05</v>
      </c>
      <c r="K374" s="149">
        <v>30656.5</v>
      </c>
      <c r="L374" s="149">
        <v>7665.31</v>
      </c>
      <c r="M374" s="5" t="s">
        <v>1126</v>
      </c>
      <c r="N374" s="5" t="s">
        <v>1304</v>
      </c>
      <c r="O374" s="5" t="s">
        <v>1305</v>
      </c>
      <c r="P374" s="5" t="s">
        <v>1327</v>
      </c>
      <c r="Q374" s="5" t="s">
        <v>1306</v>
      </c>
      <c r="R374" s="151">
        <v>4</v>
      </c>
      <c r="S374" s="143"/>
    </row>
    <row r="375" spans="1:19" x14ac:dyDescent="0.25">
      <c r="A375" s="5" t="s">
        <v>2450</v>
      </c>
      <c r="B375" s="147">
        <v>45817</v>
      </c>
      <c r="C375" s="5" t="s">
        <v>2451</v>
      </c>
      <c r="D375" s="5" t="s">
        <v>2452</v>
      </c>
      <c r="E375" s="5" t="s">
        <v>1195</v>
      </c>
      <c r="F375" s="5" t="s">
        <v>988</v>
      </c>
      <c r="G375" s="5" t="s">
        <v>1336</v>
      </c>
      <c r="H375" s="148">
        <v>4</v>
      </c>
      <c r="I375" s="149">
        <v>1435</v>
      </c>
      <c r="J375" s="150">
        <v>0</v>
      </c>
      <c r="K375" s="149">
        <v>5740</v>
      </c>
      <c r="L375" s="149">
        <v>591.41999999999996</v>
      </c>
      <c r="M375" s="5" t="s">
        <v>1126</v>
      </c>
      <c r="N375" s="5" t="s">
        <v>1337</v>
      </c>
      <c r="O375" s="5" t="s">
        <v>1338</v>
      </c>
      <c r="P375" s="5" t="s">
        <v>1327</v>
      </c>
      <c r="Q375" s="5" t="s">
        <v>1306</v>
      </c>
      <c r="R375" s="151">
        <v>2</v>
      </c>
      <c r="S375" s="143"/>
    </row>
    <row r="376" spans="1:19" x14ac:dyDescent="0.25">
      <c r="A376" s="5" t="s">
        <v>2453</v>
      </c>
      <c r="B376" s="147">
        <v>45838</v>
      </c>
      <c r="C376" s="5" t="s">
        <v>2454</v>
      </c>
      <c r="D376" s="5" t="s">
        <v>2455</v>
      </c>
      <c r="E376" s="5" t="s">
        <v>1342</v>
      </c>
      <c r="F376" s="5" t="s">
        <v>988</v>
      </c>
      <c r="G376" s="5" t="s">
        <v>1343</v>
      </c>
      <c r="H376" s="148">
        <v>4</v>
      </c>
      <c r="I376" s="149">
        <v>6148</v>
      </c>
      <c r="J376" s="150">
        <v>0.05</v>
      </c>
      <c r="K376" s="149">
        <v>23362.400000000001</v>
      </c>
      <c r="L376" s="149">
        <v>6397.41</v>
      </c>
      <c r="M376" s="5" t="s">
        <v>1130</v>
      </c>
      <c r="N376" s="5" t="s">
        <v>1321</v>
      </c>
      <c r="O376" s="5" t="s">
        <v>1322</v>
      </c>
      <c r="P376" s="5" t="s">
        <v>1348</v>
      </c>
      <c r="Q376" s="5" t="s">
        <v>1204</v>
      </c>
      <c r="R376" s="151">
        <v>2</v>
      </c>
      <c r="S376" s="143"/>
    </row>
    <row r="377" spans="1:19" x14ac:dyDescent="0.25">
      <c r="A377" s="5" t="s">
        <v>2456</v>
      </c>
      <c r="B377" s="147">
        <v>45776</v>
      </c>
      <c r="C377" s="5" t="s">
        <v>2457</v>
      </c>
      <c r="D377" s="5" t="s">
        <v>2458</v>
      </c>
      <c r="E377" s="5" t="s">
        <v>1331</v>
      </c>
      <c r="F377" s="5" t="s">
        <v>988</v>
      </c>
      <c r="G377" s="5" t="s">
        <v>1332</v>
      </c>
      <c r="H377" s="148">
        <v>3</v>
      </c>
      <c r="I377" s="149">
        <v>9385</v>
      </c>
      <c r="J377" s="150">
        <v>0.05</v>
      </c>
      <c r="K377" s="149">
        <v>26747.25</v>
      </c>
      <c r="L377" s="149">
        <v>6257.25</v>
      </c>
      <c r="M377" s="5" t="s">
        <v>1126</v>
      </c>
      <c r="N377" s="5" t="s">
        <v>1337</v>
      </c>
      <c r="O377" s="5" t="s">
        <v>1338</v>
      </c>
      <c r="P377" s="5" t="s">
        <v>1327</v>
      </c>
      <c r="Q377" s="5" t="s">
        <v>1300</v>
      </c>
      <c r="R377" s="151">
        <v>3</v>
      </c>
      <c r="S377" s="143"/>
    </row>
    <row r="378" spans="1:19" x14ac:dyDescent="0.25">
      <c r="A378" s="5" t="s">
        <v>2459</v>
      </c>
      <c r="B378" s="147">
        <v>45831</v>
      </c>
      <c r="C378" s="5" t="s">
        <v>2460</v>
      </c>
      <c r="D378" s="5" t="s">
        <v>2461</v>
      </c>
      <c r="E378" s="5" t="s">
        <v>1295</v>
      </c>
      <c r="F378" s="5" t="s">
        <v>985</v>
      </c>
      <c r="G378" s="5" t="s">
        <v>1296</v>
      </c>
      <c r="H378" s="148">
        <v>4</v>
      </c>
      <c r="I378" s="149">
        <v>3562</v>
      </c>
      <c r="J378" s="150">
        <v>0.15</v>
      </c>
      <c r="K378" s="149">
        <v>12110.8</v>
      </c>
      <c r="L378" s="149">
        <v>3003.45</v>
      </c>
      <c r="M378" s="5" t="s">
        <v>1130</v>
      </c>
      <c r="N378" s="5" t="s">
        <v>1297</v>
      </c>
      <c r="O378" s="5" t="s">
        <v>1298</v>
      </c>
      <c r="P378" s="5" t="s">
        <v>1314</v>
      </c>
      <c r="Q378" s="5" t="s">
        <v>1204</v>
      </c>
      <c r="R378" s="151">
        <v>2</v>
      </c>
      <c r="S378" s="143"/>
    </row>
    <row r="379" spans="1:19" x14ac:dyDescent="0.25">
      <c r="A379" s="5" t="s">
        <v>2462</v>
      </c>
      <c r="B379" s="147">
        <v>45803</v>
      </c>
      <c r="C379" s="5" t="s">
        <v>2463</v>
      </c>
      <c r="D379" s="5" t="s">
        <v>2464</v>
      </c>
      <c r="E379" s="5" t="s">
        <v>1342</v>
      </c>
      <c r="F379" s="5" t="s">
        <v>988</v>
      </c>
      <c r="G379" s="5" t="s">
        <v>1343</v>
      </c>
      <c r="H379" s="148">
        <v>5</v>
      </c>
      <c r="I379" s="149">
        <v>11902</v>
      </c>
      <c r="J379" s="150">
        <v>0.05</v>
      </c>
      <c r="K379" s="149">
        <v>56534.5</v>
      </c>
      <c r="L379" s="149">
        <v>10361.879999999999</v>
      </c>
      <c r="M379" s="5" t="s">
        <v>1344</v>
      </c>
      <c r="N379" s="5" t="s">
        <v>1337</v>
      </c>
      <c r="O379" s="5" t="s">
        <v>1338</v>
      </c>
      <c r="P379" s="5" t="s">
        <v>1314</v>
      </c>
      <c r="Q379" s="5" t="s">
        <v>1204</v>
      </c>
      <c r="R379" s="151">
        <v>3</v>
      </c>
      <c r="S379" s="143"/>
    </row>
    <row r="380" spans="1:19" x14ac:dyDescent="0.25">
      <c r="A380" s="5" t="s">
        <v>2465</v>
      </c>
      <c r="B380" s="147">
        <v>45912</v>
      </c>
      <c r="C380" s="5" t="s">
        <v>2466</v>
      </c>
      <c r="D380" s="5" t="s">
        <v>2467</v>
      </c>
      <c r="E380" s="5" t="s">
        <v>1359</v>
      </c>
      <c r="F380" s="5" t="s">
        <v>1360</v>
      </c>
      <c r="G380" s="5" t="s">
        <v>1361</v>
      </c>
      <c r="H380" s="148">
        <v>4</v>
      </c>
      <c r="I380" s="149">
        <v>12187</v>
      </c>
      <c r="J380" s="150">
        <v>0.1</v>
      </c>
      <c r="K380" s="149">
        <v>43873.2</v>
      </c>
      <c r="L380" s="149">
        <v>6082.3</v>
      </c>
      <c r="M380" s="5" t="s">
        <v>1381</v>
      </c>
      <c r="N380" s="5" t="s">
        <v>1321</v>
      </c>
      <c r="O380" s="5" t="s">
        <v>1322</v>
      </c>
      <c r="P380" s="5" t="s">
        <v>1299</v>
      </c>
      <c r="Q380" s="5" t="s">
        <v>1204</v>
      </c>
      <c r="R380" s="151">
        <v>2</v>
      </c>
      <c r="S380" s="143"/>
    </row>
    <row r="381" spans="1:19" x14ac:dyDescent="0.25">
      <c r="A381" s="5" t="s">
        <v>2468</v>
      </c>
      <c r="B381" s="147">
        <v>45749</v>
      </c>
      <c r="C381" s="5" t="s">
        <v>2469</v>
      </c>
      <c r="D381" s="5" t="s">
        <v>2470</v>
      </c>
      <c r="E381" s="5" t="s">
        <v>1195</v>
      </c>
      <c r="F381" s="5" t="s">
        <v>988</v>
      </c>
      <c r="G381" s="5" t="s">
        <v>1336</v>
      </c>
      <c r="H381" s="148">
        <v>5</v>
      </c>
      <c r="I381" s="149">
        <v>2831</v>
      </c>
      <c r="J381" s="150">
        <v>0.1</v>
      </c>
      <c r="K381" s="149">
        <v>12739.5</v>
      </c>
      <c r="L381" s="149">
        <v>1345.81</v>
      </c>
      <c r="M381" s="5" t="s">
        <v>1130</v>
      </c>
      <c r="N381" s="5" t="s">
        <v>1362</v>
      </c>
      <c r="O381" s="5" t="s">
        <v>1363</v>
      </c>
      <c r="P381" s="5" t="s">
        <v>1327</v>
      </c>
      <c r="Q381" s="5" t="s">
        <v>1184</v>
      </c>
      <c r="R381" s="151">
        <v>2</v>
      </c>
      <c r="S381" s="143"/>
    </row>
    <row r="382" spans="1:19" x14ac:dyDescent="0.25">
      <c r="A382" s="5" t="s">
        <v>2471</v>
      </c>
      <c r="B382" s="147">
        <v>45669</v>
      </c>
      <c r="C382" s="5" t="s">
        <v>2472</v>
      </c>
      <c r="D382" s="5" t="s">
        <v>2473</v>
      </c>
      <c r="E382" s="5" t="s">
        <v>1331</v>
      </c>
      <c r="F382" s="5" t="s">
        <v>988</v>
      </c>
      <c r="G382" s="5" t="s">
        <v>1332</v>
      </c>
      <c r="H382" s="148">
        <v>2</v>
      </c>
      <c r="I382" s="149">
        <v>12550</v>
      </c>
      <c r="J382" s="150">
        <v>0.1</v>
      </c>
      <c r="K382" s="149">
        <v>22590</v>
      </c>
      <c r="L382" s="149">
        <v>3270.09</v>
      </c>
      <c r="M382" s="5" t="s">
        <v>1381</v>
      </c>
      <c r="N382" s="5" t="s">
        <v>1297</v>
      </c>
      <c r="O382" s="5" t="s">
        <v>1298</v>
      </c>
      <c r="P382" s="5" t="s">
        <v>1299</v>
      </c>
      <c r="Q382" s="5" t="s">
        <v>1184</v>
      </c>
      <c r="R382" s="151">
        <v>1</v>
      </c>
      <c r="S382" s="143"/>
    </row>
    <row r="383" spans="1:19" x14ac:dyDescent="0.25">
      <c r="A383" s="5" t="s">
        <v>2474</v>
      </c>
      <c r="B383" s="147">
        <v>45818</v>
      </c>
      <c r="C383" s="5" t="s">
        <v>2475</v>
      </c>
      <c r="D383" s="5" t="s">
        <v>2476</v>
      </c>
      <c r="E383" s="5" t="s">
        <v>1359</v>
      </c>
      <c r="F383" s="5" t="s">
        <v>1360</v>
      </c>
      <c r="G383" s="5" t="s">
        <v>1361</v>
      </c>
      <c r="H383" s="148">
        <v>4</v>
      </c>
      <c r="I383" s="149">
        <v>11245</v>
      </c>
      <c r="J383" s="150">
        <v>0.1</v>
      </c>
      <c r="K383" s="149">
        <v>40482</v>
      </c>
      <c r="L383" s="149">
        <v>12040.73</v>
      </c>
      <c r="M383" s="5" t="s">
        <v>1313</v>
      </c>
      <c r="N383" s="5" t="s">
        <v>1352</v>
      </c>
      <c r="O383" s="5" t="s">
        <v>1352</v>
      </c>
      <c r="P383" s="5" t="s">
        <v>1327</v>
      </c>
      <c r="Q383" s="5" t="s">
        <v>1184</v>
      </c>
      <c r="R383" s="151">
        <v>5</v>
      </c>
      <c r="S383" s="143"/>
    </row>
    <row r="384" spans="1:19" x14ac:dyDescent="0.25">
      <c r="A384" s="5" t="s">
        <v>2477</v>
      </c>
      <c r="B384" s="147">
        <v>45853</v>
      </c>
      <c r="C384" s="5" t="s">
        <v>2478</v>
      </c>
      <c r="D384" s="5" t="s">
        <v>2479</v>
      </c>
      <c r="E384" s="5" t="s">
        <v>1195</v>
      </c>
      <c r="F384" s="5" t="s">
        <v>988</v>
      </c>
      <c r="G384" s="5" t="s">
        <v>1336</v>
      </c>
      <c r="H384" s="148">
        <v>5</v>
      </c>
      <c r="I384" s="149">
        <v>5175</v>
      </c>
      <c r="J384" s="150">
        <v>0.15</v>
      </c>
      <c r="K384" s="149">
        <v>21993.75</v>
      </c>
      <c r="L384" s="149">
        <v>4579.97</v>
      </c>
      <c r="M384" s="5" t="s">
        <v>1344</v>
      </c>
      <c r="N384" s="5" t="s">
        <v>1362</v>
      </c>
      <c r="O384" s="5" t="s">
        <v>1363</v>
      </c>
      <c r="P384" s="5" t="s">
        <v>1314</v>
      </c>
      <c r="Q384" s="5" t="s">
        <v>1306</v>
      </c>
      <c r="R384" s="151">
        <v>1</v>
      </c>
      <c r="S384" s="143"/>
    </row>
    <row r="385" spans="1:19" x14ac:dyDescent="0.25">
      <c r="A385" s="5" t="s">
        <v>2480</v>
      </c>
      <c r="B385" s="147">
        <v>45667</v>
      </c>
      <c r="C385" s="5" t="s">
        <v>2481</v>
      </c>
      <c r="D385" s="5" t="s">
        <v>2482</v>
      </c>
      <c r="E385" s="5" t="s">
        <v>1342</v>
      </c>
      <c r="F385" s="5" t="s">
        <v>988</v>
      </c>
      <c r="G385" s="5" t="s">
        <v>1343</v>
      </c>
      <c r="H385" s="148">
        <v>2</v>
      </c>
      <c r="I385" s="149">
        <v>7848</v>
      </c>
      <c r="J385" s="150">
        <v>0</v>
      </c>
      <c r="K385" s="149">
        <v>15696</v>
      </c>
      <c r="L385" s="149">
        <v>3775.64</v>
      </c>
      <c r="M385" s="5" t="s">
        <v>1381</v>
      </c>
      <c r="N385" s="5" t="s">
        <v>1352</v>
      </c>
      <c r="O385" s="5" t="s">
        <v>1352</v>
      </c>
      <c r="P385" s="5" t="s">
        <v>1323</v>
      </c>
      <c r="Q385" s="5" t="s">
        <v>1306</v>
      </c>
      <c r="R385" s="151">
        <v>3</v>
      </c>
      <c r="S385" s="143"/>
    </row>
    <row r="386" spans="1:19" x14ac:dyDescent="0.25">
      <c r="A386" s="5" t="s">
        <v>2483</v>
      </c>
      <c r="B386" s="147">
        <v>45900</v>
      </c>
      <c r="C386" s="5" t="s">
        <v>2484</v>
      </c>
      <c r="D386" s="5" t="s">
        <v>2485</v>
      </c>
      <c r="E386" s="5" t="s">
        <v>1342</v>
      </c>
      <c r="F386" s="5" t="s">
        <v>988</v>
      </c>
      <c r="G386" s="5" t="s">
        <v>1343</v>
      </c>
      <c r="H386" s="148">
        <v>3</v>
      </c>
      <c r="I386" s="149">
        <v>14247</v>
      </c>
      <c r="J386" s="150">
        <v>0.2</v>
      </c>
      <c r="K386" s="149">
        <v>34192.800000000003</v>
      </c>
      <c r="L386" s="149">
        <v>7610.53</v>
      </c>
      <c r="M386" s="5" t="s">
        <v>1130</v>
      </c>
      <c r="N386" s="5" t="s">
        <v>1321</v>
      </c>
      <c r="O386" s="5" t="s">
        <v>1322</v>
      </c>
      <c r="P386" s="5" t="s">
        <v>1299</v>
      </c>
      <c r="Q386" s="5" t="s">
        <v>1184</v>
      </c>
      <c r="R386" s="151">
        <v>1</v>
      </c>
      <c r="S386" s="143"/>
    </row>
    <row r="387" spans="1:19" x14ac:dyDescent="0.25">
      <c r="A387" s="5" t="s">
        <v>2486</v>
      </c>
      <c r="B387" s="147">
        <v>45836</v>
      </c>
      <c r="C387" s="5" t="s">
        <v>2487</v>
      </c>
      <c r="D387" s="5" t="s">
        <v>2488</v>
      </c>
      <c r="E387" s="5" t="s">
        <v>1318</v>
      </c>
      <c r="F387" s="5" t="s">
        <v>1319</v>
      </c>
      <c r="G387" s="5" t="s">
        <v>1320</v>
      </c>
      <c r="H387" s="148">
        <v>5</v>
      </c>
      <c r="I387" s="149">
        <v>14250</v>
      </c>
      <c r="J387" s="150">
        <v>0.1</v>
      </c>
      <c r="K387" s="149">
        <v>64125</v>
      </c>
      <c r="L387" s="149">
        <v>8539.66</v>
      </c>
      <c r="M387" s="5" t="s">
        <v>1313</v>
      </c>
      <c r="N387" s="5" t="s">
        <v>1352</v>
      </c>
      <c r="O387" s="5" t="s">
        <v>1352</v>
      </c>
      <c r="P387" s="5" t="s">
        <v>1314</v>
      </c>
      <c r="Q387" s="5" t="s">
        <v>1300</v>
      </c>
      <c r="R387" s="151">
        <v>2</v>
      </c>
      <c r="S387" s="143"/>
    </row>
    <row r="388" spans="1:19" x14ac:dyDescent="0.25">
      <c r="A388" s="5" t="s">
        <v>2489</v>
      </c>
      <c r="B388" s="147">
        <v>45968</v>
      </c>
      <c r="C388" s="5" t="s">
        <v>2490</v>
      </c>
      <c r="D388" s="5" t="s">
        <v>2491</v>
      </c>
      <c r="E388" s="5" t="s">
        <v>1310</v>
      </c>
      <c r="F388" s="5" t="s">
        <v>1311</v>
      </c>
      <c r="G388" s="5" t="s">
        <v>1312</v>
      </c>
      <c r="H388" s="148">
        <v>5</v>
      </c>
      <c r="I388" s="149">
        <v>7885</v>
      </c>
      <c r="J388" s="150">
        <v>0</v>
      </c>
      <c r="K388" s="149">
        <v>39425</v>
      </c>
      <c r="L388" s="149">
        <v>9125.17</v>
      </c>
      <c r="M388" s="5" t="s">
        <v>1126</v>
      </c>
      <c r="N388" s="5" t="s">
        <v>1297</v>
      </c>
      <c r="O388" s="5" t="s">
        <v>1298</v>
      </c>
      <c r="P388" s="5" t="s">
        <v>1299</v>
      </c>
      <c r="Q388" s="5" t="s">
        <v>1184</v>
      </c>
      <c r="R388" s="151">
        <v>3</v>
      </c>
      <c r="S388" s="143"/>
    </row>
    <row r="389" spans="1:19" x14ac:dyDescent="0.25">
      <c r="A389" s="5" t="s">
        <v>2492</v>
      </c>
      <c r="B389" s="147">
        <v>45880</v>
      </c>
      <c r="C389" s="5" t="s">
        <v>2493</v>
      </c>
      <c r="D389" s="5" t="s">
        <v>2494</v>
      </c>
      <c r="E389" s="5" t="s">
        <v>1195</v>
      </c>
      <c r="F389" s="5" t="s">
        <v>988</v>
      </c>
      <c r="G389" s="5" t="s">
        <v>1336</v>
      </c>
      <c r="H389" s="148">
        <v>4</v>
      </c>
      <c r="I389" s="149">
        <v>1933</v>
      </c>
      <c r="J389" s="150">
        <v>0</v>
      </c>
      <c r="K389" s="149">
        <v>7732</v>
      </c>
      <c r="L389" s="149">
        <v>1574.19</v>
      </c>
      <c r="M389" s="5" t="s">
        <v>1130</v>
      </c>
      <c r="N389" s="5" t="s">
        <v>1297</v>
      </c>
      <c r="O389" s="5" t="s">
        <v>1298</v>
      </c>
      <c r="P389" s="5" t="s">
        <v>1327</v>
      </c>
      <c r="Q389" s="5" t="s">
        <v>1204</v>
      </c>
      <c r="R389" s="151">
        <v>1</v>
      </c>
      <c r="S389" s="143"/>
    </row>
    <row r="390" spans="1:19" x14ac:dyDescent="0.25">
      <c r="A390" s="5" t="s">
        <v>2495</v>
      </c>
      <c r="B390" s="147">
        <v>45781</v>
      </c>
      <c r="C390" s="5" t="s">
        <v>2496</v>
      </c>
      <c r="D390" s="5" t="s">
        <v>2497</v>
      </c>
      <c r="E390" s="5" t="s">
        <v>1359</v>
      </c>
      <c r="F390" s="5" t="s">
        <v>1360</v>
      </c>
      <c r="G390" s="5" t="s">
        <v>1361</v>
      </c>
      <c r="H390" s="148">
        <v>4</v>
      </c>
      <c r="I390" s="149">
        <v>2169</v>
      </c>
      <c r="J390" s="150">
        <v>0.15</v>
      </c>
      <c r="K390" s="149">
        <v>7374.6</v>
      </c>
      <c r="L390" s="149">
        <v>988.02</v>
      </c>
      <c r="M390" s="5" t="s">
        <v>1313</v>
      </c>
      <c r="N390" s="5" t="s">
        <v>1337</v>
      </c>
      <c r="O390" s="5" t="s">
        <v>1338</v>
      </c>
      <c r="P390" s="5" t="s">
        <v>1348</v>
      </c>
      <c r="Q390" s="5" t="s">
        <v>1204</v>
      </c>
      <c r="R390" s="151">
        <v>3</v>
      </c>
      <c r="S390" s="143"/>
    </row>
    <row r="391" spans="1:19" x14ac:dyDescent="0.25">
      <c r="A391" s="5" t="s">
        <v>2498</v>
      </c>
      <c r="B391" s="147">
        <v>45881</v>
      </c>
      <c r="C391" s="5" t="s">
        <v>2499</v>
      </c>
      <c r="D391" s="5" t="s">
        <v>2500</v>
      </c>
      <c r="E391" s="5" t="s">
        <v>1295</v>
      </c>
      <c r="F391" s="5" t="s">
        <v>985</v>
      </c>
      <c r="G391" s="5" t="s">
        <v>1296</v>
      </c>
      <c r="H391" s="148">
        <v>5</v>
      </c>
      <c r="I391" s="149">
        <v>9751</v>
      </c>
      <c r="J391" s="150">
        <v>0</v>
      </c>
      <c r="K391" s="149">
        <v>48755</v>
      </c>
      <c r="L391" s="149">
        <v>9584.06</v>
      </c>
      <c r="M391" s="5" t="s">
        <v>1381</v>
      </c>
      <c r="N391" s="5" t="s">
        <v>1362</v>
      </c>
      <c r="O391" s="5" t="s">
        <v>1363</v>
      </c>
      <c r="P391" s="5" t="s">
        <v>1323</v>
      </c>
      <c r="Q391" s="5" t="s">
        <v>1300</v>
      </c>
      <c r="R391" s="151">
        <v>5</v>
      </c>
      <c r="S391" s="143"/>
    </row>
    <row r="392" spans="1:19" x14ac:dyDescent="0.25">
      <c r="A392" s="5" t="s">
        <v>2501</v>
      </c>
      <c r="B392" s="147">
        <v>45946</v>
      </c>
      <c r="C392" s="5" t="s">
        <v>2502</v>
      </c>
      <c r="D392" s="5" t="s">
        <v>2503</v>
      </c>
      <c r="E392" s="5" t="s">
        <v>1195</v>
      </c>
      <c r="F392" s="5" t="s">
        <v>988</v>
      </c>
      <c r="G392" s="5" t="s">
        <v>1336</v>
      </c>
      <c r="H392" s="148">
        <v>5</v>
      </c>
      <c r="I392" s="149">
        <v>3102</v>
      </c>
      <c r="J392" s="150">
        <v>0</v>
      </c>
      <c r="K392" s="149">
        <v>15510</v>
      </c>
      <c r="L392" s="149">
        <v>1442.27</v>
      </c>
      <c r="M392" s="5" t="s">
        <v>1344</v>
      </c>
      <c r="N392" s="5" t="s">
        <v>1352</v>
      </c>
      <c r="O392" s="5" t="s">
        <v>1352</v>
      </c>
      <c r="P392" s="5" t="s">
        <v>1299</v>
      </c>
      <c r="Q392" s="5" t="s">
        <v>1306</v>
      </c>
      <c r="R392" s="151">
        <v>3</v>
      </c>
      <c r="S392" s="143"/>
    </row>
    <row r="393" spans="1:19" x14ac:dyDescent="0.25">
      <c r="A393" s="5" t="s">
        <v>2504</v>
      </c>
      <c r="B393" s="147">
        <v>45667</v>
      </c>
      <c r="C393" s="5" t="s">
        <v>2505</v>
      </c>
      <c r="D393" s="5" t="s">
        <v>2506</v>
      </c>
      <c r="E393" s="5" t="s">
        <v>1195</v>
      </c>
      <c r="F393" s="5" t="s">
        <v>988</v>
      </c>
      <c r="G393" s="5" t="s">
        <v>1336</v>
      </c>
      <c r="H393" s="148">
        <v>2</v>
      </c>
      <c r="I393" s="149">
        <v>11101</v>
      </c>
      <c r="J393" s="150">
        <v>0</v>
      </c>
      <c r="K393" s="149">
        <v>22202</v>
      </c>
      <c r="L393" s="149">
        <v>3499.35</v>
      </c>
      <c r="M393" s="5" t="s">
        <v>1381</v>
      </c>
      <c r="N393" s="5" t="s">
        <v>1297</v>
      </c>
      <c r="O393" s="5" t="s">
        <v>1298</v>
      </c>
      <c r="P393" s="5" t="s">
        <v>1323</v>
      </c>
      <c r="Q393" s="5" t="s">
        <v>1300</v>
      </c>
      <c r="R393" s="151">
        <v>1</v>
      </c>
      <c r="S393" s="143"/>
    </row>
    <row r="394" spans="1:19" x14ac:dyDescent="0.25">
      <c r="A394" s="5" t="s">
        <v>2507</v>
      </c>
      <c r="B394" s="147">
        <v>45780</v>
      </c>
      <c r="C394" s="5" t="s">
        <v>2508</v>
      </c>
      <c r="D394" s="5" t="s">
        <v>2509</v>
      </c>
      <c r="E394" s="5" t="s">
        <v>1318</v>
      </c>
      <c r="F394" s="5" t="s">
        <v>1319</v>
      </c>
      <c r="G394" s="5" t="s">
        <v>1320</v>
      </c>
      <c r="H394" s="148">
        <v>3</v>
      </c>
      <c r="I394" s="149">
        <v>14801</v>
      </c>
      <c r="J394" s="150">
        <v>0.2</v>
      </c>
      <c r="K394" s="149">
        <v>35522.400000000001</v>
      </c>
      <c r="L394" s="149">
        <v>5083.93</v>
      </c>
      <c r="M394" s="5" t="s">
        <v>1126</v>
      </c>
      <c r="N394" s="5" t="s">
        <v>1337</v>
      </c>
      <c r="O394" s="5" t="s">
        <v>1338</v>
      </c>
      <c r="P394" s="5" t="s">
        <v>1323</v>
      </c>
      <c r="Q394" s="5" t="s">
        <v>1300</v>
      </c>
      <c r="R394" s="151">
        <v>1</v>
      </c>
      <c r="S394" s="143"/>
    </row>
    <row r="395" spans="1:19" x14ac:dyDescent="0.25">
      <c r="A395" s="5" t="s">
        <v>2510</v>
      </c>
      <c r="B395" s="147">
        <v>46000</v>
      </c>
      <c r="C395" s="5" t="s">
        <v>2511</v>
      </c>
      <c r="D395" s="5" t="s">
        <v>2512</v>
      </c>
      <c r="E395" s="5" t="s">
        <v>1318</v>
      </c>
      <c r="F395" s="5" t="s">
        <v>1319</v>
      </c>
      <c r="G395" s="5" t="s">
        <v>1320</v>
      </c>
      <c r="H395" s="148">
        <v>3</v>
      </c>
      <c r="I395" s="149">
        <v>2695</v>
      </c>
      <c r="J395" s="150">
        <v>0.1</v>
      </c>
      <c r="K395" s="149">
        <v>7276.5</v>
      </c>
      <c r="L395" s="149">
        <v>1163.98</v>
      </c>
      <c r="M395" s="5" t="s">
        <v>1344</v>
      </c>
      <c r="N395" s="5" t="s">
        <v>1321</v>
      </c>
      <c r="O395" s="5" t="s">
        <v>1322</v>
      </c>
      <c r="P395" s="5" t="s">
        <v>1314</v>
      </c>
      <c r="Q395" s="5" t="s">
        <v>1204</v>
      </c>
      <c r="R395" s="151">
        <v>2</v>
      </c>
      <c r="S395" s="143"/>
    </row>
    <row r="396" spans="1:19" x14ac:dyDescent="0.25">
      <c r="A396" s="5" t="s">
        <v>2513</v>
      </c>
      <c r="B396" s="147">
        <v>45659</v>
      </c>
      <c r="C396" s="5" t="s">
        <v>2514</v>
      </c>
      <c r="D396" s="5" t="s">
        <v>2515</v>
      </c>
      <c r="E396" s="5" t="s">
        <v>1310</v>
      </c>
      <c r="F396" s="5" t="s">
        <v>1311</v>
      </c>
      <c r="G396" s="5" t="s">
        <v>1312</v>
      </c>
      <c r="H396" s="148">
        <v>2</v>
      </c>
      <c r="I396" s="149">
        <v>11052</v>
      </c>
      <c r="J396" s="150">
        <v>0.1</v>
      </c>
      <c r="K396" s="149">
        <v>19893.599999999999</v>
      </c>
      <c r="L396" s="149">
        <v>2781.27</v>
      </c>
      <c r="M396" s="5" t="s">
        <v>1313</v>
      </c>
      <c r="N396" s="5" t="s">
        <v>1304</v>
      </c>
      <c r="O396" s="5" t="s">
        <v>1305</v>
      </c>
      <c r="P396" s="5" t="s">
        <v>1323</v>
      </c>
      <c r="Q396" s="5" t="s">
        <v>1184</v>
      </c>
      <c r="R396" s="151">
        <v>3</v>
      </c>
      <c r="S396" s="143"/>
    </row>
    <row r="397" spans="1:19" x14ac:dyDescent="0.25">
      <c r="A397" s="5" t="s">
        <v>2516</v>
      </c>
      <c r="B397" s="147">
        <v>45836</v>
      </c>
      <c r="C397" s="5" t="s">
        <v>2517</v>
      </c>
      <c r="D397" s="5" t="s">
        <v>2518</v>
      </c>
      <c r="E397" s="5" t="s">
        <v>1310</v>
      </c>
      <c r="F397" s="5" t="s">
        <v>1311</v>
      </c>
      <c r="G397" s="5" t="s">
        <v>1312</v>
      </c>
      <c r="H397" s="148">
        <v>5</v>
      </c>
      <c r="I397" s="149">
        <v>270</v>
      </c>
      <c r="J397" s="150">
        <v>0.2</v>
      </c>
      <c r="K397" s="149">
        <v>1080</v>
      </c>
      <c r="L397" s="149">
        <v>317.66000000000003</v>
      </c>
      <c r="M397" s="5" t="s">
        <v>1381</v>
      </c>
      <c r="N397" s="5" t="s">
        <v>1321</v>
      </c>
      <c r="O397" s="5" t="s">
        <v>1322</v>
      </c>
      <c r="P397" s="5" t="s">
        <v>1327</v>
      </c>
      <c r="Q397" s="5" t="s">
        <v>1306</v>
      </c>
      <c r="R397" s="151">
        <v>1</v>
      </c>
      <c r="S397" s="143"/>
    </row>
    <row r="398" spans="1:19" x14ac:dyDescent="0.25">
      <c r="A398" s="5" t="s">
        <v>2519</v>
      </c>
      <c r="B398" s="147">
        <v>45848</v>
      </c>
      <c r="C398" s="5" t="s">
        <v>2520</v>
      </c>
      <c r="D398" s="5" t="s">
        <v>2521</v>
      </c>
      <c r="E398" s="5" t="s">
        <v>1318</v>
      </c>
      <c r="F398" s="5" t="s">
        <v>1319</v>
      </c>
      <c r="G398" s="5" t="s">
        <v>1320</v>
      </c>
      <c r="H398" s="148">
        <v>5</v>
      </c>
      <c r="I398" s="149">
        <v>221</v>
      </c>
      <c r="J398" s="150">
        <v>0</v>
      </c>
      <c r="K398" s="149">
        <v>1105</v>
      </c>
      <c r="L398" s="149">
        <v>106.59</v>
      </c>
      <c r="M398" s="5" t="s">
        <v>1130</v>
      </c>
      <c r="N398" s="5" t="s">
        <v>1297</v>
      </c>
      <c r="O398" s="5" t="s">
        <v>1298</v>
      </c>
      <c r="P398" s="5" t="s">
        <v>1314</v>
      </c>
      <c r="Q398" s="5" t="s">
        <v>1306</v>
      </c>
      <c r="R398" s="151">
        <v>2</v>
      </c>
      <c r="S398" s="143"/>
    </row>
    <row r="399" spans="1:19" x14ac:dyDescent="0.25">
      <c r="A399" s="5" t="s">
        <v>2522</v>
      </c>
      <c r="B399" s="147">
        <v>45804</v>
      </c>
      <c r="C399" s="5" t="s">
        <v>2523</v>
      </c>
      <c r="D399" s="5" t="s">
        <v>2524</v>
      </c>
      <c r="E399" s="5" t="s">
        <v>1195</v>
      </c>
      <c r="F399" s="5" t="s">
        <v>988</v>
      </c>
      <c r="G399" s="5" t="s">
        <v>1336</v>
      </c>
      <c r="H399" s="148">
        <v>2</v>
      </c>
      <c r="I399" s="149">
        <v>7670</v>
      </c>
      <c r="J399" s="150">
        <v>0.1</v>
      </c>
      <c r="K399" s="149">
        <v>13806</v>
      </c>
      <c r="L399" s="149">
        <v>3981.92</v>
      </c>
      <c r="M399" s="5" t="s">
        <v>1381</v>
      </c>
      <c r="N399" s="5" t="s">
        <v>1321</v>
      </c>
      <c r="O399" s="5" t="s">
        <v>1322</v>
      </c>
      <c r="P399" s="5" t="s">
        <v>1348</v>
      </c>
      <c r="Q399" s="5" t="s">
        <v>1306</v>
      </c>
      <c r="R399" s="151">
        <v>2</v>
      </c>
      <c r="S399" s="143"/>
    </row>
    <row r="400" spans="1:19" x14ac:dyDescent="0.25">
      <c r="A400" s="5" t="s">
        <v>2525</v>
      </c>
      <c r="B400" s="147">
        <v>45936</v>
      </c>
      <c r="C400" s="5" t="s">
        <v>2526</v>
      </c>
      <c r="D400" s="5" t="s">
        <v>2527</v>
      </c>
      <c r="E400" s="5" t="s">
        <v>1370</v>
      </c>
      <c r="F400" s="5" t="s">
        <v>1160</v>
      </c>
      <c r="G400" s="5" t="s">
        <v>1371</v>
      </c>
      <c r="H400" s="148">
        <v>1</v>
      </c>
      <c r="I400" s="149">
        <v>13526</v>
      </c>
      <c r="J400" s="150">
        <v>0.05</v>
      </c>
      <c r="K400" s="149">
        <v>12849.7</v>
      </c>
      <c r="L400" s="149">
        <v>2325.41</v>
      </c>
      <c r="M400" s="5" t="s">
        <v>1130</v>
      </c>
      <c r="N400" s="5" t="s">
        <v>1297</v>
      </c>
      <c r="O400" s="5" t="s">
        <v>1298</v>
      </c>
      <c r="P400" s="5" t="s">
        <v>1299</v>
      </c>
      <c r="Q400" s="5" t="s">
        <v>1306</v>
      </c>
      <c r="R400" s="151">
        <v>1</v>
      </c>
      <c r="S400" s="143"/>
    </row>
    <row r="401" spans="1:19" x14ac:dyDescent="0.25">
      <c r="A401" s="5" t="s">
        <v>2528</v>
      </c>
      <c r="B401" s="147">
        <v>45797</v>
      </c>
      <c r="C401" s="5" t="s">
        <v>2529</v>
      </c>
      <c r="D401" s="5" t="s">
        <v>2530</v>
      </c>
      <c r="E401" s="5" t="s">
        <v>1310</v>
      </c>
      <c r="F401" s="5" t="s">
        <v>1311</v>
      </c>
      <c r="G401" s="5" t="s">
        <v>1312</v>
      </c>
      <c r="H401" s="148">
        <v>1</v>
      </c>
      <c r="I401" s="149">
        <v>2520</v>
      </c>
      <c r="J401" s="150">
        <v>0.2</v>
      </c>
      <c r="K401" s="149">
        <v>2016</v>
      </c>
      <c r="L401" s="149">
        <v>390.66</v>
      </c>
      <c r="M401" s="5" t="s">
        <v>1313</v>
      </c>
      <c r="N401" s="5" t="s">
        <v>1352</v>
      </c>
      <c r="O401" s="5" t="s">
        <v>1352</v>
      </c>
      <c r="P401" s="5" t="s">
        <v>1348</v>
      </c>
      <c r="Q401" s="5" t="s">
        <v>1204</v>
      </c>
      <c r="R401" s="151">
        <v>5</v>
      </c>
      <c r="S401" s="143"/>
    </row>
    <row r="402" spans="1:19" x14ac:dyDescent="0.25">
      <c r="A402" s="5" t="s">
        <v>2531</v>
      </c>
      <c r="B402" s="147">
        <v>45958</v>
      </c>
      <c r="C402" s="5" t="s">
        <v>2532</v>
      </c>
      <c r="D402" s="5" t="s">
        <v>2533</v>
      </c>
      <c r="E402" s="5" t="s">
        <v>1310</v>
      </c>
      <c r="F402" s="5" t="s">
        <v>1311</v>
      </c>
      <c r="G402" s="5" t="s">
        <v>1312</v>
      </c>
      <c r="H402" s="148">
        <v>2</v>
      </c>
      <c r="I402" s="149">
        <v>12838</v>
      </c>
      <c r="J402" s="150">
        <v>0.05</v>
      </c>
      <c r="K402" s="149">
        <v>24392.2</v>
      </c>
      <c r="L402" s="149">
        <v>2154.2199999999998</v>
      </c>
      <c r="M402" s="5" t="s">
        <v>1344</v>
      </c>
      <c r="N402" s="5" t="s">
        <v>1304</v>
      </c>
      <c r="O402" s="5" t="s">
        <v>1305</v>
      </c>
      <c r="P402" s="5" t="s">
        <v>1314</v>
      </c>
      <c r="Q402" s="5" t="s">
        <v>1184</v>
      </c>
      <c r="R402" s="151">
        <v>3</v>
      </c>
      <c r="S402" s="143"/>
    </row>
    <row r="403" spans="1:19" x14ac:dyDescent="0.25">
      <c r="A403" s="5" t="s">
        <v>2534</v>
      </c>
      <c r="B403" s="147">
        <v>45894</v>
      </c>
      <c r="C403" s="5" t="s">
        <v>2535</v>
      </c>
      <c r="D403" s="5" t="s">
        <v>2536</v>
      </c>
      <c r="E403" s="5" t="s">
        <v>1370</v>
      </c>
      <c r="F403" s="5" t="s">
        <v>1160</v>
      </c>
      <c r="G403" s="5" t="s">
        <v>1371</v>
      </c>
      <c r="H403" s="148">
        <v>4</v>
      </c>
      <c r="I403" s="149">
        <v>7205</v>
      </c>
      <c r="J403" s="150">
        <v>0.2</v>
      </c>
      <c r="K403" s="149">
        <v>23056</v>
      </c>
      <c r="L403" s="149">
        <v>1983.31</v>
      </c>
      <c r="M403" s="5" t="s">
        <v>1126</v>
      </c>
      <c r="N403" s="5" t="s">
        <v>1352</v>
      </c>
      <c r="O403" s="5" t="s">
        <v>1352</v>
      </c>
      <c r="P403" s="5" t="s">
        <v>1314</v>
      </c>
      <c r="Q403" s="5" t="s">
        <v>1306</v>
      </c>
      <c r="R403" s="151">
        <v>3</v>
      </c>
      <c r="S403" s="143"/>
    </row>
    <row r="404" spans="1:19" x14ac:dyDescent="0.25">
      <c r="A404" s="5" t="s">
        <v>2537</v>
      </c>
      <c r="B404" s="147">
        <v>45930</v>
      </c>
      <c r="C404" s="5" t="s">
        <v>2538</v>
      </c>
      <c r="D404" s="5" t="s">
        <v>2539</v>
      </c>
      <c r="E404" s="5" t="s">
        <v>1195</v>
      </c>
      <c r="F404" s="5" t="s">
        <v>988</v>
      </c>
      <c r="G404" s="5" t="s">
        <v>1336</v>
      </c>
      <c r="H404" s="148">
        <v>5</v>
      </c>
      <c r="I404" s="149">
        <v>12488</v>
      </c>
      <c r="J404" s="150">
        <v>0</v>
      </c>
      <c r="K404" s="149">
        <v>62440</v>
      </c>
      <c r="L404" s="149">
        <v>13507.83</v>
      </c>
      <c r="M404" s="5" t="s">
        <v>1126</v>
      </c>
      <c r="N404" s="5" t="s">
        <v>1337</v>
      </c>
      <c r="O404" s="5" t="s">
        <v>1338</v>
      </c>
      <c r="P404" s="5" t="s">
        <v>1348</v>
      </c>
      <c r="Q404" s="5" t="s">
        <v>1184</v>
      </c>
      <c r="R404" s="151">
        <v>4</v>
      </c>
      <c r="S404" s="143"/>
    </row>
    <row r="405" spans="1:19" x14ac:dyDescent="0.25">
      <c r="A405" s="5" t="s">
        <v>2540</v>
      </c>
      <c r="B405" s="147">
        <v>45724</v>
      </c>
      <c r="C405" s="5" t="s">
        <v>2541</v>
      </c>
      <c r="D405" s="5" t="s">
        <v>2542</v>
      </c>
      <c r="E405" s="5" t="s">
        <v>1195</v>
      </c>
      <c r="F405" s="5" t="s">
        <v>988</v>
      </c>
      <c r="G405" s="5" t="s">
        <v>1336</v>
      </c>
      <c r="H405" s="148">
        <v>2</v>
      </c>
      <c r="I405" s="149">
        <v>12481</v>
      </c>
      <c r="J405" s="150">
        <v>0.15</v>
      </c>
      <c r="K405" s="149">
        <v>21217.7</v>
      </c>
      <c r="L405" s="149">
        <v>2360.46</v>
      </c>
      <c r="M405" s="5" t="s">
        <v>1313</v>
      </c>
      <c r="N405" s="5" t="s">
        <v>1352</v>
      </c>
      <c r="O405" s="5" t="s">
        <v>1352</v>
      </c>
      <c r="P405" s="5" t="s">
        <v>1348</v>
      </c>
      <c r="Q405" s="5" t="s">
        <v>1184</v>
      </c>
      <c r="R405" s="151">
        <v>2</v>
      </c>
      <c r="S405" s="143"/>
    </row>
    <row r="406" spans="1:19" x14ac:dyDescent="0.25">
      <c r="A406" s="5" t="s">
        <v>2543</v>
      </c>
      <c r="B406" s="147">
        <v>45974</v>
      </c>
      <c r="C406" s="5" t="s">
        <v>2544</v>
      </c>
      <c r="D406" s="5" t="s">
        <v>2545</v>
      </c>
      <c r="E406" s="5" t="s">
        <v>1318</v>
      </c>
      <c r="F406" s="5" t="s">
        <v>1319</v>
      </c>
      <c r="G406" s="5" t="s">
        <v>1320</v>
      </c>
      <c r="H406" s="148">
        <v>5</v>
      </c>
      <c r="I406" s="149">
        <v>12950</v>
      </c>
      <c r="J406" s="150">
        <v>0.2</v>
      </c>
      <c r="K406" s="149">
        <v>51800</v>
      </c>
      <c r="L406" s="149">
        <v>9148.83</v>
      </c>
      <c r="M406" s="5" t="s">
        <v>1130</v>
      </c>
      <c r="N406" s="5" t="s">
        <v>1362</v>
      </c>
      <c r="O406" s="5" t="s">
        <v>1363</v>
      </c>
      <c r="P406" s="5" t="s">
        <v>1314</v>
      </c>
      <c r="Q406" s="5" t="s">
        <v>1300</v>
      </c>
      <c r="R406" s="151">
        <v>1</v>
      </c>
      <c r="S406" s="143"/>
    </row>
    <row r="407" spans="1:19" x14ac:dyDescent="0.25">
      <c r="A407" s="5" t="s">
        <v>2546</v>
      </c>
      <c r="B407" s="147">
        <v>45851</v>
      </c>
      <c r="C407" s="5" t="s">
        <v>2547</v>
      </c>
      <c r="D407" s="5" t="s">
        <v>2548</v>
      </c>
      <c r="E407" s="5" t="s">
        <v>1331</v>
      </c>
      <c r="F407" s="5" t="s">
        <v>988</v>
      </c>
      <c r="G407" s="5" t="s">
        <v>1332</v>
      </c>
      <c r="H407" s="148">
        <v>2</v>
      </c>
      <c r="I407" s="149">
        <v>2828</v>
      </c>
      <c r="J407" s="150">
        <v>0.1</v>
      </c>
      <c r="K407" s="149">
        <v>5090.3999999999996</v>
      </c>
      <c r="L407" s="149">
        <v>527.30999999999995</v>
      </c>
      <c r="M407" s="5" t="s">
        <v>1126</v>
      </c>
      <c r="N407" s="5" t="s">
        <v>1337</v>
      </c>
      <c r="O407" s="5" t="s">
        <v>1338</v>
      </c>
      <c r="P407" s="5" t="s">
        <v>1314</v>
      </c>
      <c r="Q407" s="5" t="s">
        <v>1306</v>
      </c>
      <c r="R407" s="151">
        <v>3</v>
      </c>
      <c r="S407" s="143"/>
    </row>
    <row r="408" spans="1:19" x14ac:dyDescent="0.25">
      <c r="A408" s="5" t="s">
        <v>2549</v>
      </c>
      <c r="B408" s="147">
        <v>45675</v>
      </c>
      <c r="C408" s="5" t="s">
        <v>2550</v>
      </c>
      <c r="D408" s="5" t="s">
        <v>2551</v>
      </c>
      <c r="E408" s="5" t="s">
        <v>1295</v>
      </c>
      <c r="F408" s="5" t="s">
        <v>985</v>
      </c>
      <c r="G408" s="5" t="s">
        <v>1296</v>
      </c>
      <c r="H408" s="148">
        <v>1</v>
      </c>
      <c r="I408" s="149">
        <v>13424</v>
      </c>
      <c r="J408" s="150">
        <v>0</v>
      </c>
      <c r="K408" s="149">
        <v>13424</v>
      </c>
      <c r="L408" s="149">
        <v>1526.27</v>
      </c>
      <c r="M408" s="5" t="s">
        <v>1381</v>
      </c>
      <c r="N408" s="5" t="s">
        <v>1362</v>
      </c>
      <c r="O408" s="5" t="s">
        <v>1363</v>
      </c>
      <c r="P408" s="5" t="s">
        <v>1348</v>
      </c>
      <c r="Q408" s="5" t="s">
        <v>1184</v>
      </c>
      <c r="R408" s="151">
        <v>4</v>
      </c>
      <c r="S408" s="143"/>
    </row>
    <row r="409" spans="1:19" x14ac:dyDescent="0.25">
      <c r="A409" s="5" t="s">
        <v>2552</v>
      </c>
      <c r="B409" s="147">
        <v>45724</v>
      </c>
      <c r="C409" s="5" t="s">
        <v>2553</v>
      </c>
      <c r="D409" s="5" t="s">
        <v>2554</v>
      </c>
      <c r="E409" s="5" t="s">
        <v>1342</v>
      </c>
      <c r="F409" s="5" t="s">
        <v>988</v>
      </c>
      <c r="G409" s="5" t="s">
        <v>1343</v>
      </c>
      <c r="H409" s="148">
        <v>3</v>
      </c>
      <c r="I409" s="149">
        <v>13397</v>
      </c>
      <c r="J409" s="150">
        <v>0</v>
      </c>
      <c r="K409" s="149">
        <v>40191</v>
      </c>
      <c r="L409" s="149">
        <v>4515.83</v>
      </c>
      <c r="M409" s="5" t="s">
        <v>1313</v>
      </c>
      <c r="N409" s="5" t="s">
        <v>1352</v>
      </c>
      <c r="O409" s="5" t="s">
        <v>1352</v>
      </c>
      <c r="P409" s="5" t="s">
        <v>1348</v>
      </c>
      <c r="Q409" s="5" t="s">
        <v>1300</v>
      </c>
      <c r="R409" s="151">
        <v>3</v>
      </c>
      <c r="S409" s="143"/>
    </row>
    <row r="410" spans="1:19" x14ac:dyDescent="0.25">
      <c r="A410" s="5" t="s">
        <v>2555</v>
      </c>
      <c r="B410" s="147">
        <v>45698</v>
      </c>
      <c r="C410" s="5" t="s">
        <v>2556</v>
      </c>
      <c r="D410" s="5" t="s">
        <v>2557</v>
      </c>
      <c r="E410" s="5" t="s">
        <v>1295</v>
      </c>
      <c r="F410" s="5" t="s">
        <v>985</v>
      </c>
      <c r="G410" s="5" t="s">
        <v>1296</v>
      </c>
      <c r="H410" s="148">
        <v>2</v>
      </c>
      <c r="I410" s="149">
        <v>4009</v>
      </c>
      <c r="J410" s="150">
        <v>0.15</v>
      </c>
      <c r="K410" s="149">
        <v>6815.3</v>
      </c>
      <c r="L410" s="149">
        <v>1569.5</v>
      </c>
      <c r="M410" s="5" t="s">
        <v>1381</v>
      </c>
      <c r="N410" s="5" t="s">
        <v>1304</v>
      </c>
      <c r="O410" s="5" t="s">
        <v>1305</v>
      </c>
      <c r="P410" s="5" t="s">
        <v>1314</v>
      </c>
      <c r="Q410" s="5" t="s">
        <v>1184</v>
      </c>
      <c r="R410" s="151">
        <v>1</v>
      </c>
      <c r="S410" s="143"/>
    </row>
    <row r="411" spans="1:19" x14ac:dyDescent="0.25">
      <c r="A411" s="5" t="s">
        <v>2558</v>
      </c>
      <c r="B411" s="147">
        <v>45701</v>
      </c>
      <c r="C411" s="5" t="s">
        <v>2559</v>
      </c>
      <c r="D411" s="5" t="s">
        <v>2560</v>
      </c>
      <c r="E411" s="5" t="s">
        <v>1342</v>
      </c>
      <c r="F411" s="5" t="s">
        <v>988</v>
      </c>
      <c r="G411" s="5" t="s">
        <v>1343</v>
      </c>
      <c r="H411" s="148">
        <v>4</v>
      </c>
      <c r="I411" s="149">
        <v>7361</v>
      </c>
      <c r="J411" s="150">
        <v>0.1</v>
      </c>
      <c r="K411" s="149">
        <v>26499.599999999999</v>
      </c>
      <c r="L411" s="149">
        <v>3583.36</v>
      </c>
      <c r="M411" s="5" t="s">
        <v>1130</v>
      </c>
      <c r="N411" s="5" t="s">
        <v>1304</v>
      </c>
      <c r="O411" s="5" t="s">
        <v>1305</v>
      </c>
      <c r="P411" s="5" t="s">
        <v>1299</v>
      </c>
      <c r="Q411" s="5" t="s">
        <v>1204</v>
      </c>
      <c r="R411" s="151">
        <v>1</v>
      </c>
      <c r="S411" s="143"/>
    </row>
    <row r="412" spans="1:19" x14ac:dyDescent="0.25">
      <c r="A412" s="5" t="s">
        <v>2561</v>
      </c>
      <c r="B412" s="147">
        <v>45879</v>
      </c>
      <c r="C412" s="5" t="s">
        <v>2562</v>
      </c>
      <c r="D412" s="5" t="s">
        <v>2563</v>
      </c>
      <c r="E412" s="5" t="s">
        <v>1331</v>
      </c>
      <c r="F412" s="5" t="s">
        <v>988</v>
      </c>
      <c r="G412" s="5" t="s">
        <v>1332</v>
      </c>
      <c r="H412" s="148">
        <v>4</v>
      </c>
      <c r="I412" s="149">
        <v>5440</v>
      </c>
      <c r="J412" s="150">
        <v>0.05</v>
      </c>
      <c r="K412" s="149">
        <v>20672</v>
      </c>
      <c r="L412" s="149">
        <v>4755.09</v>
      </c>
      <c r="M412" s="5" t="s">
        <v>1313</v>
      </c>
      <c r="N412" s="5" t="s">
        <v>1297</v>
      </c>
      <c r="O412" s="5" t="s">
        <v>1298</v>
      </c>
      <c r="P412" s="5" t="s">
        <v>1323</v>
      </c>
      <c r="Q412" s="5" t="s">
        <v>1184</v>
      </c>
      <c r="R412" s="151">
        <v>4</v>
      </c>
      <c r="S412" s="143"/>
    </row>
    <row r="413" spans="1:19" x14ac:dyDescent="0.25">
      <c r="A413" s="5" t="s">
        <v>2564</v>
      </c>
      <c r="B413" s="147">
        <v>45953</v>
      </c>
      <c r="C413" s="5" t="s">
        <v>2565</v>
      </c>
      <c r="D413" s="5" t="s">
        <v>2566</v>
      </c>
      <c r="E413" s="5" t="s">
        <v>1331</v>
      </c>
      <c r="F413" s="5" t="s">
        <v>988</v>
      </c>
      <c r="G413" s="5" t="s">
        <v>1332</v>
      </c>
      <c r="H413" s="148">
        <v>1</v>
      </c>
      <c r="I413" s="149">
        <v>2979</v>
      </c>
      <c r="J413" s="150">
        <v>0.15</v>
      </c>
      <c r="K413" s="149">
        <v>2532.15</v>
      </c>
      <c r="L413" s="149">
        <v>365.66</v>
      </c>
      <c r="M413" s="5" t="s">
        <v>1381</v>
      </c>
      <c r="N413" s="5" t="s">
        <v>1352</v>
      </c>
      <c r="O413" s="5" t="s">
        <v>1352</v>
      </c>
      <c r="P413" s="5" t="s">
        <v>1348</v>
      </c>
      <c r="Q413" s="5" t="s">
        <v>1184</v>
      </c>
      <c r="R413" s="151">
        <v>1</v>
      </c>
      <c r="S413" s="143"/>
    </row>
    <row r="414" spans="1:19" x14ac:dyDescent="0.25">
      <c r="A414" s="5" t="s">
        <v>2567</v>
      </c>
      <c r="B414" s="147">
        <v>45932</v>
      </c>
      <c r="C414" s="5" t="s">
        <v>2568</v>
      </c>
      <c r="D414" s="5" t="s">
        <v>2569</v>
      </c>
      <c r="E414" s="5" t="s">
        <v>1359</v>
      </c>
      <c r="F414" s="5" t="s">
        <v>1360</v>
      </c>
      <c r="G414" s="5" t="s">
        <v>1361</v>
      </c>
      <c r="H414" s="148">
        <v>3</v>
      </c>
      <c r="I414" s="149">
        <v>10033</v>
      </c>
      <c r="J414" s="150">
        <v>0.05</v>
      </c>
      <c r="K414" s="149">
        <v>28594.05</v>
      </c>
      <c r="L414" s="149">
        <v>3692.41</v>
      </c>
      <c r="M414" s="5" t="s">
        <v>1130</v>
      </c>
      <c r="N414" s="5" t="s">
        <v>1297</v>
      </c>
      <c r="O414" s="5" t="s">
        <v>1298</v>
      </c>
      <c r="P414" s="5" t="s">
        <v>1323</v>
      </c>
      <c r="Q414" s="5" t="s">
        <v>1306</v>
      </c>
      <c r="R414" s="151">
        <v>4</v>
      </c>
      <c r="S414" s="143"/>
    </row>
    <row r="415" spans="1:19" x14ac:dyDescent="0.25">
      <c r="A415" s="5" t="s">
        <v>2570</v>
      </c>
      <c r="B415" s="147">
        <v>45674</v>
      </c>
      <c r="C415" s="5" t="s">
        <v>2571</v>
      </c>
      <c r="D415" s="5" t="s">
        <v>2572</v>
      </c>
      <c r="E415" s="5" t="s">
        <v>1195</v>
      </c>
      <c r="F415" s="5" t="s">
        <v>988</v>
      </c>
      <c r="G415" s="5" t="s">
        <v>1336</v>
      </c>
      <c r="H415" s="148">
        <v>3</v>
      </c>
      <c r="I415" s="149">
        <v>6306</v>
      </c>
      <c r="J415" s="150">
        <v>0.05</v>
      </c>
      <c r="K415" s="149">
        <v>17972.099999999999</v>
      </c>
      <c r="L415" s="149">
        <v>4996.32</v>
      </c>
      <c r="M415" s="5" t="s">
        <v>1344</v>
      </c>
      <c r="N415" s="5" t="s">
        <v>1352</v>
      </c>
      <c r="O415" s="5" t="s">
        <v>1352</v>
      </c>
      <c r="P415" s="5" t="s">
        <v>1348</v>
      </c>
      <c r="Q415" s="5" t="s">
        <v>1204</v>
      </c>
      <c r="R415" s="151">
        <v>3</v>
      </c>
      <c r="S415" s="143"/>
    </row>
    <row r="416" spans="1:19" x14ac:dyDescent="0.25">
      <c r="A416" s="5" t="s">
        <v>2573</v>
      </c>
      <c r="B416" s="147">
        <v>45756</v>
      </c>
      <c r="C416" s="5" t="s">
        <v>2574</v>
      </c>
      <c r="D416" s="5" t="s">
        <v>2575</v>
      </c>
      <c r="E416" s="5" t="s">
        <v>1318</v>
      </c>
      <c r="F416" s="5" t="s">
        <v>1319</v>
      </c>
      <c r="G416" s="5" t="s">
        <v>1320</v>
      </c>
      <c r="H416" s="148">
        <v>4</v>
      </c>
      <c r="I416" s="149">
        <v>1560</v>
      </c>
      <c r="J416" s="150">
        <v>0.05</v>
      </c>
      <c r="K416" s="149">
        <v>5928</v>
      </c>
      <c r="L416" s="149">
        <v>1688.54</v>
      </c>
      <c r="M416" s="5" t="s">
        <v>1313</v>
      </c>
      <c r="N416" s="5" t="s">
        <v>1362</v>
      </c>
      <c r="O416" s="5" t="s">
        <v>1363</v>
      </c>
      <c r="P416" s="5" t="s">
        <v>1323</v>
      </c>
      <c r="Q416" s="5" t="s">
        <v>1204</v>
      </c>
      <c r="R416" s="151">
        <v>1</v>
      </c>
      <c r="S416" s="143"/>
    </row>
    <row r="417" spans="1:19" x14ac:dyDescent="0.25">
      <c r="A417" s="5" t="s">
        <v>2576</v>
      </c>
      <c r="B417" s="147">
        <v>45762</v>
      </c>
      <c r="C417" s="5" t="s">
        <v>2577</v>
      </c>
      <c r="D417" s="5" t="s">
        <v>2578</v>
      </c>
      <c r="E417" s="5" t="s">
        <v>1342</v>
      </c>
      <c r="F417" s="5" t="s">
        <v>988</v>
      </c>
      <c r="G417" s="5" t="s">
        <v>1343</v>
      </c>
      <c r="H417" s="148">
        <v>2</v>
      </c>
      <c r="I417" s="149">
        <v>14511</v>
      </c>
      <c r="J417" s="150">
        <v>0.1</v>
      </c>
      <c r="K417" s="149">
        <v>26119.8</v>
      </c>
      <c r="L417" s="149">
        <v>3279.74</v>
      </c>
      <c r="M417" s="5" t="s">
        <v>1313</v>
      </c>
      <c r="N417" s="5" t="s">
        <v>1304</v>
      </c>
      <c r="O417" s="5" t="s">
        <v>1305</v>
      </c>
      <c r="P417" s="5" t="s">
        <v>1299</v>
      </c>
      <c r="Q417" s="5" t="s">
        <v>1184</v>
      </c>
      <c r="R417" s="151">
        <v>3</v>
      </c>
      <c r="S417" s="143"/>
    </row>
    <row r="418" spans="1:19" x14ac:dyDescent="0.25">
      <c r="A418" s="5" t="s">
        <v>2579</v>
      </c>
      <c r="B418" s="147">
        <v>45822</v>
      </c>
      <c r="C418" s="5" t="s">
        <v>2580</v>
      </c>
      <c r="D418" s="5" t="s">
        <v>2581</v>
      </c>
      <c r="E418" s="5" t="s">
        <v>1295</v>
      </c>
      <c r="F418" s="5" t="s">
        <v>985</v>
      </c>
      <c r="G418" s="5" t="s">
        <v>1296</v>
      </c>
      <c r="H418" s="148">
        <v>1</v>
      </c>
      <c r="I418" s="149">
        <v>14441</v>
      </c>
      <c r="J418" s="150">
        <v>0.1</v>
      </c>
      <c r="K418" s="149">
        <v>12996.9</v>
      </c>
      <c r="L418" s="149">
        <v>2073.34</v>
      </c>
      <c r="M418" s="5" t="s">
        <v>1313</v>
      </c>
      <c r="N418" s="5" t="s">
        <v>1321</v>
      </c>
      <c r="O418" s="5" t="s">
        <v>1322</v>
      </c>
      <c r="P418" s="5" t="s">
        <v>1327</v>
      </c>
      <c r="Q418" s="5" t="s">
        <v>1184</v>
      </c>
      <c r="R418" s="151">
        <v>3</v>
      </c>
      <c r="S418" s="143"/>
    </row>
    <row r="419" spans="1:19" x14ac:dyDescent="0.25">
      <c r="A419" s="5" t="s">
        <v>2582</v>
      </c>
      <c r="B419" s="147">
        <v>45942</v>
      </c>
      <c r="C419" s="5" t="s">
        <v>2583</v>
      </c>
      <c r="D419" s="5" t="s">
        <v>2584</v>
      </c>
      <c r="E419" s="5" t="s">
        <v>1195</v>
      </c>
      <c r="F419" s="5" t="s">
        <v>988</v>
      </c>
      <c r="G419" s="5" t="s">
        <v>1336</v>
      </c>
      <c r="H419" s="148">
        <v>2</v>
      </c>
      <c r="I419" s="149">
        <v>1728</v>
      </c>
      <c r="J419" s="150">
        <v>0.1</v>
      </c>
      <c r="K419" s="149">
        <v>3110.4</v>
      </c>
      <c r="L419" s="149">
        <v>392.38</v>
      </c>
      <c r="M419" s="5" t="s">
        <v>1126</v>
      </c>
      <c r="N419" s="5" t="s">
        <v>1352</v>
      </c>
      <c r="O419" s="5" t="s">
        <v>1352</v>
      </c>
      <c r="P419" s="5" t="s">
        <v>1314</v>
      </c>
      <c r="Q419" s="5" t="s">
        <v>1204</v>
      </c>
      <c r="R419" s="151">
        <v>2</v>
      </c>
      <c r="S419" s="143"/>
    </row>
    <row r="420" spans="1:19" x14ac:dyDescent="0.25">
      <c r="A420" s="5" t="s">
        <v>2585</v>
      </c>
      <c r="B420" s="147">
        <v>45705</v>
      </c>
      <c r="C420" s="5" t="s">
        <v>2586</v>
      </c>
      <c r="D420" s="5" t="s">
        <v>2587</v>
      </c>
      <c r="E420" s="5" t="s">
        <v>1195</v>
      </c>
      <c r="F420" s="5" t="s">
        <v>988</v>
      </c>
      <c r="G420" s="5" t="s">
        <v>1336</v>
      </c>
      <c r="H420" s="148">
        <v>5</v>
      </c>
      <c r="I420" s="149">
        <v>1863</v>
      </c>
      <c r="J420" s="150">
        <v>0.15</v>
      </c>
      <c r="K420" s="149">
        <v>7917.75</v>
      </c>
      <c r="L420" s="149">
        <v>1718.45</v>
      </c>
      <c r="M420" s="5" t="s">
        <v>1126</v>
      </c>
      <c r="N420" s="5" t="s">
        <v>1352</v>
      </c>
      <c r="O420" s="5" t="s">
        <v>1352</v>
      </c>
      <c r="P420" s="5" t="s">
        <v>1299</v>
      </c>
      <c r="Q420" s="5" t="s">
        <v>1184</v>
      </c>
      <c r="R420" s="151">
        <v>5</v>
      </c>
      <c r="S420" s="143"/>
    </row>
    <row r="421" spans="1:19" x14ac:dyDescent="0.25">
      <c r="A421" s="5" t="s">
        <v>2588</v>
      </c>
      <c r="B421" s="147">
        <v>45970</v>
      </c>
      <c r="C421" s="5" t="s">
        <v>2589</v>
      </c>
      <c r="D421" s="5" t="s">
        <v>2590</v>
      </c>
      <c r="E421" s="5" t="s">
        <v>1370</v>
      </c>
      <c r="F421" s="5" t="s">
        <v>1160</v>
      </c>
      <c r="G421" s="5" t="s">
        <v>1371</v>
      </c>
      <c r="H421" s="148">
        <v>1</v>
      </c>
      <c r="I421" s="149">
        <v>12801</v>
      </c>
      <c r="J421" s="150">
        <v>0.2</v>
      </c>
      <c r="K421" s="149">
        <v>10240.799999999999</v>
      </c>
      <c r="L421" s="149">
        <v>1867.12</v>
      </c>
      <c r="M421" s="5" t="s">
        <v>1381</v>
      </c>
      <c r="N421" s="5" t="s">
        <v>1304</v>
      </c>
      <c r="O421" s="5" t="s">
        <v>1305</v>
      </c>
      <c r="P421" s="5" t="s">
        <v>1314</v>
      </c>
      <c r="Q421" s="5" t="s">
        <v>1184</v>
      </c>
      <c r="R421" s="151">
        <v>3</v>
      </c>
      <c r="S421" s="143"/>
    </row>
    <row r="422" spans="1:19" x14ac:dyDescent="0.25">
      <c r="A422" s="5" t="s">
        <v>2591</v>
      </c>
      <c r="B422" s="147">
        <v>45730</v>
      </c>
      <c r="C422" s="5" t="s">
        <v>2592</v>
      </c>
      <c r="D422" s="5" t="s">
        <v>2593</v>
      </c>
      <c r="E422" s="5" t="s">
        <v>1195</v>
      </c>
      <c r="F422" s="5" t="s">
        <v>988</v>
      </c>
      <c r="G422" s="5" t="s">
        <v>1336</v>
      </c>
      <c r="H422" s="148">
        <v>3</v>
      </c>
      <c r="I422" s="149">
        <v>12847</v>
      </c>
      <c r="J422" s="150">
        <v>0.1</v>
      </c>
      <c r="K422" s="149">
        <v>34686.9</v>
      </c>
      <c r="L422" s="149">
        <v>8592.34</v>
      </c>
      <c r="M422" s="5" t="s">
        <v>1130</v>
      </c>
      <c r="N422" s="5" t="s">
        <v>1297</v>
      </c>
      <c r="O422" s="5" t="s">
        <v>1298</v>
      </c>
      <c r="P422" s="5" t="s">
        <v>1348</v>
      </c>
      <c r="Q422" s="5" t="s">
        <v>1204</v>
      </c>
      <c r="R422" s="151">
        <v>3</v>
      </c>
      <c r="S422" s="143"/>
    </row>
    <row r="423" spans="1:19" x14ac:dyDescent="0.25">
      <c r="A423" s="5" t="s">
        <v>2594</v>
      </c>
      <c r="B423" s="147">
        <v>45795</v>
      </c>
      <c r="C423" s="5" t="s">
        <v>2595</v>
      </c>
      <c r="D423" s="5" t="s">
        <v>2596</v>
      </c>
      <c r="E423" s="5" t="s">
        <v>1342</v>
      </c>
      <c r="F423" s="5" t="s">
        <v>988</v>
      </c>
      <c r="G423" s="5" t="s">
        <v>1343</v>
      </c>
      <c r="H423" s="148">
        <v>2</v>
      </c>
      <c r="I423" s="149">
        <v>11233</v>
      </c>
      <c r="J423" s="150">
        <v>0.05</v>
      </c>
      <c r="K423" s="149">
        <v>21342.7</v>
      </c>
      <c r="L423" s="149">
        <v>6182.12</v>
      </c>
      <c r="M423" s="5" t="s">
        <v>1313</v>
      </c>
      <c r="N423" s="5" t="s">
        <v>1337</v>
      </c>
      <c r="O423" s="5" t="s">
        <v>1338</v>
      </c>
      <c r="P423" s="5" t="s">
        <v>1314</v>
      </c>
      <c r="Q423" s="5" t="s">
        <v>1204</v>
      </c>
      <c r="R423" s="151">
        <v>4</v>
      </c>
      <c r="S423" s="143"/>
    </row>
    <row r="424" spans="1:19" x14ac:dyDescent="0.25">
      <c r="A424" s="5" t="s">
        <v>2597</v>
      </c>
      <c r="B424" s="147">
        <v>45979</v>
      </c>
      <c r="C424" s="5" t="s">
        <v>2598</v>
      </c>
      <c r="D424" s="5" t="s">
        <v>2599</v>
      </c>
      <c r="E424" s="5" t="s">
        <v>1195</v>
      </c>
      <c r="F424" s="5" t="s">
        <v>988</v>
      </c>
      <c r="G424" s="5" t="s">
        <v>1336</v>
      </c>
      <c r="H424" s="148">
        <v>1</v>
      </c>
      <c r="I424" s="149">
        <v>4058</v>
      </c>
      <c r="J424" s="150">
        <v>0</v>
      </c>
      <c r="K424" s="149">
        <v>4058</v>
      </c>
      <c r="L424" s="149">
        <v>1041.8599999999999</v>
      </c>
      <c r="M424" s="5" t="s">
        <v>1381</v>
      </c>
      <c r="N424" s="5" t="s">
        <v>1352</v>
      </c>
      <c r="O424" s="5" t="s">
        <v>1352</v>
      </c>
      <c r="P424" s="5" t="s">
        <v>1348</v>
      </c>
      <c r="Q424" s="5" t="s">
        <v>1204</v>
      </c>
      <c r="R424" s="151">
        <v>3</v>
      </c>
      <c r="S424" s="143"/>
    </row>
    <row r="425" spans="1:19" x14ac:dyDescent="0.25">
      <c r="A425" s="5" t="s">
        <v>2600</v>
      </c>
      <c r="B425" s="147">
        <v>45761</v>
      </c>
      <c r="C425" s="5" t="s">
        <v>2601</v>
      </c>
      <c r="D425" s="5" t="s">
        <v>2602</v>
      </c>
      <c r="E425" s="5" t="s">
        <v>1370</v>
      </c>
      <c r="F425" s="5" t="s">
        <v>1160</v>
      </c>
      <c r="G425" s="5" t="s">
        <v>1371</v>
      </c>
      <c r="H425" s="148">
        <v>4</v>
      </c>
      <c r="I425" s="149">
        <v>4573</v>
      </c>
      <c r="J425" s="150">
        <v>0.05</v>
      </c>
      <c r="K425" s="149">
        <v>17377.400000000001</v>
      </c>
      <c r="L425" s="149">
        <v>1948.13</v>
      </c>
      <c r="M425" s="5" t="s">
        <v>1130</v>
      </c>
      <c r="N425" s="5" t="s">
        <v>1297</v>
      </c>
      <c r="O425" s="5" t="s">
        <v>1298</v>
      </c>
      <c r="P425" s="5" t="s">
        <v>1299</v>
      </c>
      <c r="Q425" s="5" t="s">
        <v>1204</v>
      </c>
      <c r="R425" s="151">
        <v>1</v>
      </c>
      <c r="S425" s="143"/>
    </row>
    <row r="426" spans="1:19" x14ac:dyDescent="0.25">
      <c r="A426" s="5" t="s">
        <v>2603</v>
      </c>
      <c r="B426" s="147">
        <v>45772</v>
      </c>
      <c r="C426" s="5" t="s">
        <v>2604</v>
      </c>
      <c r="D426" s="5" t="s">
        <v>2605</v>
      </c>
      <c r="E426" s="5" t="s">
        <v>1318</v>
      </c>
      <c r="F426" s="5" t="s">
        <v>1319</v>
      </c>
      <c r="G426" s="5" t="s">
        <v>1320</v>
      </c>
      <c r="H426" s="148">
        <v>4</v>
      </c>
      <c r="I426" s="149">
        <v>9723</v>
      </c>
      <c r="J426" s="150">
        <v>0.15</v>
      </c>
      <c r="K426" s="149">
        <v>33058.199999999997</v>
      </c>
      <c r="L426" s="149">
        <v>4857.5</v>
      </c>
      <c r="M426" s="5" t="s">
        <v>1126</v>
      </c>
      <c r="N426" s="5" t="s">
        <v>1337</v>
      </c>
      <c r="O426" s="5" t="s">
        <v>1338</v>
      </c>
      <c r="P426" s="5" t="s">
        <v>1299</v>
      </c>
      <c r="Q426" s="5" t="s">
        <v>1306</v>
      </c>
      <c r="R426" s="151">
        <v>2</v>
      </c>
      <c r="S426" s="143"/>
    </row>
    <row r="427" spans="1:19" x14ac:dyDescent="0.25">
      <c r="A427" s="5" t="s">
        <v>2606</v>
      </c>
      <c r="B427" s="147">
        <v>46004</v>
      </c>
      <c r="C427" s="5" t="s">
        <v>2607</v>
      </c>
      <c r="D427" s="5" t="s">
        <v>2608</v>
      </c>
      <c r="E427" s="5" t="s">
        <v>1342</v>
      </c>
      <c r="F427" s="5" t="s">
        <v>988</v>
      </c>
      <c r="G427" s="5" t="s">
        <v>1343</v>
      </c>
      <c r="H427" s="148">
        <v>1</v>
      </c>
      <c r="I427" s="149">
        <v>7819</v>
      </c>
      <c r="J427" s="150">
        <v>0.05</v>
      </c>
      <c r="K427" s="149">
        <v>7428.05</v>
      </c>
      <c r="L427" s="149">
        <v>1627.22</v>
      </c>
      <c r="M427" s="5" t="s">
        <v>1344</v>
      </c>
      <c r="N427" s="5" t="s">
        <v>1362</v>
      </c>
      <c r="O427" s="5" t="s">
        <v>1363</v>
      </c>
      <c r="P427" s="5" t="s">
        <v>1327</v>
      </c>
      <c r="Q427" s="5" t="s">
        <v>1300</v>
      </c>
      <c r="R427" s="151">
        <v>5</v>
      </c>
      <c r="S427" s="143"/>
    </row>
    <row r="428" spans="1:19" x14ac:dyDescent="0.25">
      <c r="A428" s="5" t="s">
        <v>2609</v>
      </c>
      <c r="B428" s="147">
        <v>45739</v>
      </c>
      <c r="C428" s="5" t="s">
        <v>2610</v>
      </c>
      <c r="D428" s="5" t="s">
        <v>2611</v>
      </c>
      <c r="E428" s="5" t="s">
        <v>1318</v>
      </c>
      <c r="F428" s="5" t="s">
        <v>1319</v>
      </c>
      <c r="G428" s="5" t="s">
        <v>1320</v>
      </c>
      <c r="H428" s="148">
        <v>2</v>
      </c>
      <c r="I428" s="149">
        <v>7245</v>
      </c>
      <c r="J428" s="150">
        <v>0.1</v>
      </c>
      <c r="K428" s="149">
        <v>13041</v>
      </c>
      <c r="L428" s="149">
        <v>2950.18</v>
      </c>
      <c r="M428" s="5" t="s">
        <v>1313</v>
      </c>
      <c r="N428" s="5" t="s">
        <v>1321</v>
      </c>
      <c r="O428" s="5" t="s">
        <v>1322</v>
      </c>
      <c r="P428" s="5" t="s">
        <v>1348</v>
      </c>
      <c r="Q428" s="5" t="s">
        <v>1300</v>
      </c>
      <c r="R428" s="151">
        <v>5</v>
      </c>
      <c r="S428" s="143"/>
    </row>
    <row r="429" spans="1:19" x14ac:dyDescent="0.25">
      <c r="A429" s="5" t="s">
        <v>2612</v>
      </c>
      <c r="B429" s="147">
        <v>45801</v>
      </c>
      <c r="C429" s="5" t="s">
        <v>2613</v>
      </c>
      <c r="D429" s="5" t="s">
        <v>2614</v>
      </c>
      <c r="E429" s="5" t="s">
        <v>1318</v>
      </c>
      <c r="F429" s="5" t="s">
        <v>1319</v>
      </c>
      <c r="G429" s="5" t="s">
        <v>1320</v>
      </c>
      <c r="H429" s="148">
        <v>2</v>
      </c>
      <c r="I429" s="149">
        <v>13679</v>
      </c>
      <c r="J429" s="150">
        <v>0.05</v>
      </c>
      <c r="K429" s="149">
        <v>25990.1</v>
      </c>
      <c r="L429" s="149">
        <v>3660.76</v>
      </c>
      <c r="M429" s="5" t="s">
        <v>1344</v>
      </c>
      <c r="N429" s="5" t="s">
        <v>1321</v>
      </c>
      <c r="O429" s="5" t="s">
        <v>1322</v>
      </c>
      <c r="P429" s="5" t="s">
        <v>1299</v>
      </c>
      <c r="Q429" s="5" t="s">
        <v>1204</v>
      </c>
      <c r="R429" s="151">
        <v>5</v>
      </c>
      <c r="S429" s="143"/>
    </row>
    <row r="430" spans="1:19" x14ac:dyDescent="0.25">
      <c r="A430" s="5" t="s">
        <v>2615</v>
      </c>
      <c r="B430" s="147">
        <v>45873</v>
      </c>
      <c r="C430" s="5" t="s">
        <v>2616</v>
      </c>
      <c r="D430" s="5" t="s">
        <v>2617</v>
      </c>
      <c r="E430" s="5" t="s">
        <v>1370</v>
      </c>
      <c r="F430" s="5" t="s">
        <v>1160</v>
      </c>
      <c r="G430" s="5" t="s">
        <v>1371</v>
      </c>
      <c r="H430" s="148">
        <v>1</v>
      </c>
      <c r="I430" s="149">
        <v>4641</v>
      </c>
      <c r="J430" s="150">
        <v>0.2</v>
      </c>
      <c r="K430" s="149">
        <v>3712.8</v>
      </c>
      <c r="L430" s="149">
        <v>329.52</v>
      </c>
      <c r="M430" s="5" t="s">
        <v>1344</v>
      </c>
      <c r="N430" s="5" t="s">
        <v>1352</v>
      </c>
      <c r="O430" s="5" t="s">
        <v>1352</v>
      </c>
      <c r="P430" s="5" t="s">
        <v>1323</v>
      </c>
      <c r="Q430" s="5" t="s">
        <v>1204</v>
      </c>
      <c r="R430" s="151">
        <v>1</v>
      </c>
      <c r="S430" s="143"/>
    </row>
    <row r="431" spans="1:19" x14ac:dyDescent="0.25">
      <c r="A431" s="5" t="s">
        <v>2618</v>
      </c>
      <c r="B431" s="147">
        <v>45710</v>
      </c>
      <c r="C431" s="5" t="s">
        <v>2619</v>
      </c>
      <c r="D431" s="5" t="s">
        <v>2620</v>
      </c>
      <c r="E431" s="5" t="s">
        <v>1359</v>
      </c>
      <c r="F431" s="5" t="s">
        <v>1360</v>
      </c>
      <c r="G431" s="5" t="s">
        <v>1361</v>
      </c>
      <c r="H431" s="148">
        <v>5</v>
      </c>
      <c r="I431" s="149">
        <v>2176</v>
      </c>
      <c r="J431" s="150">
        <v>0.2</v>
      </c>
      <c r="K431" s="149">
        <v>8704</v>
      </c>
      <c r="L431" s="149">
        <v>1831.52</v>
      </c>
      <c r="M431" s="5" t="s">
        <v>1313</v>
      </c>
      <c r="N431" s="5" t="s">
        <v>1337</v>
      </c>
      <c r="O431" s="5" t="s">
        <v>1338</v>
      </c>
      <c r="P431" s="5" t="s">
        <v>1327</v>
      </c>
      <c r="Q431" s="5" t="s">
        <v>1300</v>
      </c>
      <c r="R431" s="151">
        <v>4</v>
      </c>
      <c r="S431" s="143"/>
    </row>
    <row r="432" spans="1:19" x14ac:dyDescent="0.25">
      <c r="A432" s="5" t="s">
        <v>2621</v>
      </c>
      <c r="B432" s="147">
        <v>45921</v>
      </c>
      <c r="C432" s="5" t="s">
        <v>2622</v>
      </c>
      <c r="D432" s="5" t="s">
        <v>2623</v>
      </c>
      <c r="E432" s="5" t="s">
        <v>1370</v>
      </c>
      <c r="F432" s="5" t="s">
        <v>1160</v>
      </c>
      <c r="G432" s="5" t="s">
        <v>1371</v>
      </c>
      <c r="H432" s="148">
        <v>2</v>
      </c>
      <c r="I432" s="149">
        <v>1700</v>
      </c>
      <c r="J432" s="150">
        <v>0.15</v>
      </c>
      <c r="K432" s="149">
        <v>2890</v>
      </c>
      <c r="L432" s="149">
        <v>579.27</v>
      </c>
      <c r="M432" s="5" t="s">
        <v>1313</v>
      </c>
      <c r="N432" s="5" t="s">
        <v>1304</v>
      </c>
      <c r="O432" s="5" t="s">
        <v>1305</v>
      </c>
      <c r="P432" s="5" t="s">
        <v>1299</v>
      </c>
      <c r="Q432" s="5" t="s">
        <v>1184</v>
      </c>
      <c r="R432" s="151">
        <v>2</v>
      </c>
      <c r="S432" s="143"/>
    </row>
    <row r="433" spans="1:19" x14ac:dyDescent="0.25">
      <c r="A433" s="5" t="s">
        <v>2624</v>
      </c>
      <c r="B433" s="147">
        <v>45957</v>
      </c>
      <c r="C433" s="5" t="s">
        <v>2625</v>
      </c>
      <c r="D433" s="5" t="s">
        <v>2626</v>
      </c>
      <c r="E433" s="5" t="s">
        <v>1370</v>
      </c>
      <c r="F433" s="5" t="s">
        <v>1160</v>
      </c>
      <c r="G433" s="5" t="s">
        <v>1371</v>
      </c>
      <c r="H433" s="148">
        <v>3</v>
      </c>
      <c r="I433" s="149">
        <v>2953</v>
      </c>
      <c r="J433" s="150">
        <v>0.1</v>
      </c>
      <c r="K433" s="149">
        <v>7973.1</v>
      </c>
      <c r="L433" s="149">
        <v>739.61</v>
      </c>
      <c r="M433" s="5" t="s">
        <v>1126</v>
      </c>
      <c r="N433" s="5" t="s">
        <v>1304</v>
      </c>
      <c r="O433" s="5" t="s">
        <v>1305</v>
      </c>
      <c r="P433" s="5" t="s">
        <v>1327</v>
      </c>
      <c r="Q433" s="5" t="s">
        <v>1184</v>
      </c>
      <c r="R433" s="151">
        <v>1</v>
      </c>
      <c r="S433" s="143"/>
    </row>
    <row r="434" spans="1:19" x14ac:dyDescent="0.25">
      <c r="A434" s="5" t="s">
        <v>2627</v>
      </c>
      <c r="B434" s="147">
        <v>45887</v>
      </c>
      <c r="C434" s="5" t="s">
        <v>2628</v>
      </c>
      <c r="D434" s="5" t="s">
        <v>2629</v>
      </c>
      <c r="E434" s="5" t="s">
        <v>1370</v>
      </c>
      <c r="F434" s="5" t="s">
        <v>1160</v>
      </c>
      <c r="G434" s="5" t="s">
        <v>1371</v>
      </c>
      <c r="H434" s="148">
        <v>4</v>
      </c>
      <c r="I434" s="149">
        <v>2782</v>
      </c>
      <c r="J434" s="150">
        <v>0.1</v>
      </c>
      <c r="K434" s="149">
        <v>10015.200000000001</v>
      </c>
      <c r="L434" s="149">
        <v>1752.42</v>
      </c>
      <c r="M434" s="5" t="s">
        <v>1126</v>
      </c>
      <c r="N434" s="5" t="s">
        <v>1337</v>
      </c>
      <c r="O434" s="5" t="s">
        <v>1338</v>
      </c>
      <c r="P434" s="5" t="s">
        <v>1348</v>
      </c>
      <c r="Q434" s="5" t="s">
        <v>1184</v>
      </c>
      <c r="R434" s="151">
        <v>2</v>
      </c>
      <c r="S434" s="143"/>
    </row>
    <row r="435" spans="1:19" x14ac:dyDescent="0.25">
      <c r="A435" s="5" t="s">
        <v>2630</v>
      </c>
      <c r="B435" s="147">
        <v>45659</v>
      </c>
      <c r="C435" s="5" t="s">
        <v>2631</v>
      </c>
      <c r="D435" s="5" t="s">
        <v>2632</v>
      </c>
      <c r="E435" s="5" t="s">
        <v>1318</v>
      </c>
      <c r="F435" s="5" t="s">
        <v>1319</v>
      </c>
      <c r="G435" s="5" t="s">
        <v>1320</v>
      </c>
      <c r="H435" s="148">
        <v>4</v>
      </c>
      <c r="I435" s="149">
        <v>3915</v>
      </c>
      <c r="J435" s="150">
        <v>0.2</v>
      </c>
      <c r="K435" s="149">
        <v>12528</v>
      </c>
      <c r="L435" s="149">
        <v>3436.09</v>
      </c>
      <c r="M435" s="5" t="s">
        <v>1313</v>
      </c>
      <c r="N435" s="5" t="s">
        <v>1297</v>
      </c>
      <c r="O435" s="5" t="s">
        <v>1298</v>
      </c>
      <c r="P435" s="5" t="s">
        <v>1314</v>
      </c>
      <c r="Q435" s="5" t="s">
        <v>1306</v>
      </c>
      <c r="R435" s="151">
        <v>2</v>
      </c>
      <c r="S435" s="143"/>
    </row>
    <row r="436" spans="1:19" x14ac:dyDescent="0.25">
      <c r="A436" s="5" t="s">
        <v>2633</v>
      </c>
      <c r="B436" s="147">
        <v>45887</v>
      </c>
      <c r="C436" s="5" t="s">
        <v>2634</v>
      </c>
      <c r="D436" s="5" t="s">
        <v>2635</v>
      </c>
      <c r="E436" s="5" t="s">
        <v>1331</v>
      </c>
      <c r="F436" s="5" t="s">
        <v>988</v>
      </c>
      <c r="G436" s="5" t="s">
        <v>1332</v>
      </c>
      <c r="H436" s="148">
        <v>1</v>
      </c>
      <c r="I436" s="149">
        <v>10034</v>
      </c>
      <c r="J436" s="150">
        <v>0</v>
      </c>
      <c r="K436" s="149">
        <v>10034</v>
      </c>
      <c r="L436" s="149">
        <v>2910.5</v>
      </c>
      <c r="M436" s="5" t="s">
        <v>1130</v>
      </c>
      <c r="N436" s="5" t="s">
        <v>1321</v>
      </c>
      <c r="O436" s="5" t="s">
        <v>1322</v>
      </c>
      <c r="P436" s="5" t="s">
        <v>1327</v>
      </c>
      <c r="Q436" s="5" t="s">
        <v>1306</v>
      </c>
      <c r="R436" s="151">
        <v>2</v>
      </c>
      <c r="S436" s="143"/>
    </row>
    <row r="437" spans="1:19" x14ac:dyDescent="0.25">
      <c r="A437" s="5" t="s">
        <v>2636</v>
      </c>
      <c r="B437" s="147">
        <v>45689</v>
      </c>
      <c r="C437" s="5" t="s">
        <v>2637</v>
      </c>
      <c r="D437" s="5" t="s">
        <v>2638</v>
      </c>
      <c r="E437" s="5" t="s">
        <v>1195</v>
      </c>
      <c r="F437" s="5" t="s">
        <v>988</v>
      </c>
      <c r="G437" s="5" t="s">
        <v>1336</v>
      </c>
      <c r="H437" s="148">
        <v>4</v>
      </c>
      <c r="I437" s="149">
        <v>313</v>
      </c>
      <c r="J437" s="150">
        <v>0.15</v>
      </c>
      <c r="K437" s="149">
        <v>1064.2</v>
      </c>
      <c r="L437" s="149">
        <v>148.26</v>
      </c>
      <c r="M437" s="5" t="s">
        <v>1381</v>
      </c>
      <c r="N437" s="5" t="s">
        <v>1362</v>
      </c>
      <c r="O437" s="5" t="s">
        <v>1363</v>
      </c>
      <c r="P437" s="5" t="s">
        <v>1348</v>
      </c>
      <c r="Q437" s="5" t="s">
        <v>1204</v>
      </c>
      <c r="R437" s="151">
        <v>3</v>
      </c>
      <c r="S437" s="143"/>
    </row>
    <row r="438" spans="1:19" x14ac:dyDescent="0.25">
      <c r="A438" s="5" t="s">
        <v>2639</v>
      </c>
      <c r="B438" s="147">
        <v>45684</v>
      </c>
      <c r="C438" s="5" t="s">
        <v>2640</v>
      </c>
      <c r="D438" s="5" t="s">
        <v>2641</v>
      </c>
      <c r="E438" s="5" t="s">
        <v>1342</v>
      </c>
      <c r="F438" s="5" t="s">
        <v>988</v>
      </c>
      <c r="G438" s="5" t="s">
        <v>1343</v>
      </c>
      <c r="H438" s="148">
        <v>1</v>
      </c>
      <c r="I438" s="149">
        <v>3565</v>
      </c>
      <c r="J438" s="150">
        <v>0</v>
      </c>
      <c r="K438" s="149">
        <v>3565</v>
      </c>
      <c r="L438" s="149">
        <v>935.94</v>
      </c>
      <c r="M438" s="5" t="s">
        <v>1126</v>
      </c>
      <c r="N438" s="5" t="s">
        <v>1321</v>
      </c>
      <c r="O438" s="5" t="s">
        <v>1322</v>
      </c>
      <c r="P438" s="5" t="s">
        <v>1314</v>
      </c>
      <c r="Q438" s="5" t="s">
        <v>1306</v>
      </c>
      <c r="R438" s="151">
        <v>2</v>
      </c>
      <c r="S438" s="143"/>
    </row>
    <row r="439" spans="1:19" x14ac:dyDescent="0.25">
      <c r="A439" s="5" t="s">
        <v>2642</v>
      </c>
      <c r="B439" s="147">
        <v>45970</v>
      </c>
      <c r="C439" s="5" t="s">
        <v>2643</v>
      </c>
      <c r="D439" s="5" t="s">
        <v>2644</v>
      </c>
      <c r="E439" s="5" t="s">
        <v>1342</v>
      </c>
      <c r="F439" s="5" t="s">
        <v>988</v>
      </c>
      <c r="G439" s="5" t="s">
        <v>1343</v>
      </c>
      <c r="H439" s="148">
        <v>3</v>
      </c>
      <c r="I439" s="149">
        <v>9244</v>
      </c>
      <c r="J439" s="150">
        <v>0.15</v>
      </c>
      <c r="K439" s="149">
        <v>23572.2</v>
      </c>
      <c r="L439" s="149">
        <v>6131.27</v>
      </c>
      <c r="M439" s="5" t="s">
        <v>1313</v>
      </c>
      <c r="N439" s="5" t="s">
        <v>1362</v>
      </c>
      <c r="O439" s="5" t="s">
        <v>1363</v>
      </c>
      <c r="P439" s="5" t="s">
        <v>1314</v>
      </c>
      <c r="Q439" s="5" t="s">
        <v>1306</v>
      </c>
      <c r="R439" s="151">
        <v>4</v>
      </c>
      <c r="S439" s="143"/>
    </row>
    <row r="440" spans="1:19" x14ac:dyDescent="0.25">
      <c r="A440" s="5" t="s">
        <v>2645</v>
      </c>
      <c r="B440" s="147">
        <v>45742</v>
      </c>
      <c r="C440" s="5" t="s">
        <v>2646</v>
      </c>
      <c r="D440" s="5" t="s">
        <v>2647</v>
      </c>
      <c r="E440" s="5" t="s">
        <v>1310</v>
      </c>
      <c r="F440" s="5" t="s">
        <v>1311</v>
      </c>
      <c r="G440" s="5" t="s">
        <v>1312</v>
      </c>
      <c r="H440" s="148">
        <v>3</v>
      </c>
      <c r="I440" s="149">
        <v>4794</v>
      </c>
      <c r="J440" s="150">
        <v>0.15</v>
      </c>
      <c r="K440" s="149">
        <v>12224.7</v>
      </c>
      <c r="L440" s="149">
        <v>3080.19</v>
      </c>
      <c r="M440" s="5" t="s">
        <v>1313</v>
      </c>
      <c r="N440" s="5" t="s">
        <v>1297</v>
      </c>
      <c r="O440" s="5" t="s">
        <v>1298</v>
      </c>
      <c r="P440" s="5" t="s">
        <v>1327</v>
      </c>
      <c r="Q440" s="5" t="s">
        <v>1300</v>
      </c>
      <c r="R440" s="151">
        <v>1</v>
      </c>
      <c r="S440" s="143"/>
    </row>
    <row r="441" spans="1:19" x14ac:dyDescent="0.25">
      <c r="A441" s="5" t="s">
        <v>2648</v>
      </c>
      <c r="B441" s="147">
        <v>45964</v>
      </c>
      <c r="C441" s="5" t="s">
        <v>2649</v>
      </c>
      <c r="D441" s="5" t="s">
        <v>2650</v>
      </c>
      <c r="E441" s="5" t="s">
        <v>1331</v>
      </c>
      <c r="F441" s="5" t="s">
        <v>988</v>
      </c>
      <c r="G441" s="5" t="s">
        <v>1332</v>
      </c>
      <c r="H441" s="148">
        <v>2</v>
      </c>
      <c r="I441" s="149">
        <v>7407</v>
      </c>
      <c r="J441" s="150">
        <v>0.15</v>
      </c>
      <c r="K441" s="149">
        <v>12591.9</v>
      </c>
      <c r="L441" s="149">
        <v>2521.9899999999998</v>
      </c>
      <c r="M441" s="5" t="s">
        <v>1130</v>
      </c>
      <c r="N441" s="5" t="s">
        <v>1352</v>
      </c>
      <c r="O441" s="5" t="s">
        <v>1352</v>
      </c>
      <c r="P441" s="5" t="s">
        <v>1323</v>
      </c>
      <c r="Q441" s="5" t="s">
        <v>1300</v>
      </c>
      <c r="R441" s="151">
        <v>2</v>
      </c>
      <c r="S441" s="143"/>
    </row>
    <row r="442" spans="1:19" x14ac:dyDescent="0.25">
      <c r="A442" s="5" t="s">
        <v>2651</v>
      </c>
      <c r="B442" s="147">
        <v>45842</v>
      </c>
      <c r="C442" s="5" t="s">
        <v>2652</v>
      </c>
      <c r="D442" s="5" t="s">
        <v>2653</v>
      </c>
      <c r="E442" s="5" t="s">
        <v>1195</v>
      </c>
      <c r="F442" s="5" t="s">
        <v>988</v>
      </c>
      <c r="G442" s="5" t="s">
        <v>1336</v>
      </c>
      <c r="H442" s="148">
        <v>4</v>
      </c>
      <c r="I442" s="149">
        <v>7306</v>
      </c>
      <c r="J442" s="150">
        <v>0.1</v>
      </c>
      <c r="K442" s="149">
        <v>26301.599999999999</v>
      </c>
      <c r="L442" s="149">
        <v>7860.25</v>
      </c>
      <c r="M442" s="5" t="s">
        <v>1130</v>
      </c>
      <c r="N442" s="5" t="s">
        <v>1352</v>
      </c>
      <c r="O442" s="5" t="s">
        <v>1352</v>
      </c>
      <c r="P442" s="5" t="s">
        <v>1327</v>
      </c>
      <c r="Q442" s="5" t="s">
        <v>1204</v>
      </c>
      <c r="R442" s="151">
        <v>2</v>
      </c>
      <c r="S442" s="143"/>
    </row>
    <row r="443" spans="1:19" x14ac:dyDescent="0.25">
      <c r="A443" s="5" t="s">
        <v>2654</v>
      </c>
      <c r="B443" s="147">
        <v>45847</v>
      </c>
      <c r="C443" s="5" t="s">
        <v>2655</v>
      </c>
      <c r="D443" s="5" t="s">
        <v>2656</v>
      </c>
      <c r="E443" s="5" t="s">
        <v>1342</v>
      </c>
      <c r="F443" s="5" t="s">
        <v>988</v>
      </c>
      <c r="G443" s="5" t="s">
        <v>1343</v>
      </c>
      <c r="H443" s="148">
        <v>3</v>
      </c>
      <c r="I443" s="149">
        <v>14306</v>
      </c>
      <c r="J443" s="150">
        <v>0.15</v>
      </c>
      <c r="K443" s="149">
        <v>36480.300000000003</v>
      </c>
      <c r="L443" s="149">
        <v>8721.91</v>
      </c>
      <c r="M443" s="5" t="s">
        <v>1313</v>
      </c>
      <c r="N443" s="5" t="s">
        <v>1304</v>
      </c>
      <c r="O443" s="5" t="s">
        <v>1305</v>
      </c>
      <c r="P443" s="5" t="s">
        <v>1323</v>
      </c>
      <c r="Q443" s="5" t="s">
        <v>1300</v>
      </c>
      <c r="R443" s="151">
        <v>4</v>
      </c>
      <c r="S443" s="143"/>
    </row>
    <row r="444" spans="1:19" x14ac:dyDescent="0.25">
      <c r="A444" s="5" t="s">
        <v>2657</v>
      </c>
      <c r="B444" s="147">
        <v>45839</v>
      </c>
      <c r="C444" s="5" t="s">
        <v>2658</v>
      </c>
      <c r="D444" s="5" t="s">
        <v>2659</v>
      </c>
      <c r="E444" s="5" t="s">
        <v>1359</v>
      </c>
      <c r="F444" s="5" t="s">
        <v>1360</v>
      </c>
      <c r="G444" s="5" t="s">
        <v>1361</v>
      </c>
      <c r="H444" s="148">
        <v>1</v>
      </c>
      <c r="I444" s="149">
        <v>384</v>
      </c>
      <c r="J444" s="150">
        <v>0</v>
      </c>
      <c r="K444" s="149">
        <v>384</v>
      </c>
      <c r="L444" s="149">
        <v>97.66</v>
      </c>
      <c r="M444" s="5" t="s">
        <v>1130</v>
      </c>
      <c r="N444" s="5" t="s">
        <v>1321</v>
      </c>
      <c r="O444" s="5" t="s">
        <v>1322</v>
      </c>
      <c r="P444" s="5" t="s">
        <v>1348</v>
      </c>
      <c r="Q444" s="5" t="s">
        <v>1184</v>
      </c>
      <c r="R444" s="151">
        <v>1</v>
      </c>
      <c r="S444" s="143"/>
    </row>
    <row r="445" spans="1:19" x14ac:dyDescent="0.25">
      <c r="A445" s="5" t="s">
        <v>2660</v>
      </c>
      <c r="B445" s="147">
        <v>45930</v>
      </c>
      <c r="C445" s="5" t="s">
        <v>2661</v>
      </c>
      <c r="D445" s="5" t="s">
        <v>2662</v>
      </c>
      <c r="E445" s="5" t="s">
        <v>1318</v>
      </c>
      <c r="F445" s="5" t="s">
        <v>1319</v>
      </c>
      <c r="G445" s="5" t="s">
        <v>1320</v>
      </c>
      <c r="H445" s="148">
        <v>4</v>
      </c>
      <c r="I445" s="149">
        <v>1379</v>
      </c>
      <c r="J445" s="150">
        <v>0.2</v>
      </c>
      <c r="K445" s="149">
        <v>4412.8</v>
      </c>
      <c r="L445" s="149">
        <v>1004.39</v>
      </c>
      <c r="M445" s="5" t="s">
        <v>1381</v>
      </c>
      <c r="N445" s="5" t="s">
        <v>1304</v>
      </c>
      <c r="O445" s="5" t="s">
        <v>1305</v>
      </c>
      <c r="P445" s="5" t="s">
        <v>1299</v>
      </c>
      <c r="Q445" s="5" t="s">
        <v>1204</v>
      </c>
      <c r="R445" s="151">
        <v>2</v>
      </c>
      <c r="S445" s="143"/>
    </row>
    <row r="446" spans="1:19" x14ac:dyDescent="0.25">
      <c r="A446" s="5" t="s">
        <v>2663</v>
      </c>
      <c r="B446" s="147">
        <v>45771</v>
      </c>
      <c r="C446" s="5" t="s">
        <v>2664</v>
      </c>
      <c r="D446" s="5" t="s">
        <v>2665</v>
      </c>
      <c r="E446" s="5" t="s">
        <v>1318</v>
      </c>
      <c r="F446" s="5" t="s">
        <v>1319</v>
      </c>
      <c r="G446" s="5" t="s">
        <v>1320</v>
      </c>
      <c r="H446" s="148">
        <v>3</v>
      </c>
      <c r="I446" s="149">
        <v>11733</v>
      </c>
      <c r="J446" s="150">
        <v>0.1</v>
      </c>
      <c r="K446" s="149">
        <v>31679.1</v>
      </c>
      <c r="L446" s="149">
        <v>4337.72</v>
      </c>
      <c r="M446" s="5" t="s">
        <v>1313</v>
      </c>
      <c r="N446" s="5" t="s">
        <v>1321</v>
      </c>
      <c r="O446" s="5" t="s">
        <v>1322</v>
      </c>
      <c r="P446" s="5" t="s">
        <v>1327</v>
      </c>
      <c r="Q446" s="5" t="s">
        <v>1184</v>
      </c>
      <c r="R446" s="151">
        <v>2</v>
      </c>
      <c r="S446" s="143"/>
    </row>
    <row r="447" spans="1:19" x14ac:dyDescent="0.25">
      <c r="A447" s="5" t="s">
        <v>2666</v>
      </c>
      <c r="B447" s="147">
        <v>45697</v>
      </c>
      <c r="C447" s="5" t="s">
        <v>2667</v>
      </c>
      <c r="D447" s="5" t="s">
        <v>2668</v>
      </c>
      <c r="E447" s="5" t="s">
        <v>1331</v>
      </c>
      <c r="F447" s="5" t="s">
        <v>988</v>
      </c>
      <c r="G447" s="5" t="s">
        <v>1332</v>
      </c>
      <c r="H447" s="148">
        <v>3</v>
      </c>
      <c r="I447" s="149">
        <v>2439</v>
      </c>
      <c r="J447" s="150">
        <v>0</v>
      </c>
      <c r="K447" s="149">
        <v>7317</v>
      </c>
      <c r="L447" s="149">
        <v>1227.79</v>
      </c>
      <c r="M447" s="5" t="s">
        <v>1344</v>
      </c>
      <c r="N447" s="5" t="s">
        <v>1304</v>
      </c>
      <c r="O447" s="5" t="s">
        <v>1305</v>
      </c>
      <c r="P447" s="5" t="s">
        <v>1299</v>
      </c>
      <c r="Q447" s="5" t="s">
        <v>1300</v>
      </c>
      <c r="R447" s="151">
        <v>1</v>
      </c>
      <c r="S447" s="143"/>
    </row>
    <row r="448" spans="1:19" x14ac:dyDescent="0.25">
      <c r="A448" s="5" t="s">
        <v>2669</v>
      </c>
      <c r="B448" s="147">
        <v>45996</v>
      </c>
      <c r="C448" s="5" t="s">
        <v>2670</v>
      </c>
      <c r="D448" s="5" t="s">
        <v>2671</v>
      </c>
      <c r="E448" s="5" t="s">
        <v>1359</v>
      </c>
      <c r="F448" s="5" t="s">
        <v>1360</v>
      </c>
      <c r="G448" s="5" t="s">
        <v>1361</v>
      </c>
      <c r="H448" s="148">
        <v>2</v>
      </c>
      <c r="I448" s="149">
        <v>1859</v>
      </c>
      <c r="J448" s="150">
        <v>0.2</v>
      </c>
      <c r="K448" s="149">
        <v>2974.4</v>
      </c>
      <c r="L448" s="149">
        <v>240.78</v>
      </c>
      <c r="M448" s="5" t="s">
        <v>1126</v>
      </c>
      <c r="N448" s="5" t="s">
        <v>1321</v>
      </c>
      <c r="O448" s="5" t="s">
        <v>1322</v>
      </c>
      <c r="P448" s="5" t="s">
        <v>1348</v>
      </c>
      <c r="Q448" s="5" t="s">
        <v>1184</v>
      </c>
      <c r="R448" s="151">
        <v>1</v>
      </c>
      <c r="S448" s="143"/>
    </row>
    <row r="449" spans="1:19" x14ac:dyDescent="0.25">
      <c r="A449" s="5" t="s">
        <v>2672</v>
      </c>
      <c r="B449" s="147">
        <v>45971</v>
      </c>
      <c r="C449" s="5" t="s">
        <v>2673</v>
      </c>
      <c r="D449" s="5" t="s">
        <v>2674</v>
      </c>
      <c r="E449" s="5" t="s">
        <v>1318</v>
      </c>
      <c r="F449" s="5" t="s">
        <v>1319</v>
      </c>
      <c r="G449" s="5" t="s">
        <v>1320</v>
      </c>
      <c r="H449" s="148">
        <v>3</v>
      </c>
      <c r="I449" s="149">
        <v>8811</v>
      </c>
      <c r="J449" s="150">
        <v>0.2</v>
      </c>
      <c r="K449" s="149">
        <v>21146.400000000001</v>
      </c>
      <c r="L449" s="149">
        <v>2159.12</v>
      </c>
      <c r="M449" s="5" t="s">
        <v>1344</v>
      </c>
      <c r="N449" s="5" t="s">
        <v>1297</v>
      </c>
      <c r="O449" s="5" t="s">
        <v>1298</v>
      </c>
      <c r="P449" s="5" t="s">
        <v>1348</v>
      </c>
      <c r="Q449" s="5" t="s">
        <v>1204</v>
      </c>
      <c r="R449" s="151">
        <v>1</v>
      </c>
      <c r="S449" s="143"/>
    </row>
    <row r="450" spans="1:19" x14ac:dyDescent="0.25">
      <c r="A450" s="5" t="s">
        <v>2675</v>
      </c>
      <c r="B450" s="147">
        <v>45897</v>
      </c>
      <c r="C450" s="5" t="s">
        <v>2676</v>
      </c>
      <c r="D450" s="5" t="s">
        <v>2677</v>
      </c>
      <c r="E450" s="5" t="s">
        <v>1370</v>
      </c>
      <c r="F450" s="5" t="s">
        <v>1160</v>
      </c>
      <c r="G450" s="5" t="s">
        <v>1371</v>
      </c>
      <c r="H450" s="148">
        <v>1</v>
      </c>
      <c r="I450" s="149">
        <v>13330</v>
      </c>
      <c r="J450" s="150">
        <v>0.15</v>
      </c>
      <c r="K450" s="149">
        <v>11330.5</v>
      </c>
      <c r="L450" s="149">
        <v>2206.14</v>
      </c>
      <c r="M450" s="5" t="s">
        <v>1126</v>
      </c>
      <c r="N450" s="5" t="s">
        <v>1321</v>
      </c>
      <c r="O450" s="5" t="s">
        <v>1322</v>
      </c>
      <c r="P450" s="5" t="s">
        <v>1327</v>
      </c>
      <c r="Q450" s="5" t="s">
        <v>1184</v>
      </c>
      <c r="R450" s="151">
        <v>2</v>
      </c>
      <c r="S450" s="143"/>
    </row>
    <row r="451" spans="1:19" x14ac:dyDescent="0.25">
      <c r="A451" s="5" t="s">
        <v>2678</v>
      </c>
      <c r="B451" s="147">
        <v>45779</v>
      </c>
      <c r="C451" s="5" t="s">
        <v>2679</v>
      </c>
      <c r="D451" s="5" t="s">
        <v>2680</v>
      </c>
      <c r="E451" s="5" t="s">
        <v>1318</v>
      </c>
      <c r="F451" s="5" t="s">
        <v>1319</v>
      </c>
      <c r="G451" s="5" t="s">
        <v>1320</v>
      </c>
      <c r="H451" s="148">
        <v>4</v>
      </c>
      <c r="I451" s="149">
        <v>12835</v>
      </c>
      <c r="J451" s="150">
        <v>0</v>
      </c>
      <c r="K451" s="149">
        <v>51340</v>
      </c>
      <c r="L451" s="149">
        <v>5503.77</v>
      </c>
      <c r="M451" s="5" t="s">
        <v>1381</v>
      </c>
      <c r="N451" s="5" t="s">
        <v>1337</v>
      </c>
      <c r="O451" s="5" t="s">
        <v>1338</v>
      </c>
      <c r="P451" s="5" t="s">
        <v>1299</v>
      </c>
      <c r="Q451" s="5" t="s">
        <v>1184</v>
      </c>
      <c r="R451" s="151">
        <v>5</v>
      </c>
      <c r="S451" s="143"/>
    </row>
    <row r="452" spans="1:19" x14ac:dyDescent="0.25">
      <c r="A452" s="5" t="s">
        <v>2681</v>
      </c>
      <c r="B452" s="147">
        <v>45866</v>
      </c>
      <c r="C452" s="5" t="s">
        <v>2682</v>
      </c>
      <c r="D452" s="5" t="s">
        <v>2683</v>
      </c>
      <c r="E452" s="5" t="s">
        <v>1195</v>
      </c>
      <c r="F452" s="5" t="s">
        <v>988</v>
      </c>
      <c r="G452" s="5" t="s">
        <v>1336</v>
      </c>
      <c r="H452" s="148">
        <v>5</v>
      </c>
      <c r="I452" s="149">
        <v>2116</v>
      </c>
      <c r="J452" s="150">
        <v>0.2</v>
      </c>
      <c r="K452" s="149">
        <v>8464</v>
      </c>
      <c r="L452" s="149">
        <v>754.65</v>
      </c>
      <c r="M452" s="5" t="s">
        <v>1313</v>
      </c>
      <c r="N452" s="5" t="s">
        <v>1352</v>
      </c>
      <c r="O452" s="5" t="s">
        <v>1352</v>
      </c>
      <c r="P452" s="5" t="s">
        <v>1348</v>
      </c>
      <c r="Q452" s="5" t="s">
        <v>1300</v>
      </c>
      <c r="R452" s="151">
        <v>4</v>
      </c>
      <c r="S452" s="143"/>
    </row>
    <row r="453" spans="1:19" x14ac:dyDescent="0.25">
      <c r="A453" s="5" t="s">
        <v>2684</v>
      </c>
      <c r="B453" s="147">
        <v>45919</v>
      </c>
      <c r="C453" s="5" t="s">
        <v>2685</v>
      </c>
      <c r="D453" s="5" t="s">
        <v>2686</v>
      </c>
      <c r="E453" s="5" t="s">
        <v>1310</v>
      </c>
      <c r="F453" s="5" t="s">
        <v>1311</v>
      </c>
      <c r="G453" s="5" t="s">
        <v>1312</v>
      </c>
      <c r="H453" s="148">
        <v>4</v>
      </c>
      <c r="I453" s="149">
        <v>6807</v>
      </c>
      <c r="J453" s="150">
        <v>0.15</v>
      </c>
      <c r="K453" s="149">
        <v>23143.8</v>
      </c>
      <c r="L453" s="149">
        <v>3932.7</v>
      </c>
      <c r="M453" s="5" t="s">
        <v>1126</v>
      </c>
      <c r="N453" s="5" t="s">
        <v>1297</v>
      </c>
      <c r="O453" s="5" t="s">
        <v>1298</v>
      </c>
      <c r="P453" s="5" t="s">
        <v>1327</v>
      </c>
      <c r="Q453" s="5" t="s">
        <v>1184</v>
      </c>
      <c r="R453" s="151">
        <v>2</v>
      </c>
      <c r="S453" s="143"/>
    </row>
    <row r="454" spans="1:19" x14ac:dyDescent="0.25">
      <c r="A454" s="5" t="s">
        <v>2687</v>
      </c>
      <c r="B454" s="147">
        <v>46005</v>
      </c>
      <c r="C454" s="5" t="s">
        <v>2688</v>
      </c>
      <c r="D454" s="5" t="s">
        <v>2689</v>
      </c>
      <c r="E454" s="5" t="s">
        <v>1195</v>
      </c>
      <c r="F454" s="5" t="s">
        <v>988</v>
      </c>
      <c r="G454" s="5" t="s">
        <v>1336</v>
      </c>
      <c r="H454" s="148">
        <v>1</v>
      </c>
      <c r="I454" s="149">
        <v>3614</v>
      </c>
      <c r="J454" s="150">
        <v>0.2</v>
      </c>
      <c r="K454" s="149">
        <v>2891.2</v>
      </c>
      <c r="L454" s="149">
        <v>271.58999999999997</v>
      </c>
      <c r="M454" s="5" t="s">
        <v>1344</v>
      </c>
      <c r="N454" s="5" t="s">
        <v>1297</v>
      </c>
      <c r="O454" s="5" t="s">
        <v>1298</v>
      </c>
      <c r="P454" s="5" t="s">
        <v>1327</v>
      </c>
      <c r="Q454" s="5" t="s">
        <v>1204</v>
      </c>
      <c r="R454" s="151">
        <v>3</v>
      </c>
      <c r="S454" s="143"/>
    </row>
    <row r="455" spans="1:19" x14ac:dyDescent="0.25">
      <c r="A455" s="5" t="s">
        <v>2690</v>
      </c>
      <c r="B455" s="147">
        <v>45882</v>
      </c>
      <c r="C455" s="5" t="s">
        <v>2691</v>
      </c>
      <c r="D455" s="5" t="s">
        <v>2692</v>
      </c>
      <c r="E455" s="5" t="s">
        <v>1370</v>
      </c>
      <c r="F455" s="5" t="s">
        <v>1160</v>
      </c>
      <c r="G455" s="5" t="s">
        <v>1371</v>
      </c>
      <c r="H455" s="148">
        <v>2</v>
      </c>
      <c r="I455" s="149">
        <v>11286</v>
      </c>
      <c r="J455" s="150">
        <v>0.15</v>
      </c>
      <c r="K455" s="149">
        <v>19186.2</v>
      </c>
      <c r="L455" s="149">
        <v>4407.1899999999996</v>
      </c>
      <c r="M455" s="5" t="s">
        <v>1313</v>
      </c>
      <c r="N455" s="5" t="s">
        <v>1304</v>
      </c>
      <c r="O455" s="5" t="s">
        <v>1305</v>
      </c>
      <c r="P455" s="5" t="s">
        <v>1299</v>
      </c>
      <c r="Q455" s="5" t="s">
        <v>1300</v>
      </c>
      <c r="R455" s="151">
        <v>1</v>
      </c>
      <c r="S455" s="143"/>
    </row>
    <row r="456" spans="1:19" x14ac:dyDescent="0.25">
      <c r="A456" s="5" t="s">
        <v>2693</v>
      </c>
      <c r="B456" s="147">
        <v>46009</v>
      </c>
      <c r="C456" s="5" t="s">
        <v>2694</v>
      </c>
      <c r="D456" s="5" t="s">
        <v>2695</v>
      </c>
      <c r="E456" s="5" t="s">
        <v>1331</v>
      </c>
      <c r="F456" s="5" t="s">
        <v>988</v>
      </c>
      <c r="G456" s="5" t="s">
        <v>1332</v>
      </c>
      <c r="H456" s="148">
        <v>2</v>
      </c>
      <c r="I456" s="149">
        <v>8793</v>
      </c>
      <c r="J456" s="150">
        <v>0.15</v>
      </c>
      <c r="K456" s="149">
        <v>14948.1</v>
      </c>
      <c r="L456" s="149">
        <v>1346.26</v>
      </c>
      <c r="M456" s="5" t="s">
        <v>1130</v>
      </c>
      <c r="N456" s="5" t="s">
        <v>1297</v>
      </c>
      <c r="O456" s="5" t="s">
        <v>1298</v>
      </c>
      <c r="P456" s="5" t="s">
        <v>1299</v>
      </c>
      <c r="Q456" s="5" t="s">
        <v>1184</v>
      </c>
      <c r="R456" s="151">
        <v>5</v>
      </c>
      <c r="S456" s="143"/>
    </row>
    <row r="457" spans="1:19" x14ac:dyDescent="0.25">
      <c r="A457" s="5" t="s">
        <v>2696</v>
      </c>
      <c r="B457" s="147">
        <v>45828</v>
      </c>
      <c r="C457" s="5" t="s">
        <v>2697</v>
      </c>
      <c r="D457" s="5" t="s">
        <v>2698</v>
      </c>
      <c r="E457" s="5" t="s">
        <v>1310</v>
      </c>
      <c r="F457" s="5" t="s">
        <v>1311</v>
      </c>
      <c r="G457" s="5" t="s">
        <v>1312</v>
      </c>
      <c r="H457" s="148">
        <v>3</v>
      </c>
      <c r="I457" s="149">
        <v>11302</v>
      </c>
      <c r="J457" s="150">
        <v>0</v>
      </c>
      <c r="K457" s="149">
        <v>33906</v>
      </c>
      <c r="L457" s="149">
        <v>5231.8100000000004</v>
      </c>
      <c r="M457" s="5" t="s">
        <v>1381</v>
      </c>
      <c r="N457" s="5" t="s">
        <v>1321</v>
      </c>
      <c r="O457" s="5" t="s">
        <v>1322</v>
      </c>
      <c r="P457" s="5" t="s">
        <v>1323</v>
      </c>
      <c r="Q457" s="5" t="s">
        <v>1184</v>
      </c>
      <c r="R457" s="151">
        <v>1</v>
      </c>
      <c r="S457" s="143"/>
    </row>
    <row r="458" spans="1:19" x14ac:dyDescent="0.25">
      <c r="A458" s="5" t="s">
        <v>2699</v>
      </c>
      <c r="B458" s="147">
        <v>45694</v>
      </c>
      <c r="C458" s="5" t="s">
        <v>2700</v>
      </c>
      <c r="D458" s="5" t="s">
        <v>2701</v>
      </c>
      <c r="E458" s="5" t="s">
        <v>1310</v>
      </c>
      <c r="F458" s="5" t="s">
        <v>1311</v>
      </c>
      <c r="G458" s="5" t="s">
        <v>1312</v>
      </c>
      <c r="H458" s="148">
        <v>5</v>
      </c>
      <c r="I458" s="149">
        <v>14729</v>
      </c>
      <c r="J458" s="150">
        <v>0.1</v>
      </c>
      <c r="K458" s="149">
        <v>66280.5</v>
      </c>
      <c r="L458" s="149">
        <v>9522</v>
      </c>
      <c r="M458" s="5" t="s">
        <v>1130</v>
      </c>
      <c r="N458" s="5" t="s">
        <v>1337</v>
      </c>
      <c r="O458" s="5" t="s">
        <v>1338</v>
      </c>
      <c r="P458" s="5" t="s">
        <v>1323</v>
      </c>
      <c r="Q458" s="5" t="s">
        <v>1204</v>
      </c>
      <c r="R458" s="151">
        <v>4</v>
      </c>
      <c r="S458" s="143"/>
    </row>
    <row r="459" spans="1:19" x14ac:dyDescent="0.25">
      <c r="A459" s="5" t="s">
        <v>2702</v>
      </c>
      <c r="B459" s="147">
        <v>45978</v>
      </c>
      <c r="C459" s="5" t="s">
        <v>2703</v>
      </c>
      <c r="D459" s="5" t="s">
        <v>2704</v>
      </c>
      <c r="E459" s="5" t="s">
        <v>1331</v>
      </c>
      <c r="F459" s="5" t="s">
        <v>988</v>
      </c>
      <c r="G459" s="5" t="s">
        <v>1332</v>
      </c>
      <c r="H459" s="148">
        <v>2</v>
      </c>
      <c r="I459" s="149">
        <v>8601</v>
      </c>
      <c r="J459" s="150">
        <v>0.1</v>
      </c>
      <c r="K459" s="149">
        <v>15481.8</v>
      </c>
      <c r="L459" s="149">
        <v>4156.08</v>
      </c>
      <c r="M459" s="5" t="s">
        <v>1381</v>
      </c>
      <c r="N459" s="5" t="s">
        <v>1352</v>
      </c>
      <c r="O459" s="5" t="s">
        <v>1352</v>
      </c>
      <c r="P459" s="5" t="s">
        <v>1299</v>
      </c>
      <c r="Q459" s="5" t="s">
        <v>1204</v>
      </c>
      <c r="R459" s="151">
        <v>2</v>
      </c>
      <c r="S459" s="143"/>
    </row>
    <row r="460" spans="1:19" x14ac:dyDescent="0.25">
      <c r="A460" s="5" t="s">
        <v>2705</v>
      </c>
      <c r="B460" s="147">
        <v>45811</v>
      </c>
      <c r="C460" s="5" t="s">
        <v>2706</v>
      </c>
      <c r="D460" s="5" t="s">
        <v>2707</v>
      </c>
      <c r="E460" s="5" t="s">
        <v>1318</v>
      </c>
      <c r="F460" s="5" t="s">
        <v>1319</v>
      </c>
      <c r="G460" s="5" t="s">
        <v>1320</v>
      </c>
      <c r="H460" s="148">
        <v>4</v>
      </c>
      <c r="I460" s="149">
        <v>12017</v>
      </c>
      <c r="J460" s="150">
        <v>0.05</v>
      </c>
      <c r="K460" s="149">
        <v>45664.6</v>
      </c>
      <c r="L460" s="149">
        <v>5522.95</v>
      </c>
      <c r="M460" s="5" t="s">
        <v>1130</v>
      </c>
      <c r="N460" s="5" t="s">
        <v>1297</v>
      </c>
      <c r="O460" s="5" t="s">
        <v>1298</v>
      </c>
      <c r="P460" s="5" t="s">
        <v>1314</v>
      </c>
      <c r="Q460" s="5" t="s">
        <v>1184</v>
      </c>
      <c r="R460" s="151">
        <v>1</v>
      </c>
      <c r="S460" s="143"/>
    </row>
    <row r="461" spans="1:19" x14ac:dyDescent="0.25">
      <c r="A461" s="5" t="s">
        <v>2708</v>
      </c>
      <c r="B461" s="147">
        <v>45910</v>
      </c>
      <c r="C461" s="5" t="s">
        <v>2709</v>
      </c>
      <c r="D461" s="5" t="s">
        <v>2710</v>
      </c>
      <c r="E461" s="5" t="s">
        <v>1310</v>
      </c>
      <c r="F461" s="5" t="s">
        <v>1311</v>
      </c>
      <c r="G461" s="5" t="s">
        <v>1312</v>
      </c>
      <c r="H461" s="148">
        <v>2</v>
      </c>
      <c r="I461" s="149">
        <v>6284</v>
      </c>
      <c r="J461" s="150">
        <v>0.2</v>
      </c>
      <c r="K461" s="149">
        <v>10054.4</v>
      </c>
      <c r="L461" s="149">
        <v>2584.75</v>
      </c>
      <c r="M461" s="5" t="s">
        <v>1126</v>
      </c>
      <c r="N461" s="5" t="s">
        <v>1362</v>
      </c>
      <c r="O461" s="5" t="s">
        <v>1363</v>
      </c>
      <c r="P461" s="5" t="s">
        <v>1327</v>
      </c>
      <c r="Q461" s="5" t="s">
        <v>1306</v>
      </c>
      <c r="R461" s="151">
        <v>4</v>
      </c>
      <c r="S461" s="143"/>
    </row>
    <row r="462" spans="1:19" x14ac:dyDescent="0.25">
      <c r="A462" s="5" t="s">
        <v>2711</v>
      </c>
      <c r="B462" s="147">
        <v>46012</v>
      </c>
      <c r="C462" s="5" t="s">
        <v>2712</v>
      </c>
      <c r="D462" s="5" t="s">
        <v>2713</v>
      </c>
      <c r="E462" s="5" t="s">
        <v>1370</v>
      </c>
      <c r="F462" s="5" t="s">
        <v>1160</v>
      </c>
      <c r="G462" s="5" t="s">
        <v>1371</v>
      </c>
      <c r="H462" s="148">
        <v>1</v>
      </c>
      <c r="I462" s="149">
        <v>7502</v>
      </c>
      <c r="J462" s="150">
        <v>0.15</v>
      </c>
      <c r="K462" s="149">
        <v>6376.7</v>
      </c>
      <c r="L462" s="149">
        <v>1756.26</v>
      </c>
      <c r="M462" s="5" t="s">
        <v>1130</v>
      </c>
      <c r="N462" s="5" t="s">
        <v>1321</v>
      </c>
      <c r="O462" s="5" t="s">
        <v>1322</v>
      </c>
      <c r="P462" s="5" t="s">
        <v>1327</v>
      </c>
      <c r="Q462" s="5" t="s">
        <v>1204</v>
      </c>
      <c r="R462" s="151">
        <v>2</v>
      </c>
      <c r="S462" s="143"/>
    </row>
    <row r="463" spans="1:19" x14ac:dyDescent="0.25">
      <c r="A463" s="5" t="s">
        <v>2714</v>
      </c>
      <c r="B463" s="147">
        <v>45691</v>
      </c>
      <c r="C463" s="5" t="s">
        <v>2715</v>
      </c>
      <c r="D463" s="5" t="s">
        <v>2716</v>
      </c>
      <c r="E463" s="5" t="s">
        <v>1295</v>
      </c>
      <c r="F463" s="5" t="s">
        <v>985</v>
      </c>
      <c r="G463" s="5" t="s">
        <v>1296</v>
      </c>
      <c r="H463" s="148">
        <v>3</v>
      </c>
      <c r="I463" s="149">
        <v>924</v>
      </c>
      <c r="J463" s="150">
        <v>0.05</v>
      </c>
      <c r="K463" s="149">
        <v>2633.4</v>
      </c>
      <c r="L463" s="149">
        <v>308.85000000000002</v>
      </c>
      <c r="M463" s="5" t="s">
        <v>1344</v>
      </c>
      <c r="N463" s="5" t="s">
        <v>1321</v>
      </c>
      <c r="O463" s="5" t="s">
        <v>1322</v>
      </c>
      <c r="P463" s="5" t="s">
        <v>1327</v>
      </c>
      <c r="Q463" s="5" t="s">
        <v>1306</v>
      </c>
      <c r="R463" s="151">
        <v>4</v>
      </c>
      <c r="S463" s="143"/>
    </row>
    <row r="464" spans="1:19" x14ac:dyDescent="0.25">
      <c r="A464" s="5" t="s">
        <v>2717</v>
      </c>
      <c r="B464" s="147">
        <v>45887</v>
      </c>
      <c r="C464" s="5" t="s">
        <v>2718</v>
      </c>
      <c r="D464" s="5" t="s">
        <v>2719</v>
      </c>
      <c r="E464" s="5" t="s">
        <v>1310</v>
      </c>
      <c r="F464" s="5" t="s">
        <v>1311</v>
      </c>
      <c r="G464" s="5" t="s">
        <v>1312</v>
      </c>
      <c r="H464" s="148">
        <v>2</v>
      </c>
      <c r="I464" s="149">
        <v>14334</v>
      </c>
      <c r="J464" s="150">
        <v>0</v>
      </c>
      <c r="K464" s="149">
        <v>28668</v>
      </c>
      <c r="L464" s="149">
        <v>7838.15</v>
      </c>
      <c r="M464" s="5" t="s">
        <v>1313</v>
      </c>
      <c r="N464" s="5" t="s">
        <v>1304</v>
      </c>
      <c r="O464" s="5" t="s">
        <v>1305</v>
      </c>
      <c r="P464" s="5" t="s">
        <v>1299</v>
      </c>
      <c r="Q464" s="5" t="s">
        <v>1204</v>
      </c>
      <c r="R464" s="151">
        <v>3</v>
      </c>
      <c r="S464" s="143"/>
    </row>
    <row r="465" spans="1:19" x14ac:dyDescent="0.25">
      <c r="A465" s="5" t="s">
        <v>2720</v>
      </c>
      <c r="B465" s="147">
        <v>45862</v>
      </c>
      <c r="C465" s="5" t="s">
        <v>2721</v>
      </c>
      <c r="D465" s="5" t="s">
        <v>2722</v>
      </c>
      <c r="E465" s="5" t="s">
        <v>1195</v>
      </c>
      <c r="F465" s="5" t="s">
        <v>988</v>
      </c>
      <c r="G465" s="5" t="s">
        <v>1336</v>
      </c>
      <c r="H465" s="148">
        <v>4</v>
      </c>
      <c r="I465" s="149">
        <v>7157</v>
      </c>
      <c r="J465" s="150">
        <v>0</v>
      </c>
      <c r="K465" s="149">
        <v>28628</v>
      </c>
      <c r="L465" s="149">
        <v>7462.53</v>
      </c>
      <c r="M465" s="5" t="s">
        <v>1381</v>
      </c>
      <c r="N465" s="5" t="s">
        <v>1321</v>
      </c>
      <c r="O465" s="5" t="s">
        <v>1322</v>
      </c>
      <c r="P465" s="5" t="s">
        <v>1327</v>
      </c>
      <c r="Q465" s="5" t="s">
        <v>1306</v>
      </c>
      <c r="R465" s="151">
        <v>1</v>
      </c>
      <c r="S465" s="143"/>
    </row>
    <row r="466" spans="1:19" x14ac:dyDescent="0.25">
      <c r="A466" s="5" t="s">
        <v>2723</v>
      </c>
      <c r="B466" s="147">
        <v>45743</v>
      </c>
      <c r="C466" s="5" t="s">
        <v>2724</v>
      </c>
      <c r="D466" s="5" t="s">
        <v>2725</v>
      </c>
      <c r="E466" s="5" t="s">
        <v>1370</v>
      </c>
      <c r="F466" s="5" t="s">
        <v>1160</v>
      </c>
      <c r="G466" s="5" t="s">
        <v>1371</v>
      </c>
      <c r="H466" s="148">
        <v>5</v>
      </c>
      <c r="I466" s="149">
        <v>13739</v>
      </c>
      <c r="J466" s="150">
        <v>0.1</v>
      </c>
      <c r="K466" s="149">
        <v>61825.5</v>
      </c>
      <c r="L466" s="149">
        <v>12556.59</v>
      </c>
      <c r="M466" s="5" t="s">
        <v>1344</v>
      </c>
      <c r="N466" s="5" t="s">
        <v>1297</v>
      </c>
      <c r="O466" s="5" t="s">
        <v>1298</v>
      </c>
      <c r="P466" s="5" t="s">
        <v>1314</v>
      </c>
      <c r="Q466" s="5" t="s">
        <v>1204</v>
      </c>
      <c r="R466" s="151">
        <v>1</v>
      </c>
      <c r="S466" s="143"/>
    </row>
    <row r="467" spans="1:19" x14ac:dyDescent="0.25">
      <c r="A467" s="5" t="s">
        <v>2726</v>
      </c>
      <c r="B467" s="147">
        <v>46016</v>
      </c>
      <c r="C467" s="5" t="s">
        <v>2727</v>
      </c>
      <c r="D467" s="5" t="s">
        <v>2728</v>
      </c>
      <c r="E467" s="5" t="s">
        <v>1359</v>
      </c>
      <c r="F467" s="5" t="s">
        <v>1360</v>
      </c>
      <c r="G467" s="5" t="s">
        <v>1361</v>
      </c>
      <c r="H467" s="148">
        <v>3</v>
      </c>
      <c r="I467" s="149">
        <v>12228</v>
      </c>
      <c r="J467" s="150">
        <v>0.15</v>
      </c>
      <c r="K467" s="149">
        <v>31181.4</v>
      </c>
      <c r="L467" s="149">
        <v>4681.8100000000004</v>
      </c>
      <c r="M467" s="5" t="s">
        <v>1313</v>
      </c>
      <c r="N467" s="5" t="s">
        <v>1337</v>
      </c>
      <c r="O467" s="5" t="s">
        <v>1338</v>
      </c>
      <c r="P467" s="5" t="s">
        <v>1299</v>
      </c>
      <c r="Q467" s="5" t="s">
        <v>1184</v>
      </c>
      <c r="R467" s="151">
        <v>3</v>
      </c>
      <c r="S467" s="143"/>
    </row>
    <row r="468" spans="1:19" x14ac:dyDescent="0.25">
      <c r="A468" s="5" t="s">
        <v>2729</v>
      </c>
      <c r="B468" s="147">
        <v>45816</v>
      </c>
      <c r="C468" s="5" t="s">
        <v>2730</v>
      </c>
      <c r="D468" s="5" t="s">
        <v>2731</v>
      </c>
      <c r="E468" s="5" t="s">
        <v>1295</v>
      </c>
      <c r="F468" s="5" t="s">
        <v>985</v>
      </c>
      <c r="G468" s="5" t="s">
        <v>1296</v>
      </c>
      <c r="H468" s="148">
        <v>4</v>
      </c>
      <c r="I468" s="149">
        <v>1010</v>
      </c>
      <c r="J468" s="150">
        <v>0</v>
      </c>
      <c r="K468" s="149">
        <v>4040</v>
      </c>
      <c r="L468" s="149">
        <v>376.13</v>
      </c>
      <c r="M468" s="5" t="s">
        <v>1126</v>
      </c>
      <c r="N468" s="5" t="s">
        <v>1352</v>
      </c>
      <c r="O468" s="5" t="s">
        <v>1352</v>
      </c>
      <c r="P468" s="5" t="s">
        <v>1299</v>
      </c>
      <c r="Q468" s="5" t="s">
        <v>1306</v>
      </c>
      <c r="R468" s="151">
        <v>2</v>
      </c>
      <c r="S468" s="143"/>
    </row>
    <row r="469" spans="1:19" x14ac:dyDescent="0.25">
      <c r="A469" s="5" t="s">
        <v>2732</v>
      </c>
      <c r="B469" s="147">
        <v>45822</v>
      </c>
      <c r="C469" s="5" t="s">
        <v>2733</v>
      </c>
      <c r="D469" s="5" t="s">
        <v>2734</v>
      </c>
      <c r="E469" s="5" t="s">
        <v>1359</v>
      </c>
      <c r="F469" s="5" t="s">
        <v>1360</v>
      </c>
      <c r="G469" s="5" t="s">
        <v>1361</v>
      </c>
      <c r="H469" s="148">
        <v>1</v>
      </c>
      <c r="I469" s="149">
        <v>11662</v>
      </c>
      <c r="J469" s="150">
        <v>0</v>
      </c>
      <c r="K469" s="149">
        <v>11662</v>
      </c>
      <c r="L469" s="149">
        <v>1477.03</v>
      </c>
      <c r="M469" s="5" t="s">
        <v>1344</v>
      </c>
      <c r="N469" s="5" t="s">
        <v>1337</v>
      </c>
      <c r="O469" s="5" t="s">
        <v>1338</v>
      </c>
      <c r="P469" s="5" t="s">
        <v>1348</v>
      </c>
      <c r="Q469" s="5" t="s">
        <v>1204</v>
      </c>
      <c r="R469" s="151">
        <v>4</v>
      </c>
      <c r="S469" s="143"/>
    </row>
    <row r="470" spans="1:19" x14ac:dyDescent="0.25">
      <c r="A470" s="5" t="s">
        <v>2735</v>
      </c>
      <c r="B470" s="147">
        <v>45860</v>
      </c>
      <c r="C470" s="5" t="s">
        <v>2736</v>
      </c>
      <c r="D470" s="5" t="s">
        <v>2737</v>
      </c>
      <c r="E470" s="5" t="s">
        <v>1195</v>
      </c>
      <c r="F470" s="5" t="s">
        <v>988</v>
      </c>
      <c r="G470" s="5" t="s">
        <v>1336</v>
      </c>
      <c r="H470" s="148">
        <v>2</v>
      </c>
      <c r="I470" s="149">
        <v>5393</v>
      </c>
      <c r="J470" s="150">
        <v>0.05</v>
      </c>
      <c r="K470" s="149">
        <v>10246.700000000001</v>
      </c>
      <c r="L470" s="149">
        <v>2685.47</v>
      </c>
      <c r="M470" s="5" t="s">
        <v>1130</v>
      </c>
      <c r="N470" s="5" t="s">
        <v>1321</v>
      </c>
      <c r="O470" s="5" t="s">
        <v>1322</v>
      </c>
      <c r="P470" s="5" t="s">
        <v>1314</v>
      </c>
      <c r="Q470" s="5" t="s">
        <v>1184</v>
      </c>
      <c r="R470" s="151">
        <v>1</v>
      </c>
      <c r="S470" s="143"/>
    </row>
    <row r="471" spans="1:19" x14ac:dyDescent="0.25">
      <c r="A471" s="5" t="s">
        <v>2738</v>
      </c>
      <c r="B471" s="147">
        <v>45901</v>
      </c>
      <c r="C471" s="5" t="s">
        <v>2739</v>
      </c>
      <c r="D471" s="5" t="s">
        <v>2740</v>
      </c>
      <c r="E471" s="5" t="s">
        <v>1370</v>
      </c>
      <c r="F471" s="5" t="s">
        <v>1160</v>
      </c>
      <c r="G471" s="5" t="s">
        <v>1371</v>
      </c>
      <c r="H471" s="148">
        <v>5</v>
      </c>
      <c r="I471" s="149">
        <v>8173</v>
      </c>
      <c r="J471" s="150">
        <v>0.05</v>
      </c>
      <c r="K471" s="149">
        <v>38821.75</v>
      </c>
      <c r="L471" s="149">
        <v>5260.39</v>
      </c>
      <c r="M471" s="5" t="s">
        <v>1381</v>
      </c>
      <c r="N471" s="5" t="s">
        <v>1362</v>
      </c>
      <c r="O471" s="5" t="s">
        <v>1363</v>
      </c>
      <c r="P471" s="5" t="s">
        <v>1327</v>
      </c>
      <c r="Q471" s="5" t="s">
        <v>1204</v>
      </c>
      <c r="R471" s="151">
        <v>2</v>
      </c>
      <c r="S471" s="143"/>
    </row>
    <row r="472" spans="1:19" x14ac:dyDescent="0.25">
      <c r="A472" s="5" t="s">
        <v>2741</v>
      </c>
      <c r="B472" s="147">
        <v>45918</v>
      </c>
      <c r="C472" s="5" t="s">
        <v>2742</v>
      </c>
      <c r="D472" s="5" t="s">
        <v>2743</v>
      </c>
      <c r="E472" s="5" t="s">
        <v>1359</v>
      </c>
      <c r="F472" s="5" t="s">
        <v>1360</v>
      </c>
      <c r="G472" s="5" t="s">
        <v>1361</v>
      </c>
      <c r="H472" s="148">
        <v>1</v>
      </c>
      <c r="I472" s="149">
        <v>1854</v>
      </c>
      <c r="J472" s="150">
        <v>0.2</v>
      </c>
      <c r="K472" s="149">
        <v>1483.2</v>
      </c>
      <c r="L472" s="149">
        <v>434.25</v>
      </c>
      <c r="M472" s="5" t="s">
        <v>1126</v>
      </c>
      <c r="N472" s="5" t="s">
        <v>1352</v>
      </c>
      <c r="O472" s="5" t="s">
        <v>1352</v>
      </c>
      <c r="P472" s="5" t="s">
        <v>1348</v>
      </c>
      <c r="Q472" s="5" t="s">
        <v>1306</v>
      </c>
      <c r="R472" s="151">
        <v>5</v>
      </c>
      <c r="S472" s="143"/>
    </row>
    <row r="473" spans="1:19" x14ac:dyDescent="0.25">
      <c r="A473" s="5" t="s">
        <v>2744</v>
      </c>
      <c r="B473" s="147">
        <v>45946</v>
      </c>
      <c r="C473" s="5" t="s">
        <v>2745</v>
      </c>
      <c r="D473" s="5" t="s">
        <v>2746</v>
      </c>
      <c r="E473" s="5" t="s">
        <v>1310</v>
      </c>
      <c r="F473" s="5" t="s">
        <v>1311</v>
      </c>
      <c r="G473" s="5" t="s">
        <v>1312</v>
      </c>
      <c r="H473" s="148">
        <v>1</v>
      </c>
      <c r="I473" s="149">
        <v>11729</v>
      </c>
      <c r="J473" s="150">
        <v>0.05</v>
      </c>
      <c r="K473" s="149">
        <v>11142.55</v>
      </c>
      <c r="L473" s="149">
        <v>2402.79</v>
      </c>
      <c r="M473" s="5" t="s">
        <v>1313</v>
      </c>
      <c r="N473" s="5" t="s">
        <v>1362</v>
      </c>
      <c r="O473" s="5" t="s">
        <v>1363</v>
      </c>
      <c r="P473" s="5" t="s">
        <v>1314</v>
      </c>
      <c r="Q473" s="5" t="s">
        <v>1300</v>
      </c>
      <c r="R473" s="151">
        <v>2</v>
      </c>
      <c r="S473" s="143"/>
    </row>
    <row r="474" spans="1:19" x14ac:dyDescent="0.25">
      <c r="A474" s="5" t="s">
        <v>2747</v>
      </c>
      <c r="B474" s="147">
        <v>45919</v>
      </c>
      <c r="C474" s="5" t="s">
        <v>2748</v>
      </c>
      <c r="D474" s="5" t="s">
        <v>2749</v>
      </c>
      <c r="E474" s="5" t="s">
        <v>1370</v>
      </c>
      <c r="F474" s="5" t="s">
        <v>1160</v>
      </c>
      <c r="G474" s="5" t="s">
        <v>1371</v>
      </c>
      <c r="H474" s="148">
        <v>4</v>
      </c>
      <c r="I474" s="149">
        <v>1663</v>
      </c>
      <c r="J474" s="150">
        <v>0</v>
      </c>
      <c r="K474" s="149">
        <v>6652</v>
      </c>
      <c r="L474" s="149">
        <v>1711.24</v>
      </c>
      <c r="M474" s="5" t="s">
        <v>1313</v>
      </c>
      <c r="N474" s="5" t="s">
        <v>1304</v>
      </c>
      <c r="O474" s="5" t="s">
        <v>1305</v>
      </c>
      <c r="P474" s="5" t="s">
        <v>1323</v>
      </c>
      <c r="Q474" s="5" t="s">
        <v>1306</v>
      </c>
      <c r="R474" s="151">
        <v>5</v>
      </c>
      <c r="S474" s="143"/>
    </row>
    <row r="475" spans="1:19" x14ac:dyDescent="0.25">
      <c r="A475" s="5" t="s">
        <v>2750</v>
      </c>
      <c r="B475" s="147">
        <v>45710</v>
      </c>
      <c r="C475" s="5" t="s">
        <v>2751</v>
      </c>
      <c r="D475" s="5" t="s">
        <v>2752</v>
      </c>
      <c r="E475" s="5" t="s">
        <v>1318</v>
      </c>
      <c r="F475" s="5" t="s">
        <v>1319</v>
      </c>
      <c r="G475" s="5" t="s">
        <v>1320</v>
      </c>
      <c r="H475" s="148">
        <v>4</v>
      </c>
      <c r="I475" s="149">
        <v>14380</v>
      </c>
      <c r="J475" s="150">
        <v>0</v>
      </c>
      <c r="K475" s="149">
        <v>57520</v>
      </c>
      <c r="L475" s="149">
        <v>14000.67</v>
      </c>
      <c r="M475" s="5" t="s">
        <v>1313</v>
      </c>
      <c r="N475" s="5" t="s">
        <v>1297</v>
      </c>
      <c r="O475" s="5" t="s">
        <v>1298</v>
      </c>
      <c r="P475" s="5" t="s">
        <v>1314</v>
      </c>
      <c r="Q475" s="5" t="s">
        <v>1306</v>
      </c>
      <c r="R475" s="151">
        <v>4</v>
      </c>
      <c r="S475" s="143"/>
    </row>
    <row r="476" spans="1:19" x14ac:dyDescent="0.25">
      <c r="A476" s="5" t="s">
        <v>2753</v>
      </c>
      <c r="B476" s="147">
        <v>45743</v>
      </c>
      <c r="C476" s="5" t="s">
        <v>2754</v>
      </c>
      <c r="D476" s="5" t="s">
        <v>2755</v>
      </c>
      <c r="E476" s="5" t="s">
        <v>1195</v>
      </c>
      <c r="F476" s="5" t="s">
        <v>988</v>
      </c>
      <c r="G476" s="5" t="s">
        <v>1336</v>
      </c>
      <c r="H476" s="148">
        <v>4</v>
      </c>
      <c r="I476" s="149">
        <v>10497</v>
      </c>
      <c r="J476" s="150">
        <v>0.2</v>
      </c>
      <c r="K476" s="149">
        <v>33590.400000000001</v>
      </c>
      <c r="L476" s="149">
        <v>3072.76</v>
      </c>
      <c r="M476" s="5" t="s">
        <v>1126</v>
      </c>
      <c r="N476" s="5" t="s">
        <v>1304</v>
      </c>
      <c r="O476" s="5" t="s">
        <v>1305</v>
      </c>
      <c r="P476" s="5" t="s">
        <v>1299</v>
      </c>
      <c r="Q476" s="5" t="s">
        <v>1184</v>
      </c>
      <c r="R476" s="151">
        <v>1</v>
      </c>
      <c r="S476" s="143"/>
    </row>
    <row r="477" spans="1:19" x14ac:dyDescent="0.25">
      <c r="A477" s="5" t="s">
        <v>2756</v>
      </c>
      <c r="B477" s="147">
        <v>45673</v>
      </c>
      <c r="C477" s="5" t="s">
        <v>2757</v>
      </c>
      <c r="D477" s="5" t="s">
        <v>2758</v>
      </c>
      <c r="E477" s="5" t="s">
        <v>1318</v>
      </c>
      <c r="F477" s="5" t="s">
        <v>1319</v>
      </c>
      <c r="G477" s="5" t="s">
        <v>1320</v>
      </c>
      <c r="H477" s="148">
        <v>4</v>
      </c>
      <c r="I477" s="149">
        <v>3985</v>
      </c>
      <c r="J477" s="150">
        <v>0.1</v>
      </c>
      <c r="K477" s="149">
        <v>14346</v>
      </c>
      <c r="L477" s="149">
        <v>2079.1799999999998</v>
      </c>
      <c r="M477" s="5" t="s">
        <v>1381</v>
      </c>
      <c r="N477" s="5" t="s">
        <v>1304</v>
      </c>
      <c r="O477" s="5" t="s">
        <v>1305</v>
      </c>
      <c r="P477" s="5" t="s">
        <v>1323</v>
      </c>
      <c r="Q477" s="5" t="s">
        <v>1184</v>
      </c>
      <c r="R477" s="151">
        <v>3</v>
      </c>
      <c r="S477" s="143"/>
    </row>
    <row r="478" spans="1:19" x14ac:dyDescent="0.25">
      <c r="A478" s="5" t="s">
        <v>2759</v>
      </c>
      <c r="B478" s="147">
        <v>45827</v>
      </c>
      <c r="C478" s="5" t="s">
        <v>2760</v>
      </c>
      <c r="D478" s="5" t="s">
        <v>2761</v>
      </c>
      <c r="E478" s="5" t="s">
        <v>1359</v>
      </c>
      <c r="F478" s="5" t="s">
        <v>1360</v>
      </c>
      <c r="G478" s="5" t="s">
        <v>1361</v>
      </c>
      <c r="H478" s="148">
        <v>2</v>
      </c>
      <c r="I478" s="149">
        <v>7638</v>
      </c>
      <c r="J478" s="150">
        <v>0.15</v>
      </c>
      <c r="K478" s="149">
        <v>12984.6</v>
      </c>
      <c r="L478" s="149">
        <v>3481.67</v>
      </c>
      <c r="M478" s="5" t="s">
        <v>1126</v>
      </c>
      <c r="N478" s="5" t="s">
        <v>1304</v>
      </c>
      <c r="O478" s="5" t="s">
        <v>1305</v>
      </c>
      <c r="P478" s="5" t="s">
        <v>1348</v>
      </c>
      <c r="Q478" s="5" t="s">
        <v>1184</v>
      </c>
      <c r="R478" s="151">
        <v>1</v>
      </c>
      <c r="S478" s="143"/>
    </row>
    <row r="479" spans="1:19" x14ac:dyDescent="0.25">
      <c r="A479" s="5" t="s">
        <v>2762</v>
      </c>
      <c r="B479" s="147">
        <v>45823</v>
      </c>
      <c r="C479" s="5" t="s">
        <v>2763</v>
      </c>
      <c r="D479" s="5" t="s">
        <v>2764</v>
      </c>
      <c r="E479" s="5" t="s">
        <v>1310</v>
      </c>
      <c r="F479" s="5" t="s">
        <v>1311</v>
      </c>
      <c r="G479" s="5" t="s">
        <v>1312</v>
      </c>
      <c r="H479" s="148">
        <v>5</v>
      </c>
      <c r="I479" s="149">
        <v>14918</v>
      </c>
      <c r="J479" s="150">
        <v>0</v>
      </c>
      <c r="K479" s="149">
        <v>74590</v>
      </c>
      <c r="L479" s="149">
        <v>20310.45</v>
      </c>
      <c r="M479" s="5" t="s">
        <v>1344</v>
      </c>
      <c r="N479" s="5" t="s">
        <v>1304</v>
      </c>
      <c r="O479" s="5" t="s">
        <v>1305</v>
      </c>
      <c r="P479" s="5" t="s">
        <v>1299</v>
      </c>
      <c r="Q479" s="5" t="s">
        <v>1306</v>
      </c>
      <c r="R479" s="151">
        <v>2</v>
      </c>
      <c r="S479" s="143"/>
    </row>
    <row r="480" spans="1:19" x14ac:dyDescent="0.25">
      <c r="A480" s="5" t="s">
        <v>2765</v>
      </c>
      <c r="B480" s="147">
        <v>45964</v>
      </c>
      <c r="C480" s="5" t="s">
        <v>2766</v>
      </c>
      <c r="D480" s="5" t="s">
        <v>2767</v>
      </c>
      <c r="E480" s="5" t="s">
        <v>1359</v>
      </c>
      <c r="F480" s="5" t="s">
        <v>1360</v>
      </c>
      <c r="G480" s="5" t="s">
        <v>1361</v>
      </c>
      <c r="H480" s="148">
        <v>4</v>
      </c>
      <c r="I480" s="149">
        <v>4350</v>
      </c>
      <c r="J480" s="150">
        <v>0.1</v>
      </c>
      <c r="K480" s="149">
        <v>15660</v>
      </c>
      <c r="L480" s="149">
        <v>2732.28</v>
      </c>
      <c r="M480" s="5" t="s">
        <v>1130</v>
      </c>
      <c r="N480" s="5" t="s">
        <v>1304</v>
      </c>
      <c r="O480" s="5" t="s">
        <v>1305</v>
      </c>
      <c r="P480" s="5" t="s">
        <v>1348</v>
      </c>
      <c r="Q480" s="5" t="s">
        <v>1306</v>
      </c>
      <c r="R480" s="151">
        <v>2</v>
      </c>
      <c r="S480" s="143"/>
    </row>
    <row r="481" spans="1:19" x14ac:dyDescent="0.25">
      <c r="A481" s="5" t="s">
        <v>2768</v>
      </c>
      <c r="B481" s="147">
        <v>45996</v>
      </c>
      <c r="C481" s="5" t="s">
        <v>2769</v>
      </c>
      <c r="D481" s="5" t="s">
        <v>2770</v>
      </c>
      <c r="E481" s="5" t="s">
        <v>1295</v>
      </c>
      <c r="F481" s="5" t="s">
        <v>985</v>
      </c>
      <c r="G481" s="5" t="s">
        <v>1296</v>
      </c>
      <c r="H481" s="148">
        <v>5</v>
      </c>
      <c r="I481" s="149">
        <v>4742</v>
      </c>
      <c r="J481" s="150">
        <v>0.05</v>
      </c>
      <c r="K481" s="149">
        <v>22524.5</v>
      </c>
      <c r="L481" s="149">
        <v>3885.85</v>
      </c>
      <c r="M481" s="5" t="s">
        <v>1126</v>
      </c>
      <c r="N481" s="5" t="s">
        <v>1304</v>
      </c>
      <c r="O481" s="5" t="s">
        <v>1305</v>
      </c>
      <c r="P481" s="5" t="s">
        <v>1299</v>
      </c>
      <c r="Q481" s="5" t="s">
        <v>1306</v>
      </c>
      <c r="R481" s="151">
        <v>5</v>
      </c>
      <c r="S481" s="143"/>
    </row>
    <row r="482" spans="1:19" x14ac:dyDescent="0.25">
      <c r="A482" s="5" t="s">
        <v>2771</v>
      </c>
      <c r="B482" s="147">
        <v>45679</v>
      </c>
      <c r="C482" s="5" t="s">
        <v>2772</v>
      </c>
      <c r="D482" s="5" t="s">
        <v>2773</v>
      </c>
      <c r="E482" s="5" t="s">
        <v>1370</v>
      </c>
      <c r="F482" s="5" t="s">
        <v>1160</v>
      </c>
      <c r="G482" s="5" t="s">
        <v>1371</v>
      </c>
      <c r="H482" s="148">
        <v>2</v>
      </c>
      <c r="I482" s="149">
        <v>4802</v>
      </c>
      <c r="J482" s="150">
        <v>0.1</v>
      </c>
      <c r="K482" s="149">
        <v>8643.6</v>
      </c>
      <c r="L482" s="149">
        <v>2159.6</v>
      </c>
      <c r="M482" s="5" t="s">
        <v>1381</v>
      </c>
      <c r="N482" s="5" t="s">
        <v>1362</v>
      </c>
      <c r="O482" s="5" t="s">
        <v>1363</v>
      </c>
      <c r="P482" s="5" t="s">
        <v>1327</v>
      </c>
      <c r="Q482" s="5" t="s">
        <v>1300</v>
      </c>
      <c r="R482" s="151">
        <v>1</v>
      </c>
      <c r="S482" s="143"/>
    </row>
    <row r="483" spans="1:19" x14ac:dyDescent="0.25">
      <c r="A483" s="5" t="s">
        <v>2774</v>
      </c>
      <c r="B483" s="147">
        <v>45723</v>
      </c>
      <c r="C483" s="5" t="s">
        <v>2775</v>
      </c>
      <c r="D483" s="5" t="s">
        <v>2776</v>
      </c>
      <c r="E483" s="5" t="s">
        <v>1318</v>
      </c>
      <c r="F483" s="5" t="s">
        <v>1319</v>
      </c>
      <c r="G483" s="5" t="s">
        <v>1320</v>
      </c>
      <c r="H483" s="148">
        <v>1</v>
      </c>
      <c r="I483" s="149">
        <v>8290</v>
      </c>
      <c r="J483" s="150">
        <v>0.15</v>
      </c>
      <c r="K483" s="149">
        <v>7046.5</v>
      </c>
      <c r="L483" s="149">
        <v>1828.69</v>
      </c>
      <c r="M483" s="5" t="s">
        <v>1344</v>
      </c>
      <c r="N483" s="5" t="s">
        <v>1304</v>
      </c>
      <c r="O483" s="5" t="s">
        <v>1305</v>
      </c>
      <c r="P483" s="5" t="s">
        <v>1348</v>
      </c>
      <c r="Q483" s="5" t="s">
        <v>1184</v>
      </c>
      <c r="R483" s="151">
        <v>1</v>
      </c>
      <c r="S483" s="143"/>
    </row>
    <row r="484" spans="1:19" x14ac:dyDescent="0.25">
      <c r="A484" s="5" t="s">
        <v>2777</v>
      </c>
      <c r="B484" s="147">
        <v>45840</v>
      </c>
      <c r="C484" s="5" t="s">
        <v>2778</v>
      </c>
      <c r="D484" s="5" t="s">
        <v>2779</v>
      </c>
      <c r="E484" s="5" t="s">
        <v>1370</v>
      </c>
      <c r="F484" s="5" t="s">
        <v>1160</v>
      </c>
      <c r="G484" s="5" t="s">
        <v>1371</v>
      </c>
      <c r="H484" s="148">
        <v>5</v>
      </c>
      <c r="I484" s="149">
        <v>1554</v>
      </c>
      <c r="J484" s="150">
        <v>0.1</v>
      </c>
      <c r="K484" s="149">
        <v>6993</v>
      </c>
      <c r="L484" s="149">
        <v>1043.81</v>
      </c>
      <c r="M484" s="5" t="s">
        <v>1126</v>
      </c>
      <c r="N484" s="5" t="s">
        <v>1352</v>
      </c>
      <c r="O484" s="5" t="s">
        <v>1352</v>
      </c>
      <c r="P484" s="5" t="s">
        <v>1327</v>
      </c>
      <c r="Q484" s="5" t="s">
        <v>1300</v>
      </c>
      <c r="R484" s="151">
        <v>4</v>
      </c>
      <c r="S484" s="143"/>
    </row>
    <row r="485" spans="1:19" x14ac:dyDescent="0.25">
      <c r="A485" s="5" t="s">
        <v>2780</v>
      </c>
      <c r="B485" s="147">
        <v>45876</v>
      </c>
      <c r="C485" s="5" t="s">
        <v>2781</v>
      </c>
      <c r="D485" s="5" t="s">
        <v>2782</v>
      </c>
      <c r="E485" s="5" t="s">
        <v>1318</v>
      </c>
      <c r="F485" s="5" t="s">
        <v>1319</v>
      </c>
      <c r="G485" s="5" t="s">
        <v>1320</v>
      </c>
      <c r="H485" s="148">
        <v>4</v>
      </c>
      <c r="I485" s="149">
        <v>9213</v>
      </c>
      <c r="J485" s="150">
        <v>0.1</v>
      </c>
      <c r="K485" s="149">
        <v>33166.800000000003</v>
      </c>
      <c r="L485" s="149">
        <v>6568.84</v>
      </c>
      <c r="M485" s="5" t="s">
        <v>1130</v>
      </c>
      <c r="N485" s="5" t="s">
        <v>1297</v>
      </c>
      <c r="O485" s="5" t="s">
        <v>1298</v>
      </c>
      <c r="P485" s="5" t="s">
        <v>1348</v>
      </c>
      <c r="Q485" s="5" t="s">
        <v>1184</v>
      </c>
      <c r="R485" s="151">
        <v>3</v>
      </c>
      <c r="S485" s="143"/>
    </row>
    <row r="486" spans="1:19" x14ac:dyDescent="0.25">
      <c r="A486" s="5" t="s">
        <v>2783</v>
      </c>
      <c r="B486" s="147">
        <v>45726</v>
      </c>
      <c r="C486" s="5" t="s">
        <v>2784</v>
      </c>
      <c r="D486" s="5" t="s">
        <v>2785</v>
      </c>
      <c r="E486" s="5" t="s">
        <v>1318</v>
      </c>
      <c r="F486" s="5" t="s">
        <v>1319</v>
      </c>
      <c r="G486" s="5" t="s">
        <v>1320</v>
      </c>
      <c r="H486" s="148">
        <v>5</v>
      </c>
      <c r="I486" s="149">
        <v>12792</v>
      </c>
      <c r="J486" s="150">
        <v>0.05</v>
      </c>
      <c r="K486" s="149">
        <v>60762</v>
      </c>
      <c r="L486" s="149">
        <v>14715.91</v>
      </c>
      <c r="M486" s="5" t="s">
        <v>1381</v>
      </c>
      <c r="N486" s="5" t="s">
        <v>1362</v>
      </c>
      <c r="O486" s="5" t="s">
        <v>1363</v>
      </c>
      <c r="P486" s="5" t="s">
        <v>1323</v>
      </c>
      <c r="Q486" s="5" t="s">
        <v>1300</v>
      </c>
      <c r="R486" s="151">
        <v>3</v>
      </c>
      <c r="S486" s="143"/>
    </row>
    <row r="487" spans="1:19" x14ac:dyDescent="0.25">
      <c r="A487" s="5" t="s">
        <v>2786</v>
      </c>
      <c r="B487" s="147">
        <v>45890</v>
      </c>
      <c r="C487" s="5" t="s">
        <v>2787</v>
      </c>
      <c r="D487" s="5" t="s">
        <v>2788</v>
      </c>
      <c r="E487" s="5" t="s">
        <v>1370</v>
      </c>
      <c r="F487" s="5" t="s">
        <v>1160</v>
      </c>
      <c r="G487" s="5" t="s">
        <v>1371</v>
      </c>
      <c r="H487" s="148">
        <v>1</v>
      </c>
      <c r="I487" s="149">
        <v>6796</v>
      </c>
      <c r="J487" s="150">
        <v>0</v>
      </c>
      <c r="K487" s="149">
        <v>6796</v>
      </c>
      <c r="L487" s="149">
        <v>1434.85</v>
      </c>
      <c r="M487" s="5" t="s">
        <v>1344</v>
      </c>
      <c r="N487" s="5" t="s">
        <v>1337</v>
      </c>
      <c r="O487" s="5" t="s">
        <v>1338</v>
      </c>
      <c r="P487" s="5" t="s">
        <v>1314</v>
      </c>
      <c r="Q487" s="5" t="s">
        <v>1306</v>
      </c>
      <c r="R487" s="151">
        <v>2</v>
      </c>
      <c r="S487" s="143"/>
    </row>
    <row r="488" spans="1:19" x14ac:dyDescent="0.25">
      <c r="A488" s="5" t="s">
        <v>2789</v>
      </c>
      <c r="B488" s="147">
        <v>45877</v>
      </c>
      <c r="C488" s="5" t="s">
        <v>2790</v>
      </c>
      <c r="D488" s="5" t="s">
        <v>2791</v>
      </c>
      <c r="E488" s="5" t="s">
        <v>1331</v>
      </c>
      <c r="F488" s="5" t="s">
        <v>988</v>
      </c>
      <c r="G488" s="5" t="s">
        <v>1332</v>
      </c>
      <c r="H488" s="148">
        <v>4</v>
      </c>
      <c r="I488" s="149">
        <v>12047</v>
      </c>
      <c r="J488" s="150">
        <v>0.2</v>
      </c>
      <c r="K488" s="149">
        <v>38550.400000000001</v>
      </c>
      <c r="L488" s="149">
        <v>5285.85</v>
      </c>
      <c r="M488" s="5" t="s">
        <v>1126</v>
      </c>
      <c r="N488" s="5" t="s">
        <v>1321</v>
      </c>
      <c r="O488" s="5" t="s">
        <v>1322</v>
      </c>
      <c r="P488" s="5" t="s">
        <v>1327</v>
      </c>
      <c r="Q488" s="5" t="s">
        <v>1300</v>
      </c>
      <c r="R488" s="151">
        <v>4</v>
      </c>
      <c r="S488" s="143"/>
    </row>
    <row r="489" spans="1:19" x14ac:dyDescent="0.25">
      <c r="A489" s="5" t="s">
        <v>2792</v>
      </c>
      <c r="B489" s="147">
        <v>45872</v>
      </c>
      <c r="C489" s="5" t="s">
        <v>2793</v>
      </c>
      <c r="D489" s="5" t="s">
        <v>2794</v>
      </c>
      <c r="E489" s="5" t="s">
        <v>1310</v>
      </c>
      <c r="F489" s="5" t="s">
        <v>1311</v>
      </c>
      <c r="G489" s="5" t="s">
        <v>1312</v>
      </c>
      <c r="H489" s="148">
        <v>5</v>
      </c>
      <c r="I489" s="149">
        <v>1988</v>
      </c>
      <c r="J489" s="150">
        <v>0.15</v>
      </c>
      <c r="K489" s="149">
        <v>8449</v>
      </c>
      <c r="L489" s="149">
        <v>2188.39</v>
      </c>
      <c r="M489" s="5" t="s">
        <v>1381</v>
      </c>
      <c r="N489" s="5" t="s">
        <v>1352</v>
      </c>
      <c r="O489" s="5" t="s">
        <v>1352</v>
      </c>
      <c r="P489" s="5" t="s">
        <v>1314</v>
      </c>
      <c r="Q489" s="5" t="s">
        <v>1300</v>
      </c>
      <c r="R489" s="151">
        <v>2</v>
      </c>
      <c r="S489" s="143"/>
    </row>
    <row r="490" spans="1:19" x14ac:dyDescent="0.25">
      <c r="A490" s="5" t="s">
        <v>2795</v>
      </c>
      <c r="B490" s="147">
        <v>45793</v>
      </c>
      <c r="C490" s="5" t="s">
        <v>2796</v>
      </c>
      <c r="D490" s="5" t="s">
        <v>2797</v>
      </c>
      <c r="E490" s="5" t="s">
        <v>1295</v>
      </c>
      <c r="F490" s="5" t="s">
        <v>985</v>
      </c>
      <c r="G490" s="5" t="s">
        <v>1296</v>
      </c>
      <c r="H490" s="148">
        <v>5</v>
      </c>
      <c r="I490" s="149">
        <v>13512</v>
      </c>
      <c r="J490" s="150">
        <v>0.05</v>
      </c>
      <c r="K490" s="149">
        <v>64182</v>
      </c>
      <c r="L490" s="149">
        <v>10963.29</v>
      </c>
      <c r="M490" s="5" t="s">
        <v>1130</v>
      </c>
      <c r="N490" s="5" t="s">
        <v>1297</v>
      </c>
      <c r="O490" s="5" t="s">
        <v>1298</v>
      </c>
      <c r="P490" s="5" t="s">
        <v>1327</v>
      </c>
      <c r="Q490" s="5" t="s">
        <v>1184</v>
      </c>
      <c r="R490" s="151">
        <v>1</v>
      </c>
      <c r="S490" s="143"/>
    </row>
    <row r="491" spans="1:19" x14ac:dyDescent="0.25">
      <c r="A491" s="5" t="s">
        <v>2798</v>
      </c>
      <c r="B491" s="147">
        <v>45850</v>
      </c>
      <c r="C491" s="5" t="s">
        <v>2799</v>
      </c>
      <c r="D491" s="5" t="s">
        <v>2800</v>
      </c>
      <c r="E491" s="5" t="s">
        <v>1359</v>
      </c>
      <c r="F491" s="5" t="s">
        <v>1360</v>
      </c>
      <c r="G491" s="5" t="s">
        <v>1361</v>
      </c>
      <c r="H491" s="148">
        <v>3</v>
      </c>
      <c r="I491" s="149">
        <v>9982</v>
      </c>
      <c r="J491" s="150">
        <v>0.1</v>
      </c>
      <c r="K491" s="149">
        <v>26951.4</v>
      </c>
      <c r="L491" s="149">
        <v>3646.33</v>
      </c>
      <c r="M491" s="5" t="s">
        <v>1126</v>
      </c>
      <c r="N491" s="5" t="s">
        <v>1304</v>
      </c>
      <c r="O491" s="5" t="s">
        <v>1305</v>
      </c>
      <c r="P491" s="5" t="s">
        <v>1348</v>
      </c>
      <c r="Q491" s="5" t="s">
        <v>1204</v>
      </c>
      <c r="R491" s="151">
        <v>1</v>
      </c>
      <c r="S491" s="143"/>
    </row>
    <row r="492" spans="1:19" x14ac:dyDescent="0.25">
      <c r="A492" s="5" t="s">
        <v>2801</v>
      </c>
      <c r="B492" s="147">
        <v>45853</v>
      </c>
      <c r="C492" s="5" t="s">
        <v>2802</v>
      </c>
      <c r="D492" s="5" t="s">
        <v>2803</v>
      </c>
      <c r="E492" s="5" t="s">
        <v>1359</v>
      </c>
      <c r="F492" s="5" t="s">
        <v>1360</v>
      </c>
      <c r="G492" s="5" t="s">
        <v>1361</v>
      </c>
      <c r="H492" s="148">
        <v>1</v>
      </c>
      <c r="I492" s="149">
        <v>9673</v>
      </c>
      <c r="J492" s="150">
        <v>0.2</v>
      </c>
      <c r="K492" s="149">
        <v>7738.4</v>
      </c>
      <c r="L492" s="149">
        <v>731.22</v>
      </c>
      <c r="M492" s="5" t="s">
        <v>1130</v>
      </c>
      <c r="N492" s="5" t="s">
        <v>1297</v>
      </c>
      <c r="O492" s="5" t="s">
        <v>1298</v>
      </c>
      <c r="P492" s="5" t="s">
        <v>1323</v>
      </c>
      <c r="Q492" s="5" t="s">
        <v>1204</v>
      </c>
      <c r="R492" s="151">
        <v>3</v>
      </c>
      <c r="S492" s="143"/>
    </row>
    <row r="493" spans="1:19" x14ac:dyDescent="0.25">
      <c r="A493" s="5" t="s">
        <v>2804</v>
      </c>
      <c r="B493" s="147">
        <v>45751</v>
      </c>
      <c r="C493" s="5" t="s">
        <v>2805</v>
      </c>
      <c r="D493" s="5" t="s">
        <v>2806</v>
      </c>
      <c r="E493" s="5" t="s">
        <v>1295</v>
      </c>
      <c r="F493" s="5" t="s">
        <v>985</v>
      </c>
      <c r="G493" s="5" t="s">
        <v>1296</v>
      </c>
      <c r="H493" s="148">
        <v>3</v>
      </c>
      <c r="I493" s="149">
        <v>9706</v>
      </c>
      <c r="J493" s="150">
        <v>0</v>
      </c>
      <c r="K493" s="149">
        <v>29118</v>
      </c>
      <c r="L493" s="149">
        <v>2501.29</v>
      </c>
      <c r="M493" s="5" t="s">
        <v>1344</v>
      </c>
      <c r="N493" s="5" t="s">
        <v>1362</v>
      </c>
      <c r="O493" s="5" t="s">
        <v>1363</v>
      </c>
      <c r="P493" s="5" t="s">
        <v>1299</v>
      </c>
      <c r="Q493" s="5" t="s">
        <v>1204</v>
      </c>
      <c r="R493" s="151">
        <v>5</v>
      </c>
      <c r="S493" s="143"/>
    </row>
    <row r="494" spans="1:19" x14ac:dyDescent="0.25">
      <c r="A494" s="5" t="s">
        <v>2807</v>
      </c>
      <c r="B494" s="147">
        <v>45824</v>
      </c>
      <c r="C494" s="5" t="s">
        <v>2808</v>
      </c>
      <c r="D494" s="5" t="s">
        <v>2809</v>
      </c>
      <c r="E494" s="5" t="s">
        <v>1331</v>
      </c>
      <c r="F494" s="5" t="s">
        <v>988</v>
      </c>
      <c r="G494" s="5" t="s">
        <v>1332</v>
      </c>
      <c r="H494" s="148">
        <v>4</v>
      </c>
      <c r="I494" s="149">
        <v>3243</v>
      </c>
      <c r="J494" s="150">
        <v>0.1</v>
      </c>
      <c r="K494" s="149">
        <v>11674.8</v>
      </c>
      <c r="L494" s="149">
        <v>1472.2</v>
      </c>
      <c r="M494" s="5" t="s">
        <v>1130</v>
      </c>
      <c r="N494" s="5" t="s">
        <v>1321</v>
      </c>
      <c r="O494" s="5" t="s">
        <v>1322</v>
      </c>
      <c r="P494" s="5" t="s">
        <v>1348</v>
      </c>
      <c r="Q494" s="5" t="s">
        <v>1204</v>
      </c>
      <c r="R494" s="151">
        <v>4</v>
      </c>
      <c r="S494" s="143"/>
    </row>
    <row r="495" spans="1:19" x14ac:dyDescent="0.25">
      <c r="A495" s="5" t="s">
        <v>2810</v>
      </c>
      <c r="B495" s="147">
        <v>45842</v>
      </c>
      <c r="C495" s="5" t="s">
        <v>2811</v>
      </c>
      <c r="D495" s="5" t="s">
        <v>2812</v>
      </c>
      <c r="E495" s="5" t="s">
        <v>1295</v>
      </c>
      <c r="F495" s="5" t="s">
        <v>985</v>
      </c>
      <c r="G495" s="5" t="s">
        <v>1296</v>
      </c>
      <c r="H495" s="148">
        <v>3</v>
      </c>
      <c r="I495" s="149">
        <v>941</v>
      </c>
      <c r="J495" s="150">
        <v>0.2</v>
      </c>
      <c r="K495" s="149">
        <v>2258.4</v>
      </c>
      <c r="L495" s="149">
        <v>516.47</v>
      </c>
      <c r="M495" s="5" t="s">
        <v>1130</v>
      </c>
      <c r="N495" s="5" t="s">
        <v>1337</v>
      </c>
      <c r="O495" s="5" t="s">
        <v>1338</v>
      </c>
      <c r="P495" s="5" t="s">
        <v>1327</v>
      </c>
      <c r="Q495" s="5" t="s">
        <v>1184</v>
      </c>
      <c r="R495" s="151">
        <v>2</v>
      </c>
      <c r="S495" s="143"/>
    </row>
    <row r="496" spans="1:19" x14ac:dyDescent="0.25">
      <c r="A496" s="5" t="s">
        <v>2813</v>
      </c>
      <c r="B496" s="147">
        <v>45978</v>
      </c>
      <c r="C496" s="5" t="s">
        <v>2814</v>
      </c>
      <c r="D496" s="5" t="s">
        <v>2815</v>
      </c>
      <c r="E496" s="5" t="s">
        <v>1295</v>
      </c>
      <c r="F496" s="5" t="s">
        <v>985</v>
      </c>
      <c r="G496" s="5" t="s">
        <v>1296</v>
      </c>
      <c r="H496" s="148">
        <v>3</v>
      </c>
      <c r="I496" s="149">
        <v>6638</v>
      </c>
      <c r="J496" s="150">
        <v>0.2</v>
      </c>
      <c r="K496" s="149">
        <v>15931.2</v>
      </c>
      <c r="L496" s="149">
        <v>3521.82</v>
      </c>
      <c r="M496" s="5" t="s">
        <v>1126</v>
      </c>
      <c r="N496" s="5" t="s">
        <v>1352</v>
      </c>
      <c r="O496" s="5" t="s">
        <v>1352</v>
      </c>
      <c r="P496" s="5" t="s">
        <v>1314</v>
      </c>
      <c r="Q496" s="5" t="s">
        <v>1204</v>
      </c>
      <c r="R496" s="151">
        <v>3</v>
      </c>
      <c r="S496" s="143"/>
    </row>
    <row r="497" spans="1:19" x14ac:dyDescent="0.25">
      <c r="A497" s="5" t="s">
        <v>2816</v>
      </c>
      <c r="B497" s="147">
        <v>45815</v>
      </c>
      <c r="C497" s="5" t="s">
        <v>2817</v>
      </c>
      <c r="D497" s="5" t="s">
        <v>2818</v>
      </c>
      <c r="E497" s="5" t="s">
        <v>1359</v>
      </c>
      <c r="F497" s="5" t="s">
        <v>1360</v>
      </c>
      <c r="G497" s="5" t="s">
        <v>1361</v>
      </c>
      <c r="H497" s="148">
        <v>1</v>
      </c>
      <c r="I497" s="149">
        <v>5242</v>
      </c>
      <c r="J497" s="150">
        <v>0.1</v>
      </c>
      <c r="K497" s="149">
        <v>4717.8</v>
      </c>
      <c r="L497" s="149">
        <v>967.71</v>
      </c>
      <c r="M497" s="5" t="s">
        <v>1126</v>
      </c>
      <c r="N497" s="5" t="s">
        <v>1321</v>
      </c>
      <c r="O497" s="5" t="s">
        <v>1322</v>
      </c>
      <c r="P497" s="5" t="s">
        <v>1327</v>
      </c>
      <c r="Q497" s="5" t="s">
        <v>1184</v>
      </c>
      <c r="R497" s="151">
        <v>1</v>
      </c>
      <c r="S497" s="143"/>
    </row>
    <row r="498" spans="1:19" x14ac:dyDescent="0.25">
      <c r="A498" s="5" t="s">
        <v>2819</v>
      </c>
      <c r="B498" s="147">
        <v>45754</v>
      </c>
      <c r="C498" s="5" t="s">
        <v>2820</v>
      </c>
      <c r="D498" s="5" t="s">
        <v>2821</v>
      </c>
      <c r="E498" s="5" t="s">
        <v>1318</v>
      </c>
      <c r="F498" s="5" t="s">
        <v>1319</v>
      </c>
      <c r="G498" s="5" t="s">
        <v>1320</v>
      </c>
      <c r="H498" s="148">
        <v>3</v>
      </c>
      <c r="I498" s="149">
        <v>1778</v>
      </c>
      <c r="J498" s="150">
        <v>0</v>
      </c>
      <c r="K498" s="149">
        <v>5334</v>
      </c>
      <c r="L498" s="149">
        <v>569.04999999999995</v>
      </c>
      <c r="M498" s="5" t="s">
        <v>1313</v>
      </c>
      <c r="N498" s="5" t="s">
        <v>1362</v>
      </c>
      <c r="O498" s="5" t="s">
        <v>1363</v>
      </c>
      <c r="P498" s="5" t="s">
        <v>1327</v>
      </c>
      <c r="Q498" s="5" t="s">
        <v>1184</v>
      </c>
      <c r="R498" s="151">
        <v>1</v>
      </c>
      <c r="S498" s="143"/>
    </row>
    <row r="499" spans="1:19" x14ac:dyDescent="0.25">
      <c r="A499" s="5" t="s">
        <v>2822</v>
      </c>
      <c r="B499" s="147">
        <v>45905</v>
      </c>
      <c r="C499" s="5" t="s">
        <v>2823</v>
      </c>
      <c r="D499" s="5" t="s">
        <v>2824</v>
      </c>
      <c r="E499" s="5" t="s">
        <v>1295</v>
      </c>
      <c r="F499" s="5" t="s">
        <v>985</v>
      </c>
      <c r="G499" s="5" t="s">
        <v>1296</v>
      </c>
      <c r="H499" s="148">
        <v>1</v>
      </c>
      <c r="I499" s="149">
        <v>13110</v>
      </c>
      <c r="J499" s="150">
        <v>0.05</v>
      </c>
      <c r="K499" s="149">
        <v>12454.5</v>
      </c>
      <c r="L499" s="149">
        <v>1589.86</v>
      </c>
      <c r="M499" s="5" t="s">
        <v>1126</v>
      </c>
      <c r="N499" s="5" t="s">
        <v>1362</v>
      </c>
      <c r="O499" s="5" t="s">
        <v>1363</v>
      </c>
      <c r="P499" s="5" t="s">
        <v>1327</v>
      </c>
      <c r="Q499" s="5" t="s">
        <v>1300</v>
      </c>
      <c r="R499" s="151">
        <v>3</v>
      </c>
      <c r="S499" s="143"/>
    </row>
    <row r="500" spans="1:19" x14ac:dyDescent="0.25">
      <c r="A500" s="5" t="s">
        <v>2825</v>
      </c>
      <c r="B500" s="147">
        <v>45832</v>
      </c>
      <c r="C500" s="5" t="s">
        <v>2826</v>
      </c>
      <c r="D500" s="5" t="s">
        <v>2827</v>
      </c>
      <c r="E500" s="5" t="s">
        <v>1318</v>
      </c>
      <c r="F500" s="5" t="s">
        <v>1319</v>
      </c>
      <c r="G500" s="5" t="s">
        <v>1320</v>
      </c>
      <c r="H500" s="148">
        <v>1</v>
      </c>
      <c r="I500" s="149">
        <v>6277</v>
      </c>
      <c r="J500" s="150">
        <v>0.15</v>
      </c>
      <c r="K500" s="149">
        <v>5335.45</v>
      </c>
      <c r="L500" s="149">
        <v>1354.11</v>
      </c>
      <c r="M500" s="5" t="s">
        <v>1344</v>
      </c>
      <c r="N500" s="5" t="s">
        <v>1304</v>
      </c>
      <c r="O500" s="5" t="s">
        <v>1305</v>
      </c>
      <c r="P500" s="5" t="s">
        <v>1299</v>
      </c>
      <c r="Q500" s="5" t="s">
        <v>1300</v>
      </c>
      <c r="R500" s="151">
        <v>5</v>
      </c>
      <c r="S500" s="143"/>
    </row>
    <row r="501" spans="1:19" x14ac:dyDescent="0.25">
      <c r="A501" s="5" t="s">
        <v>2828</v>
      </c>
      <c r="B501" s="147">
        <v>45718</v>
      </c>
      <c r="C501" s="5" t="s">
        <v>2829</v>
      </c>
      <c r="D501" s="5" t="s">
        <v>2830</v>
      </c>
      <c r="E501" s="5" t="s">
        <v>1195</v>
      </c>
      <c r="F501" s="5" t="s">
        <v>988</v>
      </c>
      <c r="G501" s="5" t="s">
        <v>1336</v>
      </c>
      <c r="H501" s="148">
        <v>2</v>
      </c>
      <c r="I501" s="149">
        <v>2504</v>
      </c>
      <c r="J501" s="150">
        <v>0.2</v>
      </c>
      <c r="K501" s="149">
        <v>4006.4</v>
      </c>
      <c r="L501" s="149">
        <v>930.93</v>
      </c>
      <c r="M501" s="5" t="s">
        <v>1126</v>
      </c>
      <c r="N501" s="5" t="s">
        <v>1337</v>
      </c>
      <c r="O501" s="5" t="s">
        <v>1338</v>
      </c>
      <c r="P501" s="5" t="s">
        <v>1299</v>
      </c>
      <c r="Q501" s="5" t="s">
        <v>1184</v>
      </c>
      <c r="R501" s="151">
        <v>2</v>
      </c>
      <c r="S501" s="143"/>
    </row>
    <row r="502" spans="1:19" x14ac:dyDescent="0.25">
      <c r="A502" s="5" t="s">
        <v>2831</v>
      </c>
      <c r="B502" s="147">
        <v>45671</v>
      </c>
      <c r="C502" s="5" t="s">
        <v>2832</v>
      </c>
      <c r="D502" s="5" t="s">
        <v>2833</v>
      </c>
      <c r="E502" s="5" t="s">
        <v>1318</v>
      </c>
      <c r="F502" s="5" t="s">
        <v>1319</v>
      </c>
      <c r="G502" s="5" t="s">
        <v>1320</v>
      </c>
      <c r="H502" s="148">
        <v>5</v>
      </c>
      <c r="I502" s="149">
        <v>12980</v>
      </c>
      <c r="J502" s="150">
        <v>0</v>
      </c>
      <c r="K502" s="149">
        <v>64900</v>
      </c>
      <c r="L502" s="149">
        <v>17816.54</v>
      </c>
      <c r="M502" s="5" t="s">
        <v>1344</v>
      </c>
      <c r="N502" s="5" t="s">
        <v>1297</v>
      </c>
      <c r="O502" s="5" t="s">
        <v>1298</v>
      </c>
      <c r="P502" s="5" t="s">
        <v>1314</v>
      </c>
      <c r="Q502" s="5" t="s">
        <v>1204</v>
      </c>
      <c r="R502" s="151">
        <v>3</v>
      </c>
      <c r="S502" s="143"/>
    </row>
    <row r="503" spans="1:19" x14ac:dyDescent="0.25">
      <c r="A503" s="5" t="s">
        <v>2834</v>
      </c>
      <c r="B503" s="147">
        <v>45760</v>
      </c>
      <c r="C503" s="5" t="s">
        <v>2835</v>
      </c>
      <c r="D503" s="5" t="s">
        <v>2836</v>
      </c>
      <c r="E503" s="5" t="s">
        <v>1342</v>
      </c>
      <c r="F503" s="5" t="s">
        <v>988</v>
      </c>
      <c r="G503" s="5" t="s">
        <v>1343</v>
      </c>
      <c r="H503" s="148">
        <v>3</v>
      </c>
      <c r="I503" s="149">
        <v>4466</v>
      </c>
      <c r="J503" s="150">
        <v>0.15</v>
      </c>
      <c r="K503" s="149">
        <v>11388.3</v>
      </c>
      <c r="L503" s="149">
        <v>2856.96</v>
      </c>
      <c r="M503" s="5" t="s">
        <v>1344</v>
      </c>
      <c r="N503" s="5" t="s">
        <v>1362</v>
      </c>
      <c r="O503" s="5" t="s">
        <v>1363</v>
      </c>
      <c r="P503" s="5" t="s">
        <v>1327</v>
      </c>
      <c r="Q503" s="5" t="s">
        <v>1204</v>
      </c>
      <c r="R503" s="151">
        <v>2</v>
      </c>
      <c r="S503" s="143"/>
    </row>
    <row r="504" spans="1:19" x14ac:dyDescent="0.25">
      <c r="A504" s="5" t="s">
        <v>2837</v>
      </c>
      <c r="B504" s="147">
        <v>45951</v>
      </c>
      <c r="C504" s="5" t="s">
        <v>2838</v>
      </c>
      <c r="D504" s="5" t="s">
        <v>2839</v>
      </c>
      <c r="E504" s="5" t="s">
        <v>1331</v>
      </c>
      <c r="F504" s="5" t="s">
        <v>988</v>
      </c>
      <c r="G504" s="5" t="s">
        <v>1332</v>
      </c>
      <c r="H504" s="148">
        <v>1</v>
      </c>
      <c r="I504" s="149">
        <v>3749</v>
      </c>
      <c r="J504" s="150">
        <v>0</v>
      </c>
      <c r="K504" s="149">
        <v>3749</v>
      </c>
      <c r="L504" s="149">
        <v>1000.78</v>
      </c>
      <c r="M504" s="5" t="s">
        <v>1344</v>
      </c>
      <c r="N504" s="5" t="s">
        <v>1362</v>
      </c>
      <c r="O504" s="5" t="s">
        <v>1363</v>
      </c>
      <c r="P504" s="5" t="s">
        <v>1348</v>
      </c>
      <c r="Q504" s="5" t="s">
        <v>1300</v>
      </c>
      <c r="R504" s="151">
        <v>3</v>
      </c>
      <c r="S504" s="143"/>
    </row>
    <row r="505" spans="1:19" x14ac:dyDescent="0.25">
      <c r="A505" s="5" t="s">
        <v>2840</v>
      </c>
      <c r="B505" s="147">
        <v>45667</v>
      </c>
      <c r="C505" s="5" t="s">
        <v>2841</v>
      </c>
      <c r="D505" s="5" t="s">
        <v>2842</v>
      </c>
      <c r="E505" s="5" t="s">
        <v>1195</v>
      </c>
      <c r="F505" s="5" t="s">
        <v>988</v>
      </c>
      <c r="G505" s="5" t="s">
        <v>1336</v>
      </c>
      <c r="H505" s="148">
        <v>5</v>
      </c>
      <c r="I505" s="149">
        <v>7505</v>
      </c>
      <c r="J505" s="150">
        <v>0.1</v>
      </c>
      <c r="K505" s="149">
        <v>33772.5</v>
      </c>
      <c r="L505" s="149">
        <v>9468.3700000000008</v>
      </c>
      <c r="M505" s="5" t="s">
        <v>1344</v>
      </c>
      <c r="N505" s="5" t="s">
        <v>1304</v>
      </c>
      <c r="O505" s="5" t="s">
        <v>1305</v>
      </c>
      <c r="P505" s="5" t="s">
        <v>1327</v>
      </c>
      <c r="Q505" s="5" t="s">
        <v>1306</v>
      </c>
      <c r="R505" s="151">
        <v>3</v>
      </c>
      <c r="S505" s="143"/>
    </row>
    <row r="506" spans="1:19" x14ac:dyDescent="0.25">
      <c r="A506" s="5" t="s">
        <v>2843</v>
      </c>
      <c r="B506" s="147">
        <v>45905</v>
      </c>
      <c r="C506" s="5" t="s">
        <v>2844</v>
      </c>
      <c r="D506" s="5" t="s">
        <v>2845</v>
      </c>
      <c r="E506" s="5" t="s">
        <v>1359</v>
      </c>
      <c r="F506" s="5" t="s">
        <v>1360</v>
      </c>
      <c r="G506" s="5" t="s">
        <v>1361</v>
      </c>
      <c r="H506" s="148">
        <v>4</v>
      </c>
      <c r="I506" s="149">
        <v>11121</v>
      </c>
      <c r="J506" s="150">
        <v>0</v>
      </c>
      <c r="K506" s="149">
        <v>44484</v>
      </c>
      <c r="L506" s="149">
        <v>6973.91</v>
      </c>
      <c r="M506" s="5" t="s">
        <v>1344</v>
      </c>
      <c r="N506" s="5" t="s">
        <v>1321</v>
      </c>
      <c r="O506" s="5" t="s">
        <v>1322</v>
      </c>
      <c r="P506" s="5" t="s">
        <v>1323</v>
      </c>
      <c r="Q506" s="5" t="s">
        <v>1306</v>
      </c>
      <c r="R506" s="151">
        <v>3</v>
      </c>
      <c r="S506" s="143"/>
    </row>
    <row r="507" spans="1:19" x14ac:dyDescent="0.25">
      <c r="A507" s="5" t="s">
        <v>2846</v>
      </c>
      <c r="B507" s="147">
        <v>45861</v>
      </c>
      <c r="C507" s="5" t="s">
        <v>2847</v>
      </c>
      <c r="D507" s="5" t="s">
        <v>2848</v>
      </c>
      <c r="E507" s="5" t="s">
        <v>1310</v>
      </c>
      <c r="F507" s="5" t="s">
        <v>1311</v>
      </c>
      <c r="G507" s="5" t="s">
        <v>1312</v>
      </c>
      <c r="H507" s="148">
        <v>5</v>
      </c>
      <c r="I507" s="149">
        <v>1796</v>
      </c>
      <c r="J507" s="150">
        <v>0</v>
      </c>
      <c r="K507" s="149">
        <v>8980</v>
      </c>
      <c r="L507" s="149">
        <v>778.83</v>
      </c>
      <c r="M507" s="5" t="s">
        <v>1313</v>
      </c>
      <c r="N507" s="5" t="s">
        <v>1297</v>
      </c>
      <c r="O507" s="5" t="s">
        <v>1298</v>
      </c>
      <c r="P507" s="5" t="s">
        <v>1327</v>
      </c>
      <c r="Q507" s="5" t="s">
        <v>1184</v>
      </c>
      <c r="R507" s="151">
        <v>3</v>
      </c>
      <c r="S507" s="143"/>
    </row>
    <row r="508" spans="1:19" x14ac:dyDescent="0.25">
      <c r="A508" s="5" t="s">
        <v>2849</v>
      </c>
      <c r="B508" s="147">
        <v>45787</v>
      </c>
      <c r="C508" s="5" t="s">
        <v>2850</v>
      </c>
      <c r="D508" s="5" t="s">
        <v>2851</v>
      </c>
      <c r="E508" s="5" t="s">
        <v>1195</v>
      </c>
      <c r="F508" s="5" t="s">
        <v>988</v>
      </c>
      <c r="G508" s="5" t="s">
        <v>1336</v>
      </c>
      <c r="H508" s="148">
        <v>4</v>
      </c>
      <c r="I508" s="149">
        <v>6102</v>
      </c>
      <c r="J508" s="150">
        <v>0.1</v>
      </c>
      <c r="K508" s="149">
        <v>21967.200000000001</v>
      </c>
      <c r="L508" s="149">
        <v>4851.1899999999996</v>
      </c>
      <c r="M508" s="5" t="s">
        <v>1126</v>
      </c>
      <c r="N508" s="5" t="s">
        <v>1297</v>
      </c>
      <c r="O508" s="5" t="s">
        <v>1298</v>
      </c>
      <c r="P508" s="5" t="s">
        <v>1348</v>
      </c>
      <c r="Q508" s="5" t="s">
        <v>1306</v>
      </c>
      <c r="R508" s="151">
        <v>4</v>
      </c>
      <c r="S508" s="143"/>
    </row>
    <row r="509" spans="1:19" x14ac:dyDescent="0.25">
      <c r="A509" s="5" t="s">
        <v>2852</v>
      </c>
      <c r="B509" s="147">
        <v>45718</v>
      </c>
      <c r="C509" s="5" t="s">
        <v>2853</v>
      </c>
      <c r="D509" s="5" t="s">
        <v>2854</v>
      </c>
      <c r="E509" s="5" t="s">
        <v>1318</v>
      </c>
      <c r="F509" s="5" t="s">
        <v>1319</v>
      </c>
      <c r="G509" s="5" t="s">
        <v>1320</v>
      </c>
      <c r="H509" s="148">
        <v>4</v>
      </c>
      <c r="I509" s="149">
        <v>9023</v>
      </c>
      <c r="J509" s="150">
        <v>0</v>
      </c>
      <c r="K509" s="149">
        <v>36092</v>
      </c>
      <c r="L509" s="149">
        <v>9905.2800000000007</v>
      </c>
      <c r="M509" s="5" t="s">
        <v>1313</v>
      </c>
      <c r="N509" s="5" t="s">
        <v>1337</v>
      </c>
      <c r="O509" s="5" t="s">
        <v>1338</v>
      </c>
      <c r="P509" s="5" t="s">
        <v>1323</v>
      </c>
      <c r="Q509" s="5" t="s">
        <v>1184</v>
      </c>
      <c r="R509" s="151">
        <v>3</v>
      </c>
      <c r="S509" s="143"/>
    </row>
    <row r="510" spans="1:19" x14ac:dyDescent="0.25">
      <c r="A510" s="5" t="s">
        <v>2855</v>
      </c>
      <c r="B510" s="147">
        <v>45902</v>
      </c>
      <c r="C510" s="5" t="s">
        <v>2856</v>
      </c>
      <c r="D510" s="5" t="s">
        <v>2857</v>
      </c>
      <c r="E510" s="5" t="s">
        <v>1370</v>
      </c>
      <c r="F510" s="5" t="s">
        <v>1160</v>
      </c>
      <c r="G510" s="5" t="s">
        <v>1371</v>
      </c>
      <c r="H510" s="148">
        <v>2</v>
      </c>
      <c r="I510" s="149">
        <v>11363</v>
      </c>
      <c r="J510" s="150">
        <v>0.05</v>
      </c>
      <c r="K510" s="149">
        <v>21589.7</v>
      </c>
      <c r="L510" s="149">
        <v>4143.12</v>
      </c>
      <c r="M510" s="5" t="s">
        <v>1313</v>
      </c>
      <c r="N510" s="5" t="s">
        <v>1362</v>
      </c>
      <c r="O510" s="5" t="s">
        <v>1363</v>
      </c>
      <c r="P510" s="5" t="s">
        <v>1323</v>
      </c>
      <c r="Q510" s="5" t="s">
        <v>1204</v>
      </c>
      <c r="R510" s="151">
        <v>1</v>
      </c>
      <c r="S510" s="143"/>
    </row>
    <row r="511" spans="1:19" x14ac:dyDescent="0.25">
      <c r="A511" s="5" t="s">
        <v>2858</v>
      </c>
      <c r="B511" s="147">
        <v>45847</v>
      </c>
      <c r="C511" s="5" t="s">
        <v>2859</v>
      </c>
      <c r="D511" s="5" t="s">
        <v>2860</v>
      </c>
      <c r="E511" s="5" t="s">
        <v>1370</v>
      </c>
      <c r="F511" s="5" t="s">
        <v>1160</v>
      </c>
      <c r="G511" s="5" t="s">
        <v>1371</v>
      </c>
      <c r="H511" s="148">
        <v>4</v>
      </c>
      <c r="I511" s="149">
        <v>13628</v>
      </c>
      <c r="J511" s="150">
        <v>0.1</v>
      </c>
      <c r="K511" s="149">
        <v>49060.800000000003</v>
      </c>
      <c r="L511" s="149">
        <v>4627.1099999999997</v>
      </c>
      <c r="M511" s="5" t="s">
        <v>1344</v>
      </c>
      <c r="N511" s="5" t="s">
        <v>1362</v>
      </c>
      <c r="O511" s="5" t="s">
        <v>1363</v>
      </c>
      <c r="P511" s="5" t="s">
        <v>1299</v>
      </c>
      <c r="Q511" s="5" t="s">
        <v>1306</v>
      </c>
      <c r="R511" s="151">
        <v>1</v>
      </c>
      <c r="S511" s="143"/>
    </row>
    <row r="512" spans="1:19" x14ac:dyDescent="0.25">
      <c r="A512" s="5" t="s">
        <v>2861</v>
      </c>
      <c r="B512" s="147">
        <v>45665</v>
      </c>
      <c r="C512" s="5" t="s">
        <v>2862</v>
      </c>
      <c r="D512" s="5" t="s">
        <v>2863</v>
      </c>
      <c r="E512" s="5" t="s">
        <v>1295</v>
      </c>
      <c r="F512" s="5" t="s">
        <v>985</v>
      </c>
      <c r="G512" s="5" t="s">
        <v>1296</v>
      </c>
      <c r="H512" s="148">
        <v>5</v>
      </c>
      <c r="I512" s="149">
        <v>3138</v>
      </c>
      <c r="J512" s="150">
        <v>0.1</v>
      </c>
      <c r="K512" s="149">
        <v>14121</v>
      </c>
      <c r="L512" s="149">
        <v>3112.76</v>
      </c>
      <c r="M512" s="5" t="s">
        <v>1313</v>
      </c>
      <c r="N512" s="5" t="s">
        <v>1297</v>
      </c>
      <c r="O512" s="5" t="s">
        <v>1298</v>
      </c>
      <c r="P512" s="5" t="s">
        <v>1299</v>
      </c>
      <c r="Q512" s="5" t="s">
        <v>1184</v>
      </c>
      <c r="R512" s="151">
        <v>3</v>
      </c>
      <c r="S512" s="143"/>
    </row>
    <row r="513" spans="1:19" x14ac:dyDescent="0.25">
      <c r="A513" s="5" t="s">
        <v>2864</v>
      </c>
      <c r="B513" s="147">
        <v>45807</v>
      </c>
      <c r="C513" s="5" t="s">
        <v>2865</v>
      </c>
      <c r="D513" s="5" t="s">
        <v>2866</v>
      </c>
      <c r="E513" s="5" t="s">
        <v>1342</v>
      </c>
      <c r="F513" s="5" t="s">
        <v>988</v>
      </c>
      <c r="G513" s="5" t="s">
        <v>1343</v>
      </c>
      <c r="H513" s="148">
        <v>5</v>
      </c>
      <c r="I513" s="149">
        <v>979</v>
      </c>
      <c r="J513" s="150">
        <v>0</v>
      </c>
      <c r="K513" s="149">
        <v>4895</v>
      </c>
      <c r="L513" s="149">
        <v>681.16</v>
      </c>
      <c r="M513" s="5" t="s">
        <v>1344</v>
      </c>
      <c r="N513" s="5" t="s">
        <v>1321</v>
      </c>
      <c r="O513" s="5" t="s">
        <v>1322</v>
      </c>
      <c r="P513" s="5" t="s">
        <v>1314</v>
      </c>
      <c r="Q513" s="5" t="s">
        <v>1204</v>
      </c>
      <c r="R513" s="151">
        <v>1</v>
      </c>
      <c r="S513" s="143"/>
    </row>
    <row r="514" spans="1:19" x14ac:dyDescent="0.25">
      <c r="A514" s="5" t="s">
        <v>2867</v>
      </c>
      <c r="B514" s="147">
        <v>45762</v>
      </c>
      <c r="C514" s="5" t="s">
        <v>2868</v>
      </c>
      <c r="D514" s="5" t="s">
        <v>2869</v>
      </c>
      <c r="E514" s="5" t="s">
        <v>1342</v>
      </c>
      <c r="F514" s="5" t="s">
        <v>988</v>
      </c>
      <c r="G514" s="5" t="s">
        <v>1343</v>
      </c>
      <c r="H514" s="148">
        <v>2</v>
      </c>
      <c r="I514" s="149">
        <v>13473</v>
      </c>
      <c r="J514" s="150">
        <v>0.05</v>
      </c>
      <c r="K514" s="149">
        <v>25598.7</v>
      </c>
      <c r="L514" s="149">
        <v>2535.13</v>
      </c>
      <c r="M514" s="5" t="s">
        <v>1126</v>
      </c>
      <c r="N514" s="5" t="s">
        <v>1352</v>
      </c>
      <c r="O514" s="5" t="s">
        <v>1352</v>
      </c>
      <c r="P514" s="5" t="s">
        <v>1327</v>
      </c>
      <c r="Q514" s="5" t="s">
        <v>1184</v>
      </c>
      <c r="R514" s="151">
        <v>1</v>
      </c>
      <c r="S514" s="143"/>
    </row>
    <row r="515" spans="1:19" x14ac:dyDescent="0.25">
      <c r="A515" s="5" t="s">
        <v>2870</v>
      </c>
      <c r="B515" s="147">
        <v>45822</v>
      </c>
      <c r="C515" s="5" t="s">
        <v>2871</v>
      </c>
      <c r="D515" s="5" t="s">
        <v>2872</v>
      </c>
      <c r="E515" s="5" t="s">
        <v>1342</v>
      </c>
      <c r="F515" s="5" t="s">
        <v>988</v>
      </c>
      <c r="G515" s="5" t="s">
        <v>1343</v>
      </c>
      <c r="H515" s="148">
        <v>2</v>
      </c>
      <c r="I515" s="149">
        <v>12564</v>
      </c>
      <c r="J515" s="150">
        <v>0.1</v>
      </c>
      <c r="K515" s="149">
        <v>22615.200000000001</v>
      </c>
      <c r="L515" s="149">
        <v>4576.5</v>
      </c>
      <c r="M515" s="5" t="s">
        <v>1130</v>
      </c>
      <c r="N515" s="5" t="s">
        <v>1304</v>
      </c>
      <c r="O515" s="5" t="s">
        <v>1305</v>
      </c>
      <c r="P515" s="5" t="s">
        <v>1327</v>
      </c>
      <c r="Q515" s="5" t="s">
        <v>1300</v>
      </c>
      <c r="R515" s="151">
        <v>2</v>
      </c>
      <c r="S515" s="143"/>
    </row>
    <row r="516" spans="1:19" x14ac:dyDescent="0.25">
      <c r="A516" s="5" t="s">
        <v>2873</v>
      </c>
      <c r="B516" s="147">
        <v>45697</v>
      </c>
      <c r="C516" s="5" t="s">
        <v>2874</v>
      </c>
      <c r="D516" s="5" t="s">
        <v>2875</v>
      </c>
      <c r="E516" s="5" t="s">
        <v>1331</v>
      </c>
      <c r="F516" s="5" t="s">
        <v>988</v>
      </c>
      <c r="G516" s="5" t="s">
        <v>1332</v>
      </c>
      <c r="H516" s="148">
        <v>1</v>
      </c>
      <c r="I516" s="149">
        <v>13267</v>
      </c>
      <c r="J516" s="150">
        <v>0.2</v>
      </c>
      <c r="K516" s="149">
        <v>10613.6</v>
      </c>
      <c r="L516" s="149">
        <v>1055.99</v>
      </c>
      <c r="M516" s="5" t="s">
        <v>1313</v>
      </c>
      <c r="N516" s="5" t="s">
        <v>1304</v>
      </c>
      <c r="O516" s="5" t="s">
        <v>1305</v>
      </c>
      <c r="P516" s="5" t="s">
        <v>1323</v>
      </c>
      <c r="Q516" s="5" t="s">
        <v>1184</v>
      </c>
      <c r="R516" s="151">
        <v>1</v>
      </c>
      <c r="S516" s="143"/>
    </row>
    <row r="517" spans="1:19" x14ac:dyDescent="0.25">
      <c r="A517" s="5" t="s">
        <v>2876</v>
      </c>
      <c r="B517" s="147">
        <v>46006</v>
      </c>
      <c r="C517" s="5" t="s">
        <v>2877</v>
      </c>
      <c r="D517" s="5" t="s">
        <v>2878</v>
      </c>
      <c r="E517" s="5" t="s">
        <v>1342</v>
      </c>
      <c r="F517" s="5" t="s">
        <v>988</v>
      </c>
      <c r="G517" s="5" t="s">
        <v>1343</v>
      </c>
      <c r="H517" s="148">
        <v>2</v>
      </c>
      <c r="I517" s="149">
        <v>14930</v>
      </c>
      <c r="J517" s="150">
        <v>0.2</v>
      </c>
      <c r="K517" s="149">
        <v>23888</v>
      </c>
      <c r="L517" s="149">
        <v>5921.8</v>
      </c>
      <c r="M517" s="5" t="s">
        <v>1126</v>
      </c>
      <c r="N517" s="5" t="s">
        <v>1352</v>
      </c>
      <c r="O517" s="5" t="s">
        <v>1352</v>
      </c>
      <c r="P517" s="5" t="s">
        <v>1323</v>
      </c>
      <c r="Q517" s="5" t="s">
        <v>1204</v>
      </c>
      <c r="R517" s="151">
        <v>4</v>
      </c>
      <c r="S517" s="143"/>
    </row>
    <row r="518" spans="1:19" x14ac:dyDescent="0.25">
      <c r="A518" s="5" t="s">
        <v>2879</v>
      </c>
      <c r="B518" s="147">
        <v>45791</v>
      </c>
      <c r="C518" s="5" t="s">
        <v>2880</v>
      </c>
      <c r="D518" s="5" t="s">
        <v>2881</v>
      </c>
      <c r="E518" s="5" t="s">
        <v>1359</v>
      </c>
      <c r="F518" s="5" t="s">
        <v>1360</v>
      </c>
      <c r="G518" s="5" t="s">
        <v>1361</v>
      </c>
      <c r="H518" s="148">
        <v>5</v>
      </c>
      <c r="I518" s="149">
        <v>13848</v>
      </c>
      <c r="J518" s="150">
        <v>0.15</v>
      </c>
      <c r="K518" s="149">
        <v>58854</v>
      </c>
      <c r="L518" s="149">
        <v>10751.45</v>
      </c>
      <c r="M518" s="5" t="s">
        <v>1130</v>
      </c>
      <c r="N518" s="5" t="s">
        <v>1362</v>
      </c>
      <c r="O518" s="5" t="s">
        <v>1363</v>
      </c>
      <c r="P518" s="5" t="s">
        <v>1327</v>
      </c>
      <c r="Q518" s="5" t="s">
        <v>1204</v>
      </c>
      <c r="R518" s="151">
        <v>3</v>
      </c>
      <c r="S518" s="143"/>
    </row>
    <row r="519" spans="1:19" x14ac:dyDescent="0.25">
      <c r="A519" s="5" t="s">
        <v>2882</v>
      </c>
      <c r="B519" s="147">
        <v>45694</v>
      </c>
      <c r="C519" s="5" t="s">
        <v>2883</v>
      </c>
      <c r="D519" s="5" t="s">
        <v>2884</v>
      </c>
      <c r="E519" s="5" t="s">
        <v>1295</v>
      </c>
      <c r="F519" s="5" t="s">
        <v>985</v>
      </c>
      <c r="G519" s="5" t="s">
        <v>1296</v>
      </c>
      <c r="H519" s="148">
        <v>5</v>
      </c>
      <c r="I519" s="149">
        <v>11667</v>
      </c>
      <c r="J519" s="150">
        <v>0.15</v>
      </c>
      <c r="K519" s="149">
        <v>49584.75</v>
      </c>
      <c r="L519" s="149">
        <v>6131.72</v>
      </c>
      <c r="M519" s="5" t="s">
        <v>1381</v>
      </c>
      <c r="N519" s="5" t="s">
        <v>1304</v>
      </c>
      <c r="O519" s="5" t="s">
        <v>1305</v>
      </c>
      <c r="P519" s="5" t="s">
        <v>1348</v>
      </c>
      <c r="Q519" s="5" t="s">
        <v>1300</v>
      </c>
      <c r="R519" s="151">
        <v>3</v>
      </c>
      <c r="S519" s="143"/>
    </row>
    <row r="520" spans="1:19" x14ac:dyDescent="0.25">
      <c r="A520" s="5" t="s">
        <v>2885</v>
      </c>
      <c r="B520" s="147">
        <v>45733</v>
      </c>
      <c r="C520" s="5" t="s">
        <v>2886</v>
      </c>
      <c r="D520" s="5" t="s">
        <v>2887</v>
      </c>
      <c r="E520" s="5" t="s">
        <v>1195</v>
      </c>
      <c r="F520" s="5" t="s">
        <v>988</v>
      </c>
      <c r="G520" s="5" t="s">
        <v>1336</v>
      </c>
      <c r="H520" s="148">
        <v>1</v>
      </c>
      <c r="I520" s="149">
        <v>12019</v>
      </c>
      <c r="J520" s="150">
        <v>0.15</v>
      </c>
      <c r="K520" s="149">
        <v>10216.15</v>
      </c>
      <c r="L520" s="149">
        <v>2853.34</v>
      </c>
      <c r="M520" s="5" t="s">
        <v>1126</v>
      </c>
      <c r="N520" s="5" t="s">
        <v>1362</v>
      </c>
      <c r="O520" s="5" t="s">
        <v>1363</v>
      </c>
      <c r="P520" s="5" t="s">
        <v>1348</v>
      </c>
      <c r="Q520" s="5" t="s">
        <v>1306</v>
      </c>
      <c r="R520" s="151">
        <v>3</v>
      </c>
      <c r="S520" s="143"/>
    </row>
    <row r="521" spans="1:19" x14ac:dyDescent="0.25">
      <c r="A521" s="5" t="s">
        <v>2888</v>
      </c>
      <c r="B521" s="147">
        <v>45787</v>
      </c>
      <c r="C521" s="5" t="s">
        <v>2889</v>
      </c>
      <c r="D521" s="5" t="s">
        <v>2890</v>
      </c>
      <c r="E521" s="5" t="s">
        <v>1195</v>
      </c>
      <c r="F521" s="5" t="s">
        <v>988</v>
      </c>
      <c r="G521" s="5" t="s">
        <v>1336</v>
      </c>
      <c r="H521" s="148">
        <v>2</v>
      </c>
      <c r="I521" s="149">
        <v>9478</v>
      </c>
      <c r="J521" s="150">
        <v>0.05</v>
      </c>
      <c r="K521" s="149">
        <v>18008.2</v>
      </c>
      <c r="L521" s="149">
        <v>5069.17</v>
      </c>
      <c r="M521" s="5" t="s">
        <v>1381</v>
      </c>
      <c r="N521" s="5" t="s">
        <v>1321</v>
      </c>
      <c r="O521" s="5" t="s">
        <v>1322</v>
      </c>
      <c r="P521" s="5" t="s">
        <v>1348</v>
      </c>
      <c r="Q521" s="5" t="s">
        <v>1300</v>
      </c>
      <c r="R521" s="151">
        <v>1</v>
      </c>
      <c r="S521" s="143"/>
    </row>
    <row r="522" spans="1:19" x14ac:dyDescent="0.25">
      <c r="A522" s="5" t="s">
        <v>2891</v>
      </c>
      <c r="B522" s="147">
        <v>45786</v>
      </c>
      <c r="C522" s="5" t="s">
        <v>2892</v>
      </c>
      <c r="D522" s="5" t="s">
        <v>2893</v>
      </c>
      <c r="E522" s="5" t="s">
        <v>1310</v>
      </c>
      <c r="F522" s="5" t="s">
        <v>1311</v>
      </c>
      <c r="G522" s="5" t="s">
        <v>1312</v>
      </c>
      <c r="H522" s="148">
        <v>2</v>
      </c>
      <c r="I522" s="149">
        <v>14026</v>
      </c>
      <c r="J522" s="150">
        <v>0.05</v>
      </c>
      <c r="K522" s="149">
        <v>26649.4</v>
      </c>
      <c r="L522" s="149">
        <v>6994.21</v>
      </c>
      <c r="M522" s="5" t="s">
        <v>1130</v>
      </c>
      <c r="N522" s="5" t="s">
        <v>1337</v>
      </c>
      <c r="O522" s="5" t="s">
        <v>1338</v>
      </c>
      <c r="P522" s="5" t="s">
        <v>1314</v>
      </c>
      <c r="Q522" s="5" t="s">
        <v>1204</v>
      </c>
      <c r="R522" s="151">
        <v>3</v>
      </c>
      <c r="S522" s="143"/>
    </row>
    <row r="523" spans="1:19" x14ac:dyDescent="0.25">
      <c r="A523" s="5" t="s">
        <v>2894</v>
      </c>
      <c r="B523" s="147">
        <v>45901</v>
      </c>
      <c r="C523" s="5" t="s">
        <v>2895</v>
      </c>
      <c r="D523" s="5" t="s">
        <v>2896</v>
      </c>
      <c r="E523" s="5" t="s">
        <v>1342</v>
      </c>
      <c r="F523" s="5" t="s">
        <v>988</v>
      </c>
      <c r="G523" s="5" t="s">
        <v>1343</v>
      </c>
      <c r="H523" s="148">
        <v>2</v>
      </c>
      <c r="I523" s="149">
        <v>13567</v>
      </c>
      <c r="J523" s="150">
        <v>0.15</v>
      </c>
      <c r="K523" s="149">
        <v>23063.9</v>
      </c>
      <c r="L523" s="149">
        <v>3991.37</v>
      </c>
      <c r="M523" s="5" t="s">
        <v>1313</v>
      </c>
      <c r="N523" s="5" t="s">
        <v>1362</v>
      </c>
      <c r="O523" s="5" t="s">
        <v>1363</v>
      </c>
      <c r="P523" s="5" t="s">
        <v>1314</v>
      </c>
      <c r="Q523" s="5" t="s">
        <v>1184</v>
      </c>
      <c r="R523" s="151">
        <v>3</v>
      </c>
      <c r="S523" s="143"/>
    </row>
    <row r="524" spans="1:19" x14ac:dyDescent="0.25">
      <c r="A524" s="5" t="s">
        <v>2897</v>
      </c>
      <c r="B524" s="147">
        <v>45975</v>
      </c>
      <c r="C524" s="5" t="s">
        <v>2898</v>
      </c>
      <c r="D524" s="5" t="s">
        <v>2899</v>
      </c>
      <c r="E524" s="5" t="s">
        <v>1359</v>
      </c>
      <c r="F524" s="5" t="s">
        <v>1360</v>
      </c>
      <c r="G524" s="5" t="s">
        <v>1361</v>
      </c>
      <c r="H524" s="148">
        <v>1</v>
      </c>
      <c r="I524" s="149">
        <v>5025</v>
      </c>
      <c r="J524" s="150">
        <v>0.05</v>
      </c>
      <c r="K524" s="149">
        <v>4773.75</v>
      </c>
      <c r="L524" s="149">
        <v>1401.67</v>
      </c>
      <c r="M524" s="5" t="s">
        <v>1313</v>
      </c>
      <c r="N524" s="5" t="s">
        <v>1337</v>
      </c>
      <c r="O524" s="5" t="s">
        <v>1338</v>
      </c>
      <c r="P524" s="5" t="s">
        <v>1299</v>
      </c>
      <c r="Q524" s="5" t="s">
        <v>1184</v>
      </c>
      <c r="R524" s="151">
        <v>5</v>
      </c>
      <c r="S524" s="143"/>
    </row>
    <row r="525" spans="1:19" x14ac:dyDescent="0.25">
      <c r="A525" s="5" t="s">
        <v>2900</v>
      </c>
      <c r="B525" s="147">
        <v>45927</v>
      </c>
      <c r="C525" s="5" t="s">
        <v>2901</v>
      </c>
      <c r="D525" s="5" t="s">
        <v>2902</v>
      </c>
      <c r="E525" s="5" t="s">
        <v>1318</v>
      </c>
      <c r="F525" s="5" t="s">
        <v>1319</v>
      </c>
      <c r="G525" s="5" t="s">
        <v>1320</v>
      </c>
      <c r="H525" s="148">
        <v>5</v>
      </c>
      <c r="I525" s="149">
        <v>9380</v>
      </c>
      <c r="J525" s="150">
        <v>0.2</v>
      </c>
      <c r="K525" s="149">
        <v>37520</v>
      </c>
      <c r="L525" s="149">
        <v>6868.97</v>
      </c>
      <c r="M525" s="5" t="s">
        <v>1313</v>
      </c>
      <c r="N525" s="5" t="s">
        <v>1304</v>
      </c>
      <c r="O525" s="5" t="s">
        <v>1305</v>
      </c>
      <c r="P525" s="5" t="s">
        <v>1327</v>
      </c>
      <c r="Q525" s="5" t="s">
        <v>1300</v>
      </c>
      <c r="R525" s="151">
        <v>5</v>
      </c>
      <c r="S525" s="143"/>
    </row>
    <row r="526" spans="1:19" x14ac:dyDescent="0.25">
      <c r="A526" s="5" t="s">
        <v>2903</v>
      </c>
      <c r="B526" s="147">
        <v>45926</v>
      </c>
      <c r="C526" s="5" t="s">
        <v>2904</v>
      </c>
      <c r="D526" s="5" t="s">
        <v>2905</v>
      </c>
      <c r="E526" s="5" t="s">
        <v>1331</v>
      </c>
      <c r="F526" s="5" t="s">
        <v>988</v>
      </c>
      <c r="G526" s="5" t="s">
        <v>1332</v>
      </c>
      <c r="H526" s="148">
        <v>4</v>
      </c>
      <c r="I526" s="149">
        <v>9615</v>
      </c>
      <c r="J526" s="150">
        <v>0.1</v>
      </c>
      <c r="K526" s="149">
        <v>34614</v>
      </c>
      <c r="L526" s="149">
        <v>4827.3</v>
      </c>
      <c r="M526" s="5" t="s">
        <v>1381</v>
      </c>
      <c r="N526" s="5" t="s">
        <v>1352</v>
      </c>
      <c r="O526" s="5" t="s">
        <v>1352</v>
      </c>
      <c r="P526" s="5" t="s">
        <v>1299</v>
      </c>
      <c r="Q526" s="5" t="s">
        <v>1306</v>
      </c>
      <c r="R526" s="151">
        <v>5</v>
      </c>
      <c r="S526" s="143"/>
    </row>
    <row r="527" spans="1:19" x14ac:dyDescent="0.25">
      <c r="A527" s="5" t="s">
        <v>2906</v>
      </c>
      <c r="B527" s="147">
        <v>45816</v>
      </c>
      <c r="C527" s="5" t="s">
        <v>2907</v>
      </c>
      <c r="D527" s="5" t="s">
        <v>2908</v>
      </c>
      <c r="E527" s="5" t="s">
        <v>1318</v>
      </c>
      <c r="F527" s="5" t="s">
        <v>1319</v>
      </c>
      <c r="G527" s="5" t="s">
        <v>1320</v>
      </c>
      <c r="H527" s="148">
        <v>3</v>
      </c>
      <c r="I527" s="149">
        <v>6122</v>
      </c>
      <c r="J527" s="150">
        <v>0.2</v>
      </c>
      <c r="K527" s="149">
        <v>14692.8</v>
      </c>
      <c r="L527" s="149">
        <v>1556.08</v>
      </c>
      <c r="M527" s="5" t="s">
        <v>1313</v>
      </c>
      <c r="N527" s="5" t="s">
        <v>1352</v>
      </c>
      <c r="O527" s="5" t="s">
        <v>1352</v>
      </c>
      <c r="P527" s="5" t="s">
        <v>1323</v>
      </c>
      <c r="Q527" s="5" t="s">
        <v>1300</v>
      </c>
      <c r="R527" s="151">
        <v>4</v>
      </c>
      <c r="S527" s="143"/>
    </row>
    <row r="528" spans="1:19" x14ac:dyDescent="0.25">
      <c r="A528" s="5" t="s">
        <v>2909</v>
      </c>
      <c r="B528" s="147">
        <v>45981</v>
      </c>
      <c r="C528" s="5" t="s">
        <v>2910</v>
      </c>
      <c r="D528" s="5" t="s">
        <v>2911</v>
      </c>
      <c r="E528" s="5" t="s">
        <v>1342</v>
      </c>
      <c r="F528" s="5" t="s">
        <v>988</v>
      </c>
      <c r="G528" s="5" t="s">
        <v>1343</v>
      </c>
      <c r="H528" s="148">
        <v>3</v>
      </c>
      <c r="I528" s="149">
        <v>6898</v>
      </c>
      <c r="J528" s="150">
        <v>0</v>
      </c>
      <c r="K528" s="149">
        <v>20694</v>
      </c>
      <c r="L528" s="149">
        <v>1818.71</v>
      </c>
      <c r="M528" s="5" t="s">
        <v>1381</v>
      </c>
      <c r="N528" s="5" t="s">
        <v>1352</v>
      </c>
      <c r="O528" s="5" t="s">
        <v>1352</v>
      </c>
      <c r="P528" s="5" t="s">
        <v>1314</v>
      </c>
      <c r="Q528" s="5" t="s">
        <v>1184</v>
      </c>
      <c r="R528" s="151">
        <v>4</v>
      </c>
      <c r="S528" s="143"/>
    </row>
    <row r="529" spans="1:19" x14ac:dyDescent="0.25">
      <c r="A529" s="5" t="s">
        <v>2912</v>
      </c>
      <c r="B529" s="147">
        <v>45873</v>
      </c>
      <c r="C529" s="5" t="s">
        <v>2913</v>
      </c>
      <c r="D529" s="5" t="s">
        <v>2914</v>
      </c>
      <c r="E529" s="5" t="s">
        <v>1331</v>
      </c>
      <c r="F529" s="5" t="s">
        <v>988</v>
      </c>
      <c r="G529" s="5" t="s">
        <v>1332</v>
      </c>
      <c r="H529" s="148">
        <v>2</v>
      </c>
      <c r="I529" s="149">
        <v>11575</v>
      </c>
      <c r="J529" s="150">
        <v>0</v>
      </c>
      <c r="K529" s="149">
        <v>23150</v>
      </c>
      <c r="L529" s="149">
        <v>3991.47</v>
      </c>
      <c r="M529" s="5" t="s">
        <v>1126</v>
      </c>
      <c r="N529" s="5" t="s">
        <v>1337</v>
      </c>
      <c r="O529" s="5" t="s">
        <v>1338</v>
      </c>
      <c r="P529" s="5" t="s">
        <v>1348</v>
      </c>
      <c r="Q529" s="5" t="s">
        <v>1306</v>
      </c>
      <c r="R529" s="151">
        <v>4</v>
      </c>
      <c r="S529" s="143"/>
    </row>
    <row r="530" spans="1:19" x14ac:dyDescent="0.25">
      <c r="A530" s="5" t="s">
        <v>2915</v>
      </c>
      <c r="B530" s="147">
        <v>45918</v>
      </c>
      <c r="C530" s="5" t="s">
        <v>2916</v>
      </c>
      <c r="D530" s="5" t="s">
        <v>2917</v>
      </c>
      <c r="E530" s="5" t="s">
        <v>1195</v>
      </c>
      <c r="F530" s="5" t="s">
        <v>988</v>
      </c>
      <c r="G530" s="5" t="s">
        <v>1336</v>
      </c>
      <c r="H530" s="148">
        <v>3</v>
      </c>
      <c r="I530" s="149">
        <v>14585</v>
      </c>
      <c r="J530" s="150">
        <v>0</v>
      </c>
      <c r="K530" s="149">
        <v>43755</v>
      </c>
      <c r="L530" s="149">
        <v>9899.24</v>
      </c>
      <c r="M530" s="5" t="s">
        <v>1313</v>
      </c>
      <c r="N530" s="5" t="s">
        <v>1321</v>
      </c>
      <c r="O530" s="5" t="s">
        <v>1322</v>
      </c>
      <c r="P530" s="5" t="s">
        <v>1299</v>
      </c>
      <c r="Q530" s="5" t="s">
        <v>1184</v>
      </c>
      <c r="R530" s="151">
        <v>4</v>
      </c>
      <c r="S530" s="143"/>
    </row>
    <row r="531" spans="1:19" x14ac:dyDescent="0.25">
      <c r="A531" s="5" t="s">
        <v>2918</v>
      </c>
      <c r="B531" s="147">
        <v>45850</v>
      </c>
      <c r="C531" s="5" t="s">
        <v>2919</v>
      </c>
      <c r="D531" s="5" t="s">
        <v>2920</v>
      </c>
      <c r="E531" s="5" t="s">
        <v>1370</v>
      </c>
      <c r="F531" s="5" t="s">
        <v>1160</v>
      </c>
      <c r="G531" s="5" t="s">
        <v>1371</v>
      </c>
      <c r="H531" s="148">
        <v>4</v>
      </c>
      <c r="I531" s="149">
        <v>13194</v>
      </c>
      <c r="J531" s="150">
        <v>0.15</v>
      </c>
      <c r="K531" s="149">
        <v>44859.6</v>
      </c>
      <c r="L531" s="149">
        <v>9033.23</v>
      </c>
      <c r="M531" s="5" t="s">
        <v>1344</v>
      </c>
      <c r="N531" s="5" t="s">
        <v>1304</v>
      </c>
      <c r="O531" s="5" t="s">
        <v>1305</v>
      </c>
      <c r="P531" s="5" t="s">
        <v>1299</v>
      </c>
      <c r="Q531" s="5" t="s">
        <v>1184</v>
      </c>
      <c r="R531" s="151">
        <v>3</v>
      </c>
      <c r="S531" s="143"/>
    </row>
    <row r="532" spans="1:19" x14ac:dyDescent="0.25">
      <c r="A532" s="5" t="s">
        <v>2921</v>
      </c>
      <c r="B532" s="147">
        <v>45874</v>
      </c>
      <c r="C532" s="5" t="s">
        <v>2922</v>
      </c>
      <c r="D532" s="5" t="s">
        <v>2923</v>
      </c>
      <c r="E532" s="5" t="s">
        <v>1359</v>
      </c>
      <c r="F532" s="5" t="s">
        <v>1360</v>
      </c>
      <c r="G532" s="5" t="s">
        <v>1361</v>
      </c>
      <c r="H532" s="148">
        <v>4</v>
      </c>
      <c r="I532" s="149">
        <v>11554</v>
      </c>
      <c r="J532" s="150">
        <v>0.05</v>
      </c>
      <c r="K532" s="149">
        <v>43905.2</v>
      </c>
      <c r="L532" s="149">
        <v>6576.94</v>
      </c>
      <c r="M532" s="5" t="s">
        <v>1126</v>
      </c>
      <c r="N532" s="5" t="s">
        <v>1337</v>
      </c>
      <c r="O532" s="5" t="s">
        <v>1338</v>
      </c>
      <c r="P532" s="5" t="s">
        <v>1323</v>
      </c>
      <c r="Q532" s="5" t="s">
        <v>1300</v>
      </c>
      <c r="R532" s="151">
        <v>3</v>
      </c>
      <c r="S532" s="143"/>
    </row>
    <row r="533" spans="1:19" x14ac:dyDescent="0.25">
      <c r="A533" s="5" t="s">
        <v>2924</v>
      </c>
      <c r="B533" s="147">
        <v>45743</v>
      </c>
      <c r="C533" s="5" t="s">
        <v>2925</v>
      </c>
      <c r="D533" s="5" t="s">
        <v>2926</v>
      </c>
      <c r="E533" s="5" t="s">
        <v>1359</v>
      </c>
      <c r="F533" s="5" t="s">
        <v>1360</v>
      </c>
      <c r="G533" s="5" t="s">
        <v>1361</v>
      </c>
      <c r="H533" s="148">
        <v>1</v>
      </c>
      <c r="I533" s="149">
        <v>477</v>
      </c>
      <c r="J533" s="150">
        <v>0.2</v>
      </c>
      <c r="K533" s="149">
        <v>381.6</v>
      </c>
      <c r="L533" s="149">
        <v>32.25</v>
      </c>
      <c r="M533" s="5" t="s">
        <v>1313</v>
      </c>
      <c r="N533" s="5" t="s">
        <v>1362</v>
      </c>
      <c r="O533" s="5" t="s">
        <v>1363</v>
      </c>
      <c r="P533" s="5" t="s">
        <v>1299</v>
      </c>
      <c r="Q533" s="5" t="s">
        <v>1300</v>
      </c>
      <c r="R533" s="151">
        <v>2</v>
      </c>
      <c r="S533" s="143"/>
    </row>
    <row r="534" spans="1:19" x14ac:dyDescent="0.25">
      <c r="A534" s="5" t="s">
        <v>2927</v>
      </c>
      <c r="B534" s="147">
        <v>45740</v>
      </c>
      <c r="C534" s="5" t="s">
        <v>2928</v>
      </c>
      <c r="D534" s="5" t="s">
        <v>2929</v>
      </c>
      <c r="E534" s="5" t="s">
        <v>1331</v>
      </c>
      <c r="F534" s="5" t="s">
        <v>988</v>
      </c>
      <c r="G534" s="5" t="s">
        <v>1332</v>
      </c>
      <c r="H534" s="148">
        <v>2</v>
      </c>
      <c r="I534" s="149">
        <v>5717</v>
      </c>
      <c r="J534" s="150">
        <v>0.1</v>
      </c>
      <c r="K534" s="149">
        <v>10290.6</v>
      </c>
      <c r="L534" s="149">
        <v>2474.61</v>
      </c>
      <c r="M534" s="5" t="s">
        <v>1381</v>
      </c>
      <c r="N534" s="5" t="s">
        <v>1304</v>
      </c>
      <c r="O534" s="5" t="s">
        <v>1305</v>
      </c>
      <c r="P534" s="5" t="s">
        <v>1299</v>
      </c>
      <c r="Q534" s="5" t="s">
        <v>1184</v>
      </c>
      <c r="R534" s="151">
        <v>2</v>
      </c>
      <c r="S534" s="143"/>
    </row>
    <row r="535" spans="1:19" x14ac:dyDescent="0.25">
      <c r="A535" s="5" t="s">
        <v>2930</v>
      </c>
      <c r="B535" s="147">
        <v>46001</v>
      </c>
      <c r="C535" s="5" t="s">
        <v>2931</v>
      </c>
      <c r="D535" s="5" t="s">
        <v>2932</v>
      </c>
      <c r="E535" s="5" t="s">
        <v>1310</v>
      </c>
      <c r="F535" s="5" t="s">
        <v>1311</v>
      </c>
      <c r="G535" s="5" t="s">
        <v>1312</v>
      </c>
      <c r="H535" s="148">
        <v>2</v>
      </c>
      <c r="I535" s="149">
        <v>6447</v>
      </c>
      <c r="J535" s="150">
        <v>0.2</v>
      </c>
      <c r="K535" s="149">
        <v>10315.200000000001</v>
      </c>
      <c r="L535" s="149">
        <v>2060.58</v>
      </c>
      <c r="M535" s="5" t="s">
        <v>1126</v>
      </c>
      <c r="N535" s="5" t="s">
        <v>1321</v>
      </c>
      <c r="O535" s="5" t="s">
        <v>1322</v>
      </c>
      <c r="P535" s="5" t="s">
        <v>1327</v>
      </c>
      <c r="Q535" s="5" t="s">
        <v>1204</v>
      </c>
      <c r="R535" s="151">
        <v>4</v>
      </c>
      <c r="S535" s="143"/>
    </row>
    <row r="536" spans="1:19" x14ac:dyDescent="0.25">
      <c r="A536" s="5" t="s">
        <v>2933</v>
      </c>
      <c r="B536" s="147">
        <v>45815</v>
      </c>
      <c r="C536" s="5" t="s">
        <v>2934</v>
      </c>
      <c r="D536" s="5" t="s">
        <v>2935</v>
      </c>
      <c r="E536" s="5" t="s">
        <v>1331</v>
      </c>
      <c r="F536" s="5" t="s">
        <v>988</v>
      </c>
      <c r="G536" s="5" t="s">
        <v>1332</v>
      </c>
      <c r="H536" s="148">
        <v>1</v>
      </c>
      <c r="I536" s="149">
        <v>14599</v>
      </c>
      <c r="J536" s="150">
        <v>0.15</v>
      </c>
      <c r="K536" s="149">
        <v>12409.15</v>
      </c>
      <c r="L536" s="149">
        <v>1587.76</v>
      </c>
      <c r="M536" s="5" t="s">
        <v>1126</v>
      </c>
      <c r="N536" s="5" t="s">
        <v>1304</v>
      </c>
      <c r="O536" s="5" t="s">
        <v>1305</v>
      </c>
      <c r="P536" s="5" t="s">
        <v>1348</v>
      </c>
      <c r="Q536" s="5" t="s">
        <v>1306</v>
      </c>
      <c r="R536" s="151">
        <v>2</v>
      </c>
      <c r="S536" s="143"/>
    </row>
    <row r="537" spans="1:19" x14ac:dyDescent="0.25">
      <c r="A537" s="5" t="s">
        <v>2936</v>
      </c>
      <c r="B537" s="147">
        <v>45770</v>
      </c>
      <c r="C537" s="5" t="s">
        <v>2937</v>
      </c>
      <c r="D537" s="5" t="s">
        <v>2938</v>
      </c>
      <c r="E537" s="5" t="s">
        <v>1359</v>
      </c>
      <c r="F537" s="5" t="s">
        <v>1360</v>
      </c>
      <c r="G537" s="5" t="s">
        <v>1361</v>
      </c>
      <c r="H537" s="148">
        <v>2</v>
      </c>
      <c r="I537" s="149">
        <v>9103</v>
      </c>
      <c r="J537" s="150">
        <v>0</v>
      </c>
      <c r="K537" s="149">
        <v>18206</v>
      </c>
      <c r="L537" s="149">
        <v>4037.13</v>
      </c>
      <c r="M537" s="5" t="s">
        <v>1313</v>
      </c>
      <c r="N537" s="5" t="s">
        <v>1352</v>
      </c>
      <c r="O537" s="5" t="s">
        <v>1352</v>
      </c>
      <c r="P537" s="5" t="s">
        <v>1323</v>
      </c>
      <c r="Q537" s="5" t="s">
        <v>1204</v>
      </c>
      <c r="R537" s="151">
        <v>1</v>
      </c>
      <c r="S537" s="143"/>
    </row>
    <row r="538" spans="1:19" x14ac:dyDescent="0.25">
      <c r="A538" s="5" t="s">
        <v>2939</v>
      </c>
      <c r="B538" s="147">
        <v>45811</v>
      </c>
      <c r="C538" s="5" t="s">
        <v>2940</v>
      </c>
      <c r="D538" s="5" t="s">
        <v>2941</v>
      </c>
      <c r="E538" s="5" t="s">
        <v>1310</v>
      </c>
      <c r="F538" s="5" t="s">
        <v>1311</v>
      </c>
      <c r="G538" s="5" t="s">
        <v>1312</v>
      </c>
      <c r="H538" s="148">
        <v>1</v>
      </c>
      <c r="I538" s="149">
        <v>13031</v>
      </c>
      <c r="J538" s="150">
        <v>0.15</v>
      </c>
      <c r="K538" s="149">
        <v>11076.35</v>
      </c>
      <c r="L538" s="149">
        <v>2312.6799999999998</v>
      </c>
      <c r="M538" s="5" t="s">
        <v>1126</v>
      </c>
      <c r="N538" s="5" t="s">
        <v>1304</v>
      </c>
      <c r="O538" s="5" t="s">
        <v>1305</v>
      </c>
      <c r="P538" s="5" t="s">
        <v>1299</v>
      </c>
      <c r="Q538" s="5" t="s">
        <v>1300</v>
      </c>
      <c r="R538" s="151">
        <v>2</v>
      </c>
      <c r="S538" s="143"/>
    </row>
    <row r="539" spans="1:19" x14ac:dyDescent="0.25">
      <c r="A539" s="5" t="s">
        <v>2942</v>
      </c>
      <c r="B539" s="147">
        <v>45781</v>
      </c>
      <c r="C539" s="5" t="s">
        <v>2943</v>
      </c>
      <c r="D539" s="5" t="s">
        <v>2944</v>
      </c>
      <c r="E539" s="5" t="s">
        <v>1295</v>
      </c>
      <c r="F539" s="5" t="s">
        <v>985</v>
      </c>
      <c r="G539" s="5" t="s">
        <v>1296</v>
      </c>
      <c r="H539" s="148">
        <v>3</v>
      </c>
      <c r="I539" s="149">
        <v>4443</v>
      </c>
      <c r="J539" s="150">
        <v>0.05</v>
      </c>
      <c r="K539" s="149">
        <v>12662.55</v>
      </c>
      <c r="L539" s="149">
        <v>2560.52</v>
      </c>
      <c r="M539" s="5" t="s">
        <v>1344</v>
      </c>
      <c r="N539" s="5" t="s">
        <v>1362</v>
      </c>
      <c r="O539" s="5" t="s">
        <v>1363</v>
      </c>
      <c r="P539" s="5" t="s">
        <v>1348</v>
      </c>
      <c r="Q539" s="5" t="s">
        <v>1184</v>
      </c>
      <c r="R539" s="151">
        <v>4</v>
      </c>
      <c r="S539" s="143"/>
    </row>
    <row r="540" spans="1:19" x14ac:dyDescent="0.25">
      <c r="A540" s="5" t="s">
        <v>2945</v>
      </c>
      <c r="B540" s="147">
        <v>45697</v>
      </c>
      <c r="C540" s="5" t="s">
        <v>2946</v>
      </c>
      <c r="D540" s="5" t="s">
        <v>2947</v>
      </c>
      <c r="E540" s="5" t="s">
        <v>1310</v>
      </c>
      <c r="F540" s="5" t="s">
        <v>1311</v>
      </c>
      <c r="G540" s="5" t="s">
        <v>1312</v>
      </c>
      <c r="H540" s="148">
        <v>2</v>
      </c>
      <c r="I540" s="149">
        <v>14820</v>
      </c>
      <c r="J540" s="150">
        <v>0.2</v>
      </c>
      <c r="K540" s="149">
        <v>23712</v>
      </c>
      <c r="L540" s="149">
        <v>5819.66</v>
      </c>
      <c r="M540" s="5" t="s">
        <v>1130</v>
      </c>
      <c r="N540" s="5" t="s">
        <v>1352</v>
      </c>
      <c r="O540" s="5" t="s">
        <v>1352</v>
      </c>
      <c r="P540" s="5" t="s">
        <v>1323</v>
      </c>
      <c r="Q540" s="5" t="s">
        <v>1300</v>
      </c>
      <c r="R540" s="151">
        <v>2</v>
      </c>
      <c r="S540" s="143"/>
    </row>
    <row r="541" spans="1:19" x14ac:dyDescent="0.25">
      <c r="A541" s="5" t="s">
        <v>2948</v>
      </c>
      <c r="B541" s="147">
        <v>45873</v>
      </c>
      <c r="C541" s="5" t="s">
        <v>2949</v>
      </c>
      <c r="D541" s="5" t="s">
        <v>2950</v>
      </c>
      <c r="E541" s="5" t="s">
        <v>1295</v>
      </c>
      <c r="F541" s="5" t="s">
        <v>985</v>
      </c>
      <c r="G541" s="5" t="s">
        <v>1296</v>
      </c>
      <c r="H541" s="148">
        <v>1</v>
      </c>
      <c r="I541" s="149">
        <v>2999</v>
      </c>
      <c r="J541" s="150">
        <v>0.2</v>
      </c>
      <c r="K541" s="149">
        <v>2399.1999999999998</v>
      </c>
      <c r="L541" s="149">
        <v>526.16</v>
      </c>
      <c r="M541" s="5" t="s">
        <v>1126</v>
      </c>
      <c r="N541" s="5" t="s">
        <v>1362</v>
      </c>
      <c r="O541" s="5" t="s">
        <v>1363</v>
      </c>
      <c r="P541" s="5" t="s">
        <v>1327</v>
      </c>
      <c r="Q541" s="5" t="s">
        <v>1306</v>
      </c>
      <c r="R541" s="151">
        <v>3</v>
      </c>
      <c r="S541" s="143"/>
    </row>
    <row r="542" spans="1:19" x14ac:dyDescent="0.25">
      <c r="A542" s="5" t="s">
        <v>2951</v>
      </c>
      <c r="B542" s="147">
        <v>45804</v>
      </c>
      <c r="C542" s="5" t="s">
        <v>2952</v>
      </c>
      <c r="D542" s="5" t="s">
        <v>2953</v>
      </c>
      <c r="E542" s="5" t="s">
        <v>1331</v>
      </c>
      <c r="F542" s="5" t="s">
        <v>988</v>
      </c>
      <c r="G542" s="5" t="s">
        <v>1332</v>
      </c>
      <c r="H542" s="148">
        <v>1</v>
      </c>
      <c r="I542" s="149">
        <v>13607</v>
      </c>
      <c r="J542" s="150">
        <v>0.15</v>
      </c>
      <c r="K542" s="149">
        <v>11565.95</v>
      </c>
      <c r="L542" s="149">
        <v>2860.44</v>
      </c>
      <c r="M542" s="5" t="s">
        <v>1344</v>
      </c>
      <c r="N542" s="5" t="s">
        <v>1297</v>
      </c>
      <c r="O542" s="5" t="s">
        <v>1298</v>
      </c>
      <c r="P542" s="5" t="s">
        <v>1323</v>
      </c>
      <c r="Q542" s="5" t="s">
        <v>1184</v>
      </c>
      <c r="R542" s="151">
        <v>5</v>
      </c>
      <c r="S542" s="143"/>
    </row>
    <row r="543" spans="1:19" x14ac:dyDescent="0.25">
      <c r="A543" s="5" t="s">
        <v>2954</v>
      </c>
      <c r="B543" s="147">
        <v>45989</v>
      </c>
      <c r="C543" s="5" t="s">
        <v>2955</v>
      </c>
      <c r="D543" s="5" t="s">
        <v>2956</v>
      </c>
      <c r="E543" s="5" t="s">
        <v>1331</v>
      </c>
      <c r="F543" s="5" t="s">
        <v>988</v>
      </c>
      <c r="G543" s="5" t="s">
        <v>1332</v>
      </c>
      <c r="H543" s="148">
        <v>5</v>
      </c>
      <c r="I543" s="149">
        <v>4192</v>
      </c>
      <c r="J543" s="150">
        <v>0.2</v>
      </c>
      <c r="K543" s="149">
        <v>16768</v>
      </c>
      <c r="L543" s="149">
        <v>4635.45</v>
      </c>
      <c r="M543" s="5" t="s">
        <v>1344</v>
      </c>
      <c r="N543" s="5" t="s">
        <v>1352</v>
      </c>
      <c r="O543" s="5" t="s">
        <v>1352</v>
      </c>
      <c r="P543" s="5" t="s">
        <v>1314</v>
      </c>
      <c r="Q543" s="5" t="s">
        <v>1184</v>
      </c>
      <c r="R543" s="151">
        <v>5</v>
      </c>
      <c r="S543" s="143"/>
    </row>
    <row r="544" spans="1:19" x14ac:dyDescent="0.25">
      <c r="A544" s="5" t="s">
        <v>2957</v>
      </c>
      <c r="B544" s="147">
        <v>46005</v>
      </c>
      <c r="C544" s="5" t="s">
        <v>2958</v>
      </c>
      <c r="D544" s="5" t="s">
        <v>2959</v>
      </c>
      <c r="E544" s="5" t="s">
        <v>1370</v>
      </c>
      <c r="F544" s="5" t="s">
        <v>1160</v>
      </c>
      <c r="G544" s="5" t="s">
        <v>1371</v>
      </c>
      <c r="H544" s="148">
        <v>3</v>
      </c>
      <c r="I544" s="149">
        <v>14037</v>
      </c>
      <c r="J544" s="150">
        <v>0.15</v>
      </c>
      <c r="K544" s="149">
        <v>35794.35</v>
      </c>
      <c r="L544" s="149">
        <v>8603.01</v>
      </c>
      <c r="M544" s="5" t="s">
        <v>1126</v>
      </c>
      <c r="N544" s="5" t="s">
        <v>1297</v>
      </c>
      <c r="O544" s="5" t="s">
        <v>1298</v>
      </c>
      <c r="P544" s="5" t="s">
        <v>1314</v>
      </c>
      <c r="Q544" s="5" t="s">
        <v>1204</v>
      </c>
      <c r="R544" s="151">
        <v>2</v>
      </c>
      <c r="S544" s="143"/>
    </row>
    <row r="545" spans="1:19" x14ac:dyDescent="0.25">
      <c r="A545" s="5" t="s">
        <v>2960</v>
      </c>
      <c r="B545" s="147">
        <v>45984</v>
      </c>
      <c r="C545" s="5" t="s">
        <v>2961</v>
      </c>
      <c r="D545" s="5" t="s">
        <v>2962</v>
      </c>
      <c r="E545" s="5" t="s">
        <v>1318</v>
      </c>
      <c r="F545" s="5" t="s">
        <v>1319</v>
      </c>
      <c r="G545" s="5" t="s">
        <v>1320</v>
      </c>
      <c r="H545" s="148">
        <v>2</v>
      </c>
      <c r="I545" s="149">
        <v>6429</v>
      </c>
      <c r="J545" s="150">
        <v>0.2</v>
      </c>
      <c r="K545" s="149">
        <v>10286.4</v>
      </c>
      <c r="L545" s="149">
        <v>2285.83</v>
      </c>
      <c r="M545" s="5" t="s">
        <v>1130</v>
      </c>
      <c r="N545" s="5" t="s">
        <v>1352</v>
      </c>
      <c r="O545" s="5" t="s">
        <v>1352</v>
      </c>
      <c r="P545" s="5" t="s">
        <v>1299</v>
      </c>
      <c r="Q545" s="5" t="s">
        <v>1184</v>
      </c>
      <c r="R545" s="151">
        <v>5</v>
      </c>
      <c r="S545" s="143"/>
    </row>
    <row r="546" spans="1:19" x14ac:dyDescent="0.25">
      <c r="A546" s="5" t="s">
        <v>2963</v>
      </c>
      <c r="B546" s="147">
        <v>45885</v>
      </c>
      <c r="C546" s="5" t="s">
        <v>2964</v>
      </c>
      <c r="D546" s="5" t="s">
        <v>2965</v>
      </c>
      <c r="E546" s="5" t="s">
        <v>1318</v>
      </c>
      <c r="F546" s="5" t="s">
        <v>1319</v>
      </c>
      <c r="G546" s="5" t="s">
        <v>1320</v>
      </c>
      <c r="H546" s="148">
        <v>5</v>
      </c>
      <c r="I546" s="149">
        <v>2108</v>
      </c>
      <c r="J546" s="150">
        <v>0.1</v>
      </c>
      <c r="K546" s="149">
        <v>9486</v>
      </c>
      <c r="L546" s="149">
        <v>970.09</v>
      </c>
      <c r="M546" s="5" t="s">
        <v>1313</v>
      </c>
      <c r="N546" s="5" t="s">
        <v>1352</v>
      </c>
      <c r="O546" s="5" t="s">
        <v>1352</v>
      </c>
      <c r="P546" s="5" t="s">
        <v>1327</v>
      </c>
      <c r="Q546" s="5" t="s">
        <v>1204</v>
      </c>
      <c r="R546" s="151">
        <v>1</v>
      </c>
      <c r="S546" s="143"/>
    </row>
    <row r="547" spans="1:19" x14ac:dyDescent="0.25">
      <c r="A547" s="5" t="s">
        <v>2966</v>
      </c>
      <c r="B547" s="147">
        <v>45757</v>
      </c>
      <c r="C547" s="5" t="s">
        <v>2967</v>
      </c>
      <c r="D547" s="5" t="s">
        <v>2968</v>
      </c>
      <c r="E547" s="5" t="s">
        <v>1331</v>
      </c>
      <c r="F547" s="5" t="s">
        <v>988</v>
      </c>
      <c r="G547" s="5" t="s">
        <v>1332</v>
      </c>
      <c r="H547" s="148">
        <v>1</v>
      </c>
      <c r="I547" s="149">
        <v>7263</v>
      </c>
      <c r="J547" s="150">
        <v>0.05</v>
      </c>
      <c r="K547" s="149">
        <v>6899.85</v>
      </c>
      <c r="L547" s="149">
        <v>813.02</v>
      </c>
      <c r="M547" s="5" t="s">
        <v>1126</v>
      </c>
      <c r="N547" s="5" t="s">
        <v>1304</v>
      </c>
      <c r="O547" s="5" t="s">
        <v>1305</v>
      </c>
      <c r="P547" s="5" t="s">
        <v>1327</v>
      </c>
      <c r="Q547" s="5" t="s">
        <v>1184</v>
      </c>
      <c r="R547" s="151">
        <v>3</v>
      </c>
      <c r="S547" s="143"/>
    </row>
    <row r="548" spans="1:19" x14ac:dyDescent="0.25">
      <c r="A548" s="5" t="s">
        <v>2969</v>
      </c>
      <c r="B548" s="147">
        <v>45775</v>
      </c>
      <c r="C548" s="5" t="s">
        <v>2970</v>
      </c>
      <c r="D548" s="5" t="s">
        <v>2971</v>
      </c>
      <c r="E548" s="5" t="s">
        <v>1195</v>
      </c>
      <c r="F548" s="5" t="s">
        <v>988</v>
      </c>
      <c r="G548" s="5" t="s">
        <v>1336</v>
      </c>
      <c r="H548" s="148">
        <v>5</v>
      </c>
      <c r="I548" s="149">
        <v>4322</v>
      </c>
      <c r="J548" s="150">
        <v>0.15</v>
      </c>
      <c r="K548" s="149">
        <v>18368.5</v>
      </c>
      <c r="L548" s="149">
        <v>4309.93</v>
      </c>
      <c r="M548" s="5" t="s">
        <v>1381</v>
      </c>
      <c r="N548" s="5" t="s">
        <v>1352</v>
      </c>
      <c r="O548" s="5" t="s">
        <v>1352</v>
      </c>
      <c r="P548" s="5" t="s">
        <v>1327</v>
      </c>
      <c r="Q548" s="5" t="s">
        <v>1300</v>
      </c>
      <c r="R548" s="151">
        <v>5</v>
      </c>
      <c r="S548" s="143"/>
    </row>
    <row r="549" spans="1:19" x14ac:dyDescent="0.25">
      <c r="A549" s="5" t="s">
        <v>2972</v>
      </c>
      <c r="B549" s="147">
        <v>45844</v>
      </c>
      <c r="C549" s="5" t="s">
        <v>2973</v>
      </c>
      <c r="D549" s="5" t="s">
        <v>2974</v>
      </c>
      <c r="E549" s="5" t="s">
        <v>1359</v>
      </c>
      <c r="F549" s="5" t="s">
        <v>1360</v>
      </c>
      <c r="G549" s="5" t="s">
        <v>1361</v>
      </c>
      <c r="H549" s="148">
        <v>4</v>
      </c>
      <c r="I549" s="149">
        <v>8385</v>
      </c>
      <c r="J549" s="150">
        <v>0</v>
      </c>
      <c r="K549" s="149">
        <v>33540</v>
      </c>
      <c r="L549" s="149">
        <v>8717.68</v>
      </c>
      <c r="M549" s="5" t="s">
        <v>1344</v>
      </c>
      <c r="N549" s="5" t="s">
        <v>1352</v>
      </c>
      <c r="O549" s="5" t="s">
        <v>1352</v>
      </c>
      <c r="P549" s="5" t="s">
        <v>1348</v>
      </c>
      <c r="Q549" s="5" t="s">
        <v>1184</v>
      </c>
      <c r="R549" s="151">
        <v>3</v>
      </c>
      <c r="S549" s="143"/>
    </row>
    <row r="550" spans="1:19" x14ac:dyDescent="0.25">
      <c r="A550" s="5" t="s">
        <v>2975</v>
      </c>
      <c r="B550" s="147">
        <v>45950</v>
      </c>
      <c r="C550" s="5" t="s">
        <v>2976</v>
      </c>
      <c r="D550" s="5" t="s">
        <v>2977</v>
      </c>
      <c r="E550" s="5" t="s">
        <v>1195</v>
      </c>
      <c r="F550" s="5" t="s">
        <v>988</v>
      </c>
      <c r="G550" s="5" t="s">
        <v>1336</v>
      </c>
      <c r="H550" s="148">
        <v>1</v>
      </c>
      <c r="I550" s="149">
        <v>5317</v>
      </c>
      <c r="J550" s="150">
        <v>0.15</v>
      </c>
      <c r="K550" s="149">
        <v>4519.45</v>
      </c>
      <c r="L550" s="149">
        <v>362.06</v>
      </c>
      <c r="M550" s="5" t="s">
        <v>1130</v>
      </c>
      <c r="N550" s="5" t="s">
        <v>1362</v>
      </c>
      <c r="O550" s="5" t="s">
        <v>1363</v>
      </c>
      <c r="P550" s="5" t="s">
        <v>1314</v>
      </c>
      <c r="Q550" s="5" t="s">
        <v>1300</v>
      </c>
      <c r="R550" s="151">
        <v>1</v>
      </c>
      <c r="S550" s="143"/>
    </row>
    <row r="551" spans="1:19" x14ac:dyDescent="0.25">
      <c r="A551" s="5" t="s">
        <v>2978</v>
      </c>
      <c r="B551" s="147">
        <v>45690</v>
      </c>
      <c r="C551" s="5" t="s">
        <v>2979</v>
      </c>
      <c r="D551" s="5" t="s">
        <v>2980</v>
      </c>
      <c r="E551" s="5" t="s">
        <v>1295</v>
      </c>
      <c r="F551" s="5" t="s">
        <v>985</v>
      </c>
      <c r="G551" s="5" t="s">
        <v>1296</v>
      </c>
      <c r="H551" s="148">
        <v>1</v>
      </c>
      <c r="I551" s="149">
        <v>10818</v>
      </c>
      <c r="J551" s="150">
        <v>0</v>
      </c>
      <c r="K551" s="149">
        <v>10818</v>
      </c>
      <c r="L551" s="149">
        <v>2789.09</v>
      </c>
      <c r="M551" s="5" t="s">
        <v>1381</v>
      </c>
      <c r="N551" s="5" t="s">
        <v>1362</v>
      </c>
      <c r="O551" s="5" t="s">
        <v>1363</v>
      </c>
      <c r="P551" s="5" t="s">
        <v>1299</v>
      </c>
      <c r="Q551" s="5" t="s">
        <v>1300</v>
      </c>
      <c r="R551" s="151">
        <v>1</v>
      </c>
      <c r="S551" s="143"/>
    </row>
    <row r="552" spans="1:19" x14ac:dyDescent="0.25">
      <c r="A552" s="5" t="s">
        <v>2981</v>
      </c>
      <c r="B552" s="147">
        <v>45783</v>
      </c>
      <c r="C552" s="5" t="s">
        <v>2982</v>
      </c>
      <c r="D552" s="5" t="s">
        <v>2983</v>
      </c>
      <c r="E552" s="5" t="s">
        <v>1370</v>
      </c>
      <c r="F552" s="5" t="s">
        <v>1160</v>
      </c>
      <c r="G552" s="5" t="s">
        <v>1371</v>
      </c>
      <c r="H552" s="148">
        <v>3</v>
      </c>
      <c r="I552" s="149">
        <v>11070</v>
      </c>
      <c r="J552" s="150">
        <v>0.1</v>
      </c>
      <c r="K552" s="149">
        <v>29889</v>
      </c>
      <c r="L552" s="149">
        <v>7155.37</v>
      </c>
      <c r="M552" s="5" t="s">
        <v>1381</v>
      </c>
      <c r="N552" s="5" t="s">
        <v>1362</v>
      </c>
      <c r="O552" s="5" t="s">
        <v>1363</v>
      </c>
      <c r="P552" s="5" t="s">
        <v>1323</v>
      </c>
      <c r="Q552" s="5" t="s">
        <v>1300</v>
      </c>
      <c r="R552" s="151">
        <v>1</v>
      </c>
      <c r="S552" s="143"/>
    </row>
    <row r="553" spans="1:19" x14ac:dyDescent="0.25">
      <c r="A553" s="5" t="s">
        <v>2984</v>
      </c>
      <c r="B553" s="147">
        <v>45806</v>
      </c>
      <c r="C553" s="5" t="s">
        <v>2985</v>
      </c>
      <c r="D553" s="5" t="s">
        <v>2986</v>
      </c>
      <c r="E553" s="5" t="s">
        <v>1295</v>
      </c>
      <c r="F553" s="5" t="s">
        <v>985</v>
      </c>
      <c r="G553" s="5" t="s">
        <v>1296</v>
      </c>
      <c r="H553" s="148">
        <v>1</v>
      </c>
      <c r="I553" s="149">
        <v>4950</v>
      </c>
      <c r="J553" s="150">
        <v>0.05</v>
      </c>
      <c r="K553" s="149">
        <v>4702.5</v>
      </c>
      <c r="L553" s="149">
        <v>706.64</v>
      </c>
      <c r="M553" s="5" t="s">
        <v>1344</v>
      </c>
      <c r="N553" s="5" t="s">
        <v>1352</v>
      </c>
      <c r="O553" s="5" t="s">
        <v>1352</v>
      </c>
      <c r="P553" s="5" t="s">
        <v>1299</v>
      </c>
      <c r="Q553" s="5" t="s">
        <v>1306</v>
      </c>
      <c r="R553" s="151">
        <v>2</v>
      </c>
      <c r="S553" s="143"/>
    </row>
    <row r="554" spans="1:19" x14ac:dyDescent="0.25">
      <c r="A554" s="5" t="s">
        <v>2987</v>
      </c>
      <c r="B554" s="147">
        <v>46015</v>
      </c>
      <c r="C554" s="5" t="s">
        <v>2988</v>
      </c>
      <c r="D554" s="5" t="s">
        <v>2989</v>
      </c>
      <c r="E554" s="5" t="s">
        <v>1342</v>
      </c>
      <c r="F554" s="5" t="s">
        <v>988</v>
      </c>
      <c r="G554" s="5" t="s">
        <v>1343</v>
      </c>
      <c r="H554" s="148">
        <v>5</v>
      </c>
      <c r="I554" s="149">
        <v>2856</v>
      </c>
      <c r="J554" s="150">
        <v>0.05</v>
      </c>
      <c r="K554" s="149">
        <v>13566</v>
      </c>
      <c r="L554" s="149">
        <v>2290.73</v>
      </c>
      <c r="M554" s="5" t="s">
        <v>1313</v>
      </c>
      <c r="N554" s="5" t="s">
        <v>1297</v>
      </c>
      <c r="O554" s="5" t="s">
        <v>1298</v>
      </c>
      <c r="P554" s="5" t="s">
        <v>1299</v>
      </c>
      <c r="Q554" s="5" t="s">
        <v>1184</v>
      </c>
      <c r="R554" s="151">
        <v>3</v>
      </c>
      <c r="S554" s="143"/>
    </row>
    <row r="555" spans="1:19" x14ac:dyDescent="0.25">
      <c r="A555" s="5" t="s">
        <v>2990</v>
      </c>
      <c r="B555" s="147">
        <v>46003</v>
      </c>
      <c r="C555" s="5" t="s">
        <v>2991</v>
      </c>
      <c r="D555" s="5" t="s">
        <v>2992</v>
      </c>
      <c r="E555" s="5" t="s">
        <v>1318</v>
      </c>
      <c r="F555" s="5" t="s">
        <v>1319</v>
      </c>
      <c r="G555" s="5" t="s">
        <v>1320</v>
      </c>
      <c r="H555" s="148">
        <v>1</v>
      </c>
      <c r="I555" s="149">
        <v>9980</v>
      </c>
      <c r="J555" s="150">
        <v>0.15</v>
      </c>
      <c r="K555" s="149">
        <v>8483</v>
      </c>
      <c r="L555" s="149">
        <v>1098.81</v>
      </c>
      <c r="M555" s="5" t="s">
        <v>1313</v>
      </c>
      <c r="N555" s="5" t="s">
        <v>1352</v>
      </c>
      <c r="O555" s="5" t="s">
        <v>1352</v>
      </c>
      <c r="P555" s="5" t="s">
        <v>1323</v>
      </c>
      <c r="Q555" s="5" t="s">
        <v>1300</v>
      </c>
      <c r="R555" s="151">
        <v>4</v>
      </c>
      <c r="S555" s="143"/>
    </row>
    <row r="556" spans="1:19" x14ac:dyDescent="0.25">
      <c r="A556" s="5" t="s">
        <v>2993</v>
      </c>
      <c r="B556" s="147">
        <v>45824</v>
      </c>
      <c r="C556" s="5" t="s">
        <v>2994</v>
      </c>
      <c r="D556" s="5" t="s">
        <v>2995</v>
      </c>
      <c r="E556" s="5" t="s">
        <v>1342</v>
      </c>
      <c r="F556" s="5" t="s">
        <v>988</v>
      </c>
      <c r="G556" s="5" t="s">
        <v>1343</v>
      </c>
      <c r="H556" s="148">
        <v>4</v>
      </c>
      <c r="I556" s="149">
        <v>12269</v>
      </c>
      <c r="J556" s="150">
        <v>0.1</v>
      </c>
      <c r="K556" s="149">
        <v>44168.4</v>
      </c>
      <c r="L556" s="149">
        <v>6021.65</v>
      </c>
      <c r="M556" s="5" t="s">
        <v>1313</v>
      </c>
      <c r="N556" s="5" t="s">
        <v>1297</v>
      </c>
      <c r="O556" s="5" t="s">
        <v>1298</v>
      </c>
      <c r="P556" s="5" t="s">
        <v>1348</v>
      </c>
      <c r="Q556" s="5" t="s">
        <v>1306</v>
      </c>
      <c r="R556" s="151">
        <v>4</v>
      </c>
      <c r="S556" s="143"/>
    </row>
    <row r="557" spans="1:19" x14ac:dyDescent="0.25">
      <c r="A557" s="5" t="s">
        <v>2996</v>
      </c>
      <c r="B557" s="147">
        <v>45848</v>
      </c>
      <c r="C557" s="5" t="s">
        <v>2997</v>
      </c>
      <c r="D557" s="5" t="s">
        <v>2998</v>
      </c>
      <c r="E557" s="5" t="s">
        <v>1370</v>
      </c>
      <c r="F557" s="5" t="s">
        <v>1160</v>
      </c>
      <c r="G557" s="5" t="s">
        <v>1371</v>
      </c>
      <c r="H557" s="148">
        <v>1</v>
      </c>
      <c r="I557" s="149">
        <v>5722</v>
      </c>
      <c r="J557" s="150">
        <v>0.2</v>
      </c>
      <c r="K557" s="149">
        <v>4577.6000000000004</v>
      </c>
      <c r="L557" s="149">
        <v>787.67</v>
      </c>
      <c r="M557" s="5" t="s">
        <v>1130</v>
      </c>
      <c r="N557" s="5" t="s">
        <v>1297</v>
      </c>
      <c r="O557" s="5" t="s">
        <v>1298</v>
      </c>
      <c r="P557" s="5" t="s">
        <v>1327</v>
      </c>
      <c r="Q557" s="5" t="s">
        <v>1306</v>
      </c>
      <c r="R557" s="151">
        <v>1</v>
      </c>
      <c r="S557" s="143"/>
    </row>
    <row r="558" spans="1:19" x14ac:dyDescent="0.25">
      <c r="A558" s="5" t="s">
        <v>2999</v>
      </c>
      <c r="B558" s="147">
        <v>45763</v>
      </c>
      <c r="C558" s="5" t="s">
        <v>3000</v>
      </c>
      <c r="D558" s="5" t="s">
        <v>3001</v>
      </c>
      <c r="E558" s="5" t="s">
        <v>1318</v>
      </c>
      <c r="F558" s="5" t="s">
        <v>1319</v>
      </c>
      <c r="G558" s="5" t="s">
        <v>1320</v>
      </c>
      <c r="H558" s="148">
        <v>4</v>
      </c>
      <c r="I558" s="149">
        <v>7610</v>
      </c>
      <c r="J558" s="150">
        <v>0.1</v>
      </c>
      <c r="K558" s="149">
        <v>27396</v>
      </c>
      <c r="L558" s="149">
        <v>6495.11</v>
      </c>
      <c r="M558" s="5" t="s">
        <v>1313</v>
      </c>
      <c r="N558" s="5" t="s">
        <v>1352</v>
      </c>
      <c r="O558" s="5" t="s">
        <v>1352</v>
      </c>
      <c r="P558" s="5" t="s">
        <v>1323</v>
      </c>
      <c r="Q558" s="5" t="s">
        <v>1300</v>
      </c>
      <c r="R558" s="151">
        <v>1</v>
      </c>
      <c r="S558" s="143"/>
    </row>
    <row r="559" spans="1:19" x14ac:dyDescent="0.25">
      <c r="A559" s="5" t="s">
        <v>3002</v>
      </c>
      <c r="B559" s="147">
        <v>45790</v>
      </c>
      <c r="C559" s="5" t="s">
        <v>3003</v>
      </c>
      <c r="D559" s="5" t="s">
        <v>3004</v>
      </c>
      <c r="E559" s="5" t="s">
        <v>1331</v>
      </c>
      <c r="F559" s="5" t="s">
        <v>988</v>
      </c>
      <c r="G559" s="5" t="s">
        <v>1332</v>
      </c>
      <c r="H559" s="148">
        <v>1</v>
      </c>
      <c r="I559" s="149">
        <v>2212</v>
      </c>
      <c r="J559" s="150">
        <v>0.15</v>
      </c>
      <c r="K559" s="149">
        <v>1880.2</v>
      </c>
      <c r="L559" s="149">
        <v>241.02</v>
      </c>
      <c r="M559" s="5" t="s">
        <v>1313</v>
      </c>
      <c r="N559" s="5" t="s">
        <v>1337</v>
      </c>
      <c r="O559" s="5" t="s">
        <v>1338</v>
      </c>
      <c r="P559" s="5" t="s">
        <v>1323</v>
      </c>
      <c r="Q559" s="5" t="s">
        <v>1184</v>
      </c>
      <c r="R559" s="151">
        <v>3</v>
      </c>
      <c r="S559" s="143"/>
    </row>
    <row r="560" spans="1:19" x14ac:dyDescent="0.25">
      <c r="A560" s="5" t="s">
        <v>3005</v>
      </c>
      <c r="B560" s="147">
        <v>45875</v>
      </c>
      <c r="C560" s="5" t="s">
        <v>3006</v>
      </c>
      <c r="D560" s="5" t="s">
        <v>3007</v>
      </c>
      <c r="E560" s="5" t="s">
        <v>1195</v>
      </c>
      <c r="F560" s="5" t="s">
        <v>988</v>
      </c>
      <c r="G560" s="5" t="s">
        <v>1336</v>
      </c>
      <c r="H560" s="148">
        <v>4</v>
      </c>
      <c r="I560" s="149">
        <v>14241</v>
      </c>
      <c r="J560" s="150">
        <v>0.2</v>
      </c>
      <c r="K560" s="149">
        <v>45571.199999999997</v>
      </c>
      <c r="L560" s="149">
        <v>9322.2900000000009</v>
      </c>
      <c r="M560" s="5" t="s">
        <v>1313</v>
      </c>
      <c r="N560" s="5" t="s">
        <v>1304</v>
      </c>
      <c r="O560" s="5" t="s">
        <v>1305</v>
      </c>
      <c r="P560" s="5" t="s">
        <v>1323</v>
      </c>
      <c r="Q560" s="5" t="s">
        <v>1300</v>
      </c>
      <c r="R560" s="151">
        <v>2</v>
      </c>
      <c r="S560" s="143"/>
    </row>
    <row r="561" spans="1:19" x14ac:dyDescent="0.25">
      <c r="A561" s="5" t="s">
        <v>3008</v>
      </c>
      <c r="B561" s="147">
        <v>45951</v>
      </c>
      <c r="C561" s="5" t="s">
        <v>3009</v>
      </c>
      <c r="D561" s="5" t="s">
        <v>3010</v>
      </c>
      <c r="E561" s="5" t="s">
        <v>1295</v>
      </c>
      <c r="F561" s="5" t="s">
        <v>985</v>
      </c>
      <c r="G561" s="5" t="s">
        <v>1296</v>
      </c>
      <c r="H561" s="148">
        <v>3</v>
      </c>
      <c r="I561" s="149">
        <v>948</v>
      </c>
      <c r="J561" s="150">
        <v>0.1</v>
      </c>
      <c r="K561" s="149">
        <v>2559.6</v>
      </c>
      <c r="L561" s="149">
        <v>219.11</v>
      </c>
      <c r="M561" s="5" t="s">
        <v>1381</v>
      </c>
      <c r="N561" s="5" t="s">
        <v>1297</v>
      </c>
      <c r="O561" s="5" t="s">
        <v>1298</v>
      </c>
      <c r="P561" s="5" t="s">
        <v>1348</v>
      </c>
      <c r="Q561" s="5" t="s">
        <v>1300</v>
      </c>
      <c r="R561" s="151">
        <v>1</v>
      </c>
      <c r="S561" s="143"/>
    </row>
    <row r="562" spans="1:19" x14ac:dyDescent="0.25">
      <c r="A562" s="5" t="s">
        <v>3011</v>
      </c>
      <c r="B562" s="147">
        <v>45876</v>
      </c>
      <c r="C562" s="5" t="s">
        <v>3012</v>
      </c>
      <c r="D562" s="5" t="s">
        <v>3013</v>
      </c>
      <c r="E562" s="5" t="s">
        <v>1370</v>
      </c>
      <c r="F562" s="5" t="s">
        <v>1160</v>
      </c>
      <c r="G562" s="5" t="s">
        <v>1371</v>
      </c>
      <c r="H562" s="148">
        <v>3</v>
      </c>
      <c r="I562" s="149">
        <v>14054</v>
      </c>
      <c r="J562" s="150">
        <v>0</v>
      </c>
      <c r="K562" s="149">
        <v>42162</v>
      </c>
      <c r="L562" s="149">
        <v>11154.02</v>
      </c>
      <c r="M562" s="5" t="s">
        <v>1130</v>
      </c>
      <c r="N562" s="5" t="s">
        <v>1297</v>
      </c>
      <c r="O562" s="5" t="s">
        <v>1298</v>
      </c>
      <c r="P562" s="5" t="s">
        <v>1314</v>
      </c>
      <c r="Q562" s="5" t="s">
        <v>1306</v>
      </c>
      <c r="R562" s="151">
        <v>5</v>
      </c>
      <c r="S562" s="143"/>
    </row>
    <row r="563" spans="1:19" x14ac:dyDescent="0.25">
      <c r="A563" s="5" t="s">
        <v>3014</v>
      </c>
      <c r="B563" s="147">
        <v>45741</v>
      </c>
      <c r="C563" s="5" t="s">
        <v>3015</v>
      </c>
      <c r="D563" s="5" t="s">
        <v>3016</v>
      </c>
      <c r="E563" s="5" t="s">
        <v>1195</v>
      </c>
      <c r="F563" s="5" t="s">
        <v>988</v>
      </c>
      <c r="G563" s="5" t="s">
        <v>1336</v>
      </c>
      <c r="H563" s="148">
        <v>1</v>
      </c>
      <c r="I563" s="149">
        <v>2086</v>
      </c>
      <c r="J563" s="150">
        <v>0.1</v>
      </c>
      <c r="K563" s="149">
        <v>1877.4</v>
      </c>
      <c r="L563" s="149">
        <v>528.26</v>
      </c>
      <c r="M563" s="5" t="s">
        <v>1344</v>
      </c>
      <c r="N563" s="5" t="s">
        <v>1304</v>
      </c>
      <c r="O563" s="5" t="s">
        <v>1305</v>
      </c>
      <c r="P563" s="5" t="s">
        <v>1323</v>
      </c>
      <c r="Q563" s="5" t="s">
        <v>1204</v>
      </c>
      <c r="R563" s="151">
        <v>1</v>
      </c>
      <c r="S563" s="143"/>
    </row>
    <row r="564" spans="1:19" x14ac:dyDescent="0.25">
      <c r="A564" s="5" t="s">
        <v>3017</v>
      </c>
      <c r="B564" s="147">
        <v>45897</v>
      </c>
      <c r="C564" s="5" t="s">
        <v>3018</v>
      </c>
      <c r="D564" s="5" t="s">
        <v>3019</v>
      </c>
      <c r="E564" s="5" t="s">
        <v>1331</v>
      </c>
      <c r="F564" s="5" t="s">
        <v>988</v>
      </c>
      <c r="G564" s="5" t="s">
        <v>1332</v>
      </c>
      <c r="H564" s="148">
        <v>2</v>
      </c>
      <c r="I564" s="149">
        <v>5322</v>
      </c>
      <c r="J564" s="150">
        <v>0.05</v>
      </c>
      <c r="K564" s="149">
        <v>10111.799999999999</v>
      </c>
      <c r="L564" s="149">
        <v>1253.27</v>
      </c>
      <c r="M564" s="5" t="s">
        <v>1130</v>
      </c>
      <c r="N564" s="5" t="s">
        <v>1304</v>
      </c>
      <c r="O564" s="5" t="s">
        <v>1305</v>
      </c>
      <c r="P564" s="5" t="s">
        <v>1327</v>
      </c>
      <c r="Q564" s="5" t="s">
        <v>1204</v>
      </c>
      <c r="R564" s="151">
        <v>1</v>
      </c>
      <c r="S564" s="143"/>
    </row>
    <row r="565" spans="1:19" x14ac:dyDescent="0.25">
      <c r="A565" s="5" t="s">
        <v>3020</v>
      </c>
      <c r="B565" s="147">
        <v>45995</v>
      </c>
      <c r="C565" s="5" t="s">
        <v>3021</v>
      </c>
      <c r="D565" s="5" t="s">
        <v>3022</v>
      </c>
      <c r="E565" s="5" t="s">
        <v>1342</v>
      </c>
      <c r="F565" s="5" t="s">
        <v>988</v>
      </c>
      <c r="G565" s="5" t="s">
        <v>1343</v>
      </c>
      <c r="H565" s="148">
        <v>5</v>
      </c>
      <c r="I565" s="149">
        <v>2573</v>
      </c>
      <c r="J565" s="150">
        <v>0.15</v>
      </c>
      <c r="K565" s="149">
        <v>10935.25</v>
      </c>
      <c r="L565" s="149">
        <v>3254.14</v>
      </c>
      <c r="M565" s="5" t="s">
        <v>1313</v>
      </c>
      <c r="N565" s="5" t="s">
        <v>1337</v>
      </c>
      <c r="O565" s="5" t="s">
        <v>1338</v>
      </c>
      <c r="P565" s="5" t="s">
        <v>1348</v>
      </c>
      <c r="Q565" s="5" t="s">
        <v>1306</v>
      </c>
      <c r="R565" s="151">
        <v>1</v>
      </c>
      <c r="S565" s="143"/>
    </row>
    <row r="566" spans="1:19" x14ac:dyDescent="0.25">
      <c r="A566" s="5" t="s">
        <v>3023</v>
      </c>
      <c r="B566" s="147">
        <v>45843</v>
      </c>
      <c r="C566" s="5" t="s">
        <v>3024</v>
      </c>
      <c r="D566" s="5" t="s">
        <v>3025</v>
      </c>
      <c r="E566" s="5" t="s">
        <v>1359</v>
      </c>
      <c r="F566" s="5" t="s">
        <v>1360</v>
      </c>
      <c r="G566" s="5" t="s">
        <v>1361</v>
      </c>
      <c r="H566" s="148">
        <v>1</v>
      </c>
      <c r="I566" s="149">
        <v>12093</v>
      </c>
      <c r="J566" s="150">
        <v>0.1</v>
      </c>
      <c r="K566" s="149">
        <v>10883.7</v>
      </c>
      <c r="L566" s="149">
        <v>2622.09</v>
      </c>
      <c r="M566" s="5" t="s">
        <v>1313</v>
      </c>
      <c r="N566" s="5" t="s">
        <v>1362</v>
      </c>
      <c r="O566" s="5" t="s">
        <v>1363</v>
      </c>
      <c r="P566" s="5" t="s">
        <v>1348</v>
      </c>
      <c r="Q566" s="5" t="s">
        <v>1300</v>
      </c>
      <c r="R566" s="151">
        <v>5</v>
      </c>
      <c r="S566" s="143"/>
    </row>
    <row r="567" spans="1:19" x14ac:dyDescent="0.25">
      <c r="A567" s="5" t="s">
        <v>3026</v>
      </c>
      <c r="B567" s="147">
        <v>45881</v>
      </c>
      <c r="C567" s="5" t="s">
        <v>3027</v>
      </c>
      <c r="D567" s="5" t="s">
        <v>3028</v>
      </c>
      <c r="E567" s="5" t="s">
        <v>1370</v>
      </c>
      <c r="F567" s="5" t="s">
        <v>1160</v>
      </c>
      <c r="G567" s="5" t="s">
        <v>1371</v>
      </c>
      <c r="H567" s="148">
        <v>2</v>
      </c>
      <c r="I567" s="149">
        <v>12080</v>
      </c>
      <c r="J567" s="150">
        <v>0.15</v>
      </c>
      <c r="K567" s="149">
        <v>20536</v>
      </c>
      <c r="L567" s="149">
        <v>6035.46</v>
      </c>
      <c r="M567" s="5" t="s">
        <v>1313</v>
      </c>
      <c r="N567" s="5" t="s">
        <v>1304</v>
      </c>
      <c r="O567" s="5" t="s">
        <v>1305</v>
      </c>
      <c r="P567" s="5" t="s">
        <v>1327</v>
      </c>
      <c r="Q567" s="5" t="s">
        <v>1300</v>
      </c>
      <c r="R567" s="151">
        <v>4</v>
      </c>
      <c r="S567" s="143"/>
    </row>
    <row r="568" spans="1:19" x14ac:dyDescent="0.25">
      <c r="A568" s="5" t="s">
        <v>3029</v>
      </c>
      <c r="B568" s="147">
        <v>45987</v>
      </c>
      <c r="C568" s="5" t="s">
        <v>3030</v>
      </c>
      <c r="D568" s="5" t="s">
        <v>3031</v>
      </c>
      <c r="E568" s="5" t="s">
        <v>1310</v>
      </c>
      <c r="F568" s="5" t="s">
        <v>1311</v>
      </c>
      <c r="G568" s="5" t="s">
        <v>1312</v>
      </c>
      <c r="H568" s="148">
        <v>4</v>
      </c>
      <c r="I568" s="149">
        <v>12257</v>
      </c>
      <c r="J568" s="150">
        <v>0</v>
      </c>
      <c r="K568" s="149">
        <v>49028</v>
      </c>
      <c r="L568" s="149">
        <v>6532.69</v>
      </c>
      <c r="M568" s="5" t="s">
        <v>1344</v>
      </c>
      <c r="N568" s="5" t="s">
        <v>1321</v>
      </c>
      <c r="O568" s="5" t="s">
        <v>1322</v>
      </c>
      <c r="P568" s="5" t="s">
        <v>1327</v>
      </c>
      <c r="Q568" s="5" t="s">
        <v>1306</v>
      </c>
      <c r="R568" s="151">
        <v>1</v>
      </c>
      <c r="S568" s="143"/>
    </row>
    <row r="569" spans="1:19" x14ac:dyDescent="0.25">
      <c r="A569" s="5" t="s">
        <v>3032</v>
      </c>
      <c r="B569" s="147">
        <v>45858</v>
      </c>
      <c r="C569" s="5" t="s">
        <v>3033</v>
      </c>
      <c r="D569" s="5" t="s">
        <v>3034</v>
      </c>
      <c r="E569" s="5" t="s">
        <v>1342</v>
      </c>
      <c r="F569" s="5" t="s">
        <v>988</v>
      </c>
      <c r="G569" s="5" t="s">
        <v>1343</v>
      </c>
      <c r="H569" s="148">
        <v>4</v>
      </c>
      <c r="I569" s="149">
        <v>7822</v>
      </c>
      <c r="J569" s="150">
        <v>0.05</v>
      </c>
      <c r="K569" s="149">
        <v>29723.599999999999</v>
      </c>
      <c r="L569" s="149">
        <v>4832.6000000000004</v>
      </c>
      <c r="M569" s="5" t="s">
        <v>1344</v>
      </c>
      <c r="N569" s="5" t="s">
        <v>1362</v>
      </c>
      <c r="O569" s="5" t="s">
        <v>1363</v>
      </c>
      <c r="P569" s="5" t="s">
        <v>1327</v>
      </c>
      <c r="Q569" s="5" t="s">
        <v>1306</v>
      </c>
      <c r="R569" s="151">
        <v>3</v>
      </c>
      <c r="S569" s="143"/>
    </row>
    <row r="570" spans="1:19" x14ac:dyDescent="0.25">
      <c r="A570" s="5" t="s">
        <v>3035</v>
      </c>
      <c r="B570" s="147">
        <v>45912</v>
      </c>
      <c r="C570" s="5" t="s">
        <v>3036</v>
      </c>
      <c r="D570" s="5" t="s">
        <v>3037</v>
      </c>
      <c r="E570" s="5" t="s">
        <v>1342</v>
      </c>
      <c r="F570" s="5" t="s">
        <v>988</v>
      </c>
      <c r="G570" s="5" t="s">
        <v>1343</v>
      </c>
      <c r="H570" s="148">
        <v>5</v>
      </c>
      <c r="I570" s="149">
        <v>12931</v>
      </c>
      <c r="J570" s="150">
        <v>0.15</v>
      </c>
      <c r="K570" s="149">
        <v>54956.75</v>
      </c>
      <c r="L570" s="149">
        <v>12623.03</v>
      </c>
      <c r="M570" s="5" t="s">
        <v>1313</v>
      </c>
      <c r="N570" s="5" t="s">
        <v>1321</v>
      </c>
      <c r="O570" s="5" t="s">
        <v>1322</v>
      </c>
      <c r="P570" s="5" t="s">
        <v>1327</v>
      </c>
      <c r="Q570" s="5" t="s">
        <v>1306</v>
      </c>
      <c r="R570" s="151">
        <v>5</v>
      </c>
      <c r="S570" s="143"/>
    </row>
    <row r="571" spans="1:19" x14ac:dyDescent="0.25">
      <c r="A571" s="5" t="s">
        <v>3038</v>
      </c>
      <c r="B571" s="147">
        <v>45731</v>
      </c>
      <c r="C571" s="5" t="s">
        <v>3039</v>
      </c>
      <c r="D571" s="5" t="s">
        <v>3040</v>
      </c>
      <c r="E571" s="5" t="s">
        <v>1342</v>
      </c>
      <c r="F571" s="5" t="s">
        <v>988</v>
      </c>
      <c r="G571" s="5" t="s">
        <v>1343</v>
      </c>
      <c r="H571" s="148">
        <v>2</v>
      </c>
      <c r="I571" s="149">
        <v>8181</v>
      </c>
      <c r="J571" s="150">
        <v>0.2</v>
      </c>
      <c r="K571" s="149">
        <v>13089.6</v>
      </c>
      <c r="L571" s="149">
        <v>3129.97</v>
      </c>
      <c r="M571" s="5" t="s">
        <v>1126</v>
      </c>
      <c r="N571" s="5" t="s">
        <v>1337</v>
      </c>
      <c r="O571" s="5" t="s">
        <v>1338</v>
      </c>
      <c r="P571" s="5" t="s">
        <v>1323</v>
      </c>
      <c r="Q571" s="5" t="s">
        <v>1204</v>
      </c>
      <c r="R571" s="151">
        <v>4</v>
      </c>
      <c r="S571" s="143"/>
    </row>
    <row r="572" spans="1:19" x14ac:dyDescent="0.25">
      <c r="A572" s="5" t="s">
        <v>3041</v>
      </c>
      <c r="B572" s="147">
        <v>45779</v>
      </c>
      <c r="C572" s="5" t="s">
        <v>3042</v>
      </c>
      <c r="D572" s="5" t="s">
        <v>3043</v>
      </c>
      <c r="E572" s="5" t="s">
        <v>1318</v>
      </c>
      <c r="F572" s="5" t="s">
        <v>1319</v>
      </c>
      <c r="G572" s="5" t="s">
        <v>1320</v>
      </c>
      <c r="H572" s="148">
        <v>4</v>
      </c>
      <c r="I572" s="149">
        <v>13944</v>
      </c>
      <c r="J572" s="150">
        <v>0</v>
      </c>
      <c r="K572" s="149">
        <v>55776</v>
      </c>
      <c r="L572" s="149">
        <v>5131.05</v>
      </c>
      <c r="M572" s="5" t="s">
        <v>1313</v>
      </c>
      <c r="N572" s="5" t="s">
        <v>1337</v>
      </c>
      <c r="O572" s="5" t="s">
        <v>1338</v>
      </c>
      <c r="P572" s="5" t="s">
        <v>1299</v>
      </c>
      <c r="Q572" s="5" t="s">
        <v>1306</v>
      </c>
      <c r="R572" s="151">
        <v>3</v>
      </c>
      <c r="S572" s="143"/>
    </row>
    <row r="573" spans="1:19" x14ac:dyDescent="0.25">
      <c r="A573" s="5" t="s">
        <v>3044</v>
      </c>
      <c r="B573" s="147">
        <v>45662</v>
      </c>
      <c r="C573" s="5" t="s">
        <v>3045</v>
      </c>
      <c r="D573" s="5" t="s">
        <v>3046</v>
      </c>
      <c r="E573" s="5" t="s">
        <v>1195</v>
      </c>
      <c r="F573" s="5" t="s">
        <v>988</v>
      </c>
      <c r="G573" s="5" t="s">
        <v>1336</v>
      </c>
      <c r="H573" s="148">
        <v>5</v>
      </c>
      <c r="I573" s="149">
        <v>12750</v>
      </c>
      <c r="J573" s="150">
        <v>0.1</v>
      </c>
      <c r="K573" s="149">
        <v>57375</v>
      </c>
      <c r="L573" s="149">
        <v>7221.65</v>
      </c>
      <c r="M573" s="5" t="s">
        <v>1344</v>
      </c>
      <c r="N573" s="5" t="s">
        <v>1297</v>
      </c>
      <c r="O573" s="5" t="s">
        <v>1298</v>
      </c>
      <c r="P573" s="5" t="s">
        <v>1323</v>
      </c>
      <c r="Q573" s="5" t="s">
        <v>1204</v>
      </c>
      <c r="R573" s="151">
        <v>3</v>
      </c>
      <c r="S573" s="143"/>
    </row>
    <row r="574" spans="1:19" x14ac:dyDescent="0.25">
      <c r="A574" s="5" t="s">
        <v>3047</v>
      </c>
      <c r="B574" s="147">
        <v>45885</v>
      </c>
      <c r="C574" s="5" t="s">
        <v>3048</v>
      </c>
      <c r="D574" s="5" t="s">
        <v>3049</v>
      </c>
      <c r="E574" s="5" t="s">
        <v>1295</v>
      </c>
      <c r="F574" s="5" t="s">
        <v>985</v>
      </c>
      <c r="G574" s="5" t="s">
        <v>1296</v>
      </c>
      <c r="H574" s="148">
        <v>3</v>
      </c>
      <c r="I574" s="149">
        <v>12161</v>
      </c>
      <c r="J574" s="150">
        <v>0.1</v>
      </c>
      <c r="K574" s="149">
        <v>32834.699999999997</v>
      </c>
      <c r="L574" s="149">
        <v>3339.95</v>
      </c>
      <c r="M574" s="5" t="s">
        <v>1126</v>
      </c>
      <c r="N574" s="5" t="s">
        <v>1362</v>
      </c>
      <c r="O574" s="5" t="s">
        <v>1363</v>
      </c>
      <c r="P574" s="5" t="s">
        <v>1348</v>
      </c>
      <c r="Q574" s="5" t="s">
        <v>1300</v>
      </c>
      <c r="R574" s="151">
        <v>5</v>
      </c>
      <c r="S574" s="143"/>
    </row>
    <row r="575" spans="1:19" x14ac:dyDescent="0.25">
      <c r="A575" s="5" t="s">
        <v>3050</v>
      </c>
      <c r="B575" s="147">
        <v>45736</v>
      </c>
      <c r="C575" s="5" t="s">
        <v>3051</v>
      </c>
      <c r="D575" s="5" t="s">
        <v>3052</v>
      </c>
      <c r="E575" s="5" t="s">
        <v>1331</v>
      </c>
      <c r="F575" s="5" t="s">
        <v>988</v>
      </c>
      <c r="G575" s="5" t="s">
        <v>1332</v>
      </c>
      <c r="H575" s="148">
        <v>2</v>
      </c>
      <c r="I575" s="149">
        <v>13407</v>
      </c>
      <c r="J575" s="150">
        <v>0.15</v>
      </c>
      <c r="K575" s="149">
        <v>22791.9</v>
      </c>
      <c r="L575" s="149">
        <v>4365.7</v>
      </c>
      <c r="M575" s="5" t="s">
        <v>1130</v>
      </c>
      <c r="N575" s="5" t="s">
        <v>1304</v>
      </c>
      <c r="O575" s="5" t="s">
        <v>1305</v>
      </c>
      <c r="P575" s="5" t="s">
        <v>1323</v>
      </c>
      <c r="Q575" s="5" t="s">
        <v>1300</v>
      </c>
      <c r="R575" s="151">
        <v>1</v>
      </c>
      <c r="S575" s="143"/>
    </row>
    <row r="576" spans="1:19" x14ac:dyDescent="0.25">
      <c r="A576" s="5" t="s">
        <v>3053</v>
      </c>
      <c r="B576" s="147">
        <v>45877</v>
      </c>
      <c r="C576" s="5" t="s">
        <v>3054</v>
      </c>
      <c r="D576" s="5" t="s">
        <v>3055</v>
      </c>
      <c r="E576" s="5" t="s">
        <v>1295</v>
      </c>
      <c r="F576" s="5" t="s">
        <v>985</v>
      </c>
      <c r="G576" s="5" t="s">
        <v>1296</v>
      </c>
      <c r="H576" s="148">
        <v>4</v>
      </c>
      <c r="I576" s="149">
        <v>532</v>
      </c>
      <c r="J576" s="150">
        <v>0.1</v>
      </c>
      <c r="K576" s="149">
        <v>1915.2</v>
      </c>
      <c r="L576" s="149">
        <v>336.57</v>
      </c>
      <c r="M576" s="5" t="s">
        <v>1313</v>
      </c>
      <c r="N576" s="5" t="s">
        <v>1362</v>
      </c>
      <c r="O576" s="5" t="s">
        <v>1363</v>
      </c>
      <c r="P576" s="5" t="s">
        <v>1327</v>
      </c>
      <c r="Q576" s="5" t="s">
        <v>1306</v>
      </c>
      <c r="R576" s="151">
        <v>4</v>
      </c>
      <c r="S576" s="143"/>
    </row>
    <row r="577" spans="1:19" x14ac:dyDescent="0.25">
      <c r="A577" s="5" t="s">
        <v>3056</v>
      </c>
      <c r="B577" s="147">
        <v>45943</v>
      </c>
      <c r="C577" s="5" t="s">
        <v>3057</v>
      </c>
      <c r="D577" s="5" t="s">
        <v>3058</v>
      </c>
      <c r="E577" s="5" t="s">
        <v>1342</v>
      </c>
      <c r="F577" s="5" t="s">
        <v>988</v>
      </c>
      <c r="G577" s="5" t="s">
        <v>1343</v>
      </c>
      <c r="H577" s="148">
        <v>3</v>
      </c>
      <c r="I577" s="149">
        <v>4008</v>
      </c>
      <c r="J577" s="150">
        <v>0.1</v>
      </c>
      <c r="K577" s="149">
        <v>10821.6</v>
      </c>
      <c r="L577" s="149">
        <v>2108.34</v>
      </c>
      <c r="M577" s="5" t="s">
        <v>1313</v>
      </c>
      <c r="N577" s="5" t="s">
        <v>1297</v>
      </c>
      <c r="O577" s="5" t="s">
        <v>1298</v>
      </c>
      <c r="P577" s="5" t="s">
        <v>1348</v>
      </c>
      <c r="Q577" s="5" t="s">
        <v>1300</v>
      </c>
      <c r="R577" s="151">
        <v>4</v>
      </c>
      <c r="S577" s="143"/>
    </row>
    <row r="578" spans="1:19" x14ac:dyDescent="0.25">
      <c r="A578" s="5" t="s">
        <v>3059</v>
      </c>
      <c r="B578" s="147">
        <v>45702</v>
      </c>
      <c r="C578" s="5" t="s">
        <v>3060</v>
      </c>
      <c r="D578" s="5" t="s">
        <v>3061</v>
      </c>
      <c r="E578" s="5" t="s">
        <v>1370</v>
      </c>
      <c r="F578" s="5" t="s">
        <v>1160</v>
      </c>
      <c r="G578" s="5" t="s">
        <v>1371</v>
      </c>
      <c r="H578" s="148">
        <v>4</v>
      </c>
      <c r="I578" s="149">
        <v>7203</v>
      </c>
      <c r="J578" s="150">
        <v>0.15</v>
      </c>
      <c r="K578" s="149">
        <v>24490.2</v>
      </c>
      <c r="L578" s="149">
        <v>6015.24</v>
      </c>
      <c r="M578" s="5" t="s">
        <v>1313</v>
      </c>
      <c r="N578" s="5" t="s">
        <v>1362</v>
      </c>
      <c r="O578" s="5" t="s">
        <v>1363</v>
      </c>
      <c r="P578" s="5" t="s">
        <v>1348</v>
      </c>
      <c r="Q578" s="5" t="s">
        <v>1300</v>
      </c>
      <c r="R578" s="151">
        <v>4</v>
      </c>
      <c r="S578" s="143"/>
    </row>
    <row r="579" spans="1:19" x14ac:dyDescent="0.25">
      <c r="A579" s="5" t="s">
        <v>3062</v>
      </c>
      <c r="B579" s="147">
        <v>45753</v>
      </c>
      <c r="C579" s="5" t="s">
        <v>3063</v>
      </c>
      <c r="D579" s="5" t="s">
        <v>3064</v>
      </c>
      <c r="E579" s="5" t="s">
        <v>1310</v>
      </c>
      <c r="F579" s="5" t="s">
        <v>1311</v>
      </c>
      <c r="G579" s="5" t="s">
        <v>1312</v>
      </c>
      <c r="H579" s="148">
        <v>4</v>
      </c>
      <c r="I579" s="149">
        <v>2876</v>
      </c>
      <c r="J579" s="150">
        <v>0</v>
      </c>
      <c r="K579" s="149">
        <v>11504</v>
      </c>
      <c r="L579" s="149">
        <v>1393.82</v>
      </c>
      <c r="M579" s="5" t="s">
        <v>1126</v>
      </c>
      <c r="N579" s="5" t="s">
        <v>1321</v>
      </c>
      <c r="O579" s="5" t="s">
        <v>1322</v>
      </c>
      <c r="P579" s="5" t="s">
        <v>1314</v>
      </c>
      <c r="Q579" s="5" t="s">
        <v>1300</v>
      </c>
      <c r="R579" s="151">
        <v>4</v>
      </c>
      <c r="S579" s="143"/>
    </row>
    <row r="580" spans="1:19" x14ac:dyDescent="0.25">
      <c r="A580" s="5" t="s">
        <v>3065</v>
      </c>
      <c r="B580" s="147">
        <v>45866</v>
      </c>
      <c r="C580" s="5" t="s">
        <v>3066</v>
      </c>
      <c r="D580" s="5" t="s">
        <v>3067</v>
      </c>
      <c r="E580" s="5" t="s">
        <v>1331</v>
      </c>
      <c r="F580" s="5" t="s">
        <v>988</v>
      </c>
      <c r="G580" s="5" t="s">
        <v>1332</v>
      </c>
      <c r="H580" s="148">
        <v>4</v>
      </c>
      <c r="I580" s="149">
        <v>12069</v>
      </c>
      <c r="J580" s="150">
        <v>0</v>
      </c>
      <c r="K580" s="149">
        <v>48276</v>
      </c>
      <c r="L580" s="149">
        <v>6633.6</v>
      </c>
      <c r="M580" s="5" t="s">
        <v>1126</v>
      </c>
      <c r="N580" s="5" t="s">
        <v>1297</v>
      </c>
      <c r="O580" s="5" t="s">
        <v>1298</v>
      </c>
      <c r="P580" s="5" t="s">
        <v>1348</v>
      </c>
      <c r="Q580" s="5" t="s">
        <v>1306</v>
      </c>
      <c r="R580" s="151">
        <v>4</v>
      </c>
      <c r="S580" s="143"/>
    </row>
    <row r="581" spans="1:19" x14ac:dyDescent="0.25">
      <c r="A581" s="5" t="s">
        <v>3068</v>
      </c>
      <c r="B581" s="147">
        <v>45720</v>
      </c>
      <c r="C581" s="5" t="s">
        <v>3069</v>
      </c>
      <c r="D581" s="5" t="s">
        <v>3070</v>
      </c>
      <c r="E581" s="5" t="s">
        <v>1195</v>
      </c>
      <c r="F581" s="5" t="s">
        <v>988</v>
      </c>
      <c r="G581" s="5" t="s">
        <v>1336</v>
      </c>
      <c r="H581" s="148">
        <v>1</v>
      </c>
      <c r="I581" s="149">
        <v>10038</v>
      </c>
      <c r="J581" s="150">
        <v>0.15</v>
      </c>
      <c r="K581" s="149">
        <v>8532.2999999999993</v>
      </c>
      <c r="L581" s="149">
        <v>1599.92</v>
      </c>
      <c r="M581" s="5" t="s">
        <v>1126</v>
      </c>
      <c r="N581" s="5" t="s">
        <v>1352</v>
      </c>
      <c r="O581" s="5" t="s">
        <v>1352</v>
      </c>
      <c r="P581" s="5" t="s">
        <v>1314</v>
      </c>
      <c r="Q581" s="5" t="s">
        <v>1184</v>
      </c>
      <c r="R581" s="151">
        <v>5</v>
      </c>
      <c r="S581" s="143"/>
    </row>
    <row r="582" spans="1:19" x14ac:dyDescent="0.25">
      <c r="A582" s="5" t="s">
        <v>3071</v>
      </c>
      <c r="B582" s="147">
        <v>45775</v>
      </c>
      <c r="C582" s="5" t="s">
        <v>3072</v>
      </c>
      <c r="D582" s="5" t="s">
        <v>3073</v>
      </c>
      <c r="E582" s="5" t="s">
        <v>1295</v>
      </c>
      <c r="F582" s="5" t="s">
        <v>985</v>
      </c>
      <c r="G582" s="5" t="s">
        <v>1296</v>
      </c>
      <c r="H582" s="148">
        <v>2</v>
      </c>
      <c r="I582" s="149">
        <v>1364</v>
      </c>
      <c r="J582" s="150">
        <v>0.2</v>
      </c>
      <c r="K582" s="149">
        <v>2182.4</v>
      </c>
      <c r="L582" s="149">
        <v>594.16</v>
      </c>
      <c r="M582" s="5" t="s">
        <v>1126</v>
      </c>
      <c r="N582" s="5" t="s">
        <v>1321</v>
      </c>
      <c r="O582" s="5" t="s">
        <v>1322</v>
      </c>
      <c r="P582" s="5" t="s">
        <v>1327</v>
      </c>
      <c r="Q582" s="5" t="s">
        <v>1184</v>
      </c>
      <c r="R582" s="151">
        <v>1</v>
      </c>
      <c r="S582" s="143"/>
    </row>
    <row r="583" spans="1:19" x14ac:dyDescent="0.25">
      <c r="A583" s="5" t="s">
        <v>3074</v>
      </c>
      <c r="B583" s="147">
        <v>45727</v>
      </c>
      <c r="C583" s="5" t="s">
        <v>3075</v>
      </c>
      <c r="D583" s="5" t="s">
        <v>3076</v>
      </c>
      <c r="E583" s="5" t="s">
        <v>1318</v>
      </c>
      <c r="F583" s="5" t="s">
        <v>1319</v>
      </c>
      <c r="G583" s="5" t="s">
        <v>1320</v>
      </c>
      <c r="H583" s="148">
        <v>3</v>
      </c>
      <c r="I583" s="149">
        <v>4116</v>
      </c>
      <c r="J583" s="150">
        <v>0.2</v>
      </c>
      <c r="K583" s="149">
        <v>9878.4</v>
      </c>
      <c r="L583" s="149">
        <v>1755.28</v>
      </c>
      <c r="M583" s="5" t="s">
        <v>1126</v>
      </c>
      <c r="N583" s="5" t="s">
        <v>1362</v>
      </c>
      <c r="O583" s="5" t="s">
        <v>1363</v>
      </c>
      <c r="P583" s="5" t="s">
        <v>1323</v>
      </c>
      <c r="Q583" s="5" t="s">
        <v>1184</v>
      </c>
      <c r="R583" s="151">
        <v>1</v>
      </c>
      <c r="S583" s="143"/>
    </row>
    <row r="584" spans="1:19" x14ac:dyDescent="0.25">
      <c r="A584" s="5" t="s">
        <v>3077</v>
      </c>
      <c r="B584" s="147">
        <v>45927</v>
      </c>
      <c r="C584" s="5" t="s">
        <v>3078</v>
      </c>
      <c r="D584" s="5" t="s">
        <v>3079</v>
      </c>
      <c r="E584" s="5" t="s">
        <v>1331</v>
      </c>
      <c r="F584" s="5" t="s">
        <v>988</v>
      </c>
      <c r="G584" s="5" t="s">
        <v>1332</v>
      </c>
      <c r="H584" s="148">
        <v>5</v>
      </c>
      <c r="I584" s="149">
        <v>1038</v>
      </c>
      <c r="J584" s="150">
        <v>0.1</v>
      </c>
      <c r="K584" s="149">
        <v>4671</v>
      </c>
      <c r="L584" s="149">
        <v>1004.43</v>
      </c>
      <c r="M584" s="5" t="s">
        <v>1344</v>
      </c>
      <c r="N584" s="5" t="s">
        <v>1304</v>
      </c>
      <c r="O584" s="5" t="s">
        <v>1305</v>
      </c>
      <c r="P584" s="5" t="s">
        <v>1348</v>
      </c>
      <c r="Q584" s="5" t="s">
        <v>1184</v>
      </c>
      <c r="R584" s="151">
        <v>1</v>
      </c>
      <c r="S584" s="143"/>
    </row>
    <row r="585" spans="1:19" x14ac:dyDescent="0.25">
      <c r="A585" s="5" t="s">
        <v>3080</v>
      </c>
      <c r="B585" s="147">
        <v>45801</v>
      </c>
      <c r="C585" s="5" t="s">
        <v>3081</v>
      </c>
      <c r="D585" s="5" t="s">
        <v>3082</v>
      </c>
      <c r="E585" s="5" t="s">
        <v>1370</v>
      </c>
      <c r="F585" s="5" t="s">
        <v>1160</v>
      </c>
      <c r="G585" s="5" t="s">
        <v>1371</v>
      </c>
      <c r="H585" s="148">
        <v>2</v>
      </c>
      <c r="I585" s="149">
        <v>4259</v>
      </c>
      <c r="J585" s="150">
        <v>0.1</v>
      </c>
      <c r="K585" s="149">
        <v>7666.2</v>
      </c>
      <c r="L585" s="149">
        <v>1614.68</v>
      </c>
      <c r="M585" s="5" t="s">
        <v>1313</v>
      </c>
      <c r="N585" s="5" t="s">
        <v>1297</v>
      </c>
      <c r="O585" s="5" t="s">
        <v>1298</v>
      </c>
      <c r="P585" s="5" t="s">
        <v>1327</v>
      </c>
      <c r="Q585" s="5" t="s">
        <v>1300</v>
      </c>
      <c r="R585" s="151">
        <v>5</v>
      </c>
      <c r="S585" s="143"/>
    </row>
    <row r="586" spans="1:19" x14ac:dyDescent="0.25">
      <c r="A586" s="5" t="s">
        <v>3083</v>
      </c>
      <c r="B586" s="147">
        <v>45728</v>
      </c>
      <c r="C586" s="5" t="s">
        <v>3084</v>
      </c>
      <c r="D586" s="5" t="s">
        <v>3085</v>
      </c>
      <c r="E586" s="5" t="s">
        <v>1370</v>
      </c>
      <c r="F586" s="5" t="s">
        <v>1160</v>
      </c>
      <c r="G586" s="5" t="s">
        <v>1371</v>
      </c>
      <c r="H586" s="148">
        <v>2</v>
      </c>
      <c r="I586" s="149">
        <v>4283</v>
      </c>
      <c r="J586" s="150">
        <v>0.2</v>
      </c>
      <c r="K586" s="149">
        <v>6852.8</v>
      </c>
      <c r="L586" s="149">
        <v>2035.55</v>
      </c>
      <c r="M586" s="5" t="s">
        <v>1381</v>
      </c>
      <c r="N586" s="5" t="s">
        <v>1297</v>
      </c>
      <c r="O586" s="5" t="s">
        <v>1298</v>
      </c>
      <c r="P586" s="5" t="s">
        <v>1327</v>
      </c>
      <c r="Q586" s="5" t="s">
        <v>1204</v>
      </c>
      <c r="R586" s="151">
        <v>4</v>
      </c>
      <c r="S586" s="143"/>
    </row>
    <row r="587" spans="1:19" x14ac:dyDescent="0.25">
      <c r="A587" s="5" t="s">
        <v>3086</v>
      </c>
      <c r="B587" s="147">
        <v>45762</v>
      </c>
      <c r="C587" s="5" t="s">
        <v>3087</v>
      </c>
      <c r="D587" s="5" t="s">
        <v>3088</v>
      </c>
      <c r="E587" s="5" t="s">
        <v>1331</v>
      </c>
      <c r="F587" s="5" t="s">
        <v>988</v>
      </c>
      <c r="G587" s="5" t="s">
        <v>1332</v>
      </c>
      <c r="H587" s="148">
        <v>4</v>
      </c>
      <c r="I587" s="149">
        <v>10846</v>
      </c>
      <c r="J587" s="150">
        <v>0.2</v>
      </c>
      <c r="K587" s="149">
        <v>34707.199999999997</v>
      </c>
      <c r="L587" s="149">
        <v>3158.4</v>
      </c>
      <c r="M587" s="5" t="s">
        <v>1381</v>
      </c>
      <c r="N587" s="5" t="s">
        <v>1337</v>
      </c>
      <c r="O587" s="5" t="s">
        <v>1338</v>
      </c>
      <c r="P587" s="5" t="s">
        <v>1323</v>
      </c>
      <c r="Q587" s="5" t="s">
        <v>1306</v>
      </c>
      <c r="R587" s="151">
        <v>2</v>
      </c>
      <c r="S587" s="143"/>
    </row>
    <row r="588" spans="1:19" x14ac:dyDescent="0.25">
      <c r="A588" s="5" t="s">
        <v>3089</v>
      </c>
      <c r="B588" s="147">
        <v>45779</v>
      </c>
      <c r="C588" s="5" t="s">
        <v>3090</v>
      </c>
      <c r="D588" s="5" t="s">
        <v>3091</v>
      </c>
      <c r="E588" s="5" t="s">
        <v>1295</v>
      </c>
      <c r="F588" s="5" t="s">
        <v>985</v>
      </c>
      <c r="G588" s="5" t="s">
        <v>1296</v>
      </c>
      <c r="H588" s="148">
        <v>5</v>
      </c>
      <c r="I588" s="149">
        <v>1076</v>
      </c>
      <c r="J588" s="150">
        <v>0</v>
      </c>
      <c r="K588" s="149">
        <v>5380</v>
      </c>
      <c r="L588" s="149">
        <v>1012.39</v>
      </c>
      <c r="M588" s="5" t="s">
        <v>1126</v>
      </c>
      <c r="N588" s="5" t="s">
        <v>1304</v>
      </c>
      <c r="O588" s="5" t="s">
        <v>1305</v>
      </c>
      <c r="P588" s="5" t="s">
        <v>1323</v>
      </c>
      <c r="Q588" s="5" t="s">
        <v>1204</v>
      </c>
      <c r="R588" s="151">
        <v>1</v>
      </c>
      <c r="S588" s="143"/>
    </row>
    <row r="589" spans="1:19" x14ac:dyDescent="0.25">
      <c r="A589" s="5" t="s">
        <v>3092</v>
      </c>
      <c r="B589" s="147">
        <v>45698</v>
      </c>
      <c r="C589" s="5" t="s">
        <v>3093</v>
      </c>
      <c r="D589" s="5" t="s">
        <v>3094</v>
      </c>
      <c r="E589" s="5" t="s">
        <v>1295</v>
      </c>
      <c r="F589" s="5" t="s">
        <v>985</v>
      </c>
      <c r="G589" s="5" t="s">
        <v>1296</v>
      </c>
      <c r="H589" s="148">
        <v>4</v>
      </c>
      <c r="I589" s="149">
        <v>2413</v>
      </c>
      <c r="J589" s="150">
        <v>0.2</v>
      </c>
      <c r="K589" s="149">
        <v>7721.6</v>
      </c>
      <c r="L589" s="149">
        <v>1181.25</v>
      </c>
      <c r="M589" s="5" t="s">
        <v>1381</v>
      </c>
      <c r="N589" s="5" t="s">
        <v>1362</v>
      </c>
      <c r="O589" s="5" t="s">
        <v>1363</v>
      </c>
      <c r="P589" s="5" t="s">
        <v>1299</v>
      </c>
      <c r="Q589" s="5" t="s">
        <v>1306</v>
      </c>
      <c r="R589" s="151">
        <v>5</v>
      </c>
      <c r="S589" s="143"/>
    </row>
    <row r="590" spans="1:19" x14ac:dyDescent="0.25">
      <c r="A590" s="5" t="s">
        <v>3095</v>
      </c>
      <c r="B590" s="147">
        <v>45984</v>
      </c>
      <c r="C590" s="5" t="s">
        <v>3096</v>
      </c>
      <c r="D590" s="5" t="s">
        <v>3097</v>
      </c>
      <c r="E590" s="5" t="s">
        <v>1370</v>
      </c>
      <c r="F590" s="5" t="s">
        <v>1160</v>
      </c>
      <c r="G590" s="5" t="s">
        <v>1371</v>
      </c>
      <c r="H590" s="148">
        <v>1</v>
      </c>
      <c r="I590" s="149">
        <v>12945</v>
      </c>
      <c r="J590" s="150">
        <v>0.1</v>
      </c>
      <c r="K590" s="149">
        <v>11650.5</v>
      </c>
      <c r="L590" s="149">
        <v>2692.85</v>
      </c>
      <c r="M590" s="5" t="s">
        <v>1381</v>
      </c>
      <c r="N590" s="5" t="s">
        <v>1362</v>
      </c>
      <c r="O590" s="5" t="s">
        <v>1363</v>
      </c>
      <c r="P590" s="5" t="s">
        <v>1348</v>
      </c>
      <c r="Q590" s="5" t="s">
        <v>1306</v>
      </c>
      <c r="R590" s="151">
        <v>5</v>
      </c>
      <c r="S590" s="143"/>
    </row>
    <row r="591" spans="1:19" x14ac:dyDescent="0.25">
      <c r="A591" s="5" t="s">
        <v>3098</v>
      </c>
      <c r="B591" s="147">
        <v>45707</v>
      </c>
      <c r="C591" s="5" t="s">
        <v>3099</v>
      </c>
      <c r="D591" s="5" t="s">
        <v>3100</v>
      </c>
      <c r="E591" s="5" t="s">
        <v>1318</v>
      </c>
      <c r="F591" s="5" t="s">
        <v>1319</v>
      </c>
      <c r="G591" s="5" t="s">
        <v>1320</v>
      </c>
      <c r="H591" s="148">
        <v>3</v>
      </c>
      <c r="I591" s="149">
        <v>8564</v>
      </c>
      <c r="J591" s="150">
        <v>0.05</v>
      </c>
      <c r="K591" s="149">
        <v>24407.4</v>
      </c>
      <c r="L591" s="149">
        <v>2130.89</v>
      </c>
      <c r="M591" s="5" t="s">
        <v>1344</v>
      </c>
      <c r="N591" s="5" t="s">
        <v>1352</v>
      </c>
      <c r="O591" s="5" t="s">
        <v>1352</v>
      </c>
      <c r="P591" s="5" t="s">
        <v>1314</v>
      </c>
      <c r="Q591" s="5" t="s">
        <v>1184</v>
      </c>
      <c r="R591" s="151">
        <v>4</v>
      </c>
      <c r="S591" s="143"/>
    </row>
    <row r="592" spans="1:19" x14ac:dyDescent="0.25">
      <c r="A592" s="5" t="s">
        <v>3101</v>
      </c>
      <c r="B592" s="147">
        <v>45799</v>
      </c>
      <c r="C592" s="5" t="s">
        <v>3102</v>
      </c>
      <c r="D592" s="5" t="s">
        <v>3103</v>
      </c>
      <c r="E592" s="5" t="s">
        <v>1318</v>
      </c>
      <c r="F592" s="5" t="s">
        <v>1319</v>
      </c>
      <c r="G592" s="5" t="s">
        <v>1320</v>
      </c>
      <c r="H592" s="148">
        <v>5</v>
      </c>
      <c r="I592" s="149">
        <v>12648</v>
      </c>
      <c r="J592" s="150">
        <v>0</v>
      </c>
      <c r="K592" s="149">
        <v>63240</v>
      </c>
      <c r="L592" s="149">
        <v>16869.02</v>
      </c>
      <c r="M592" s="5" t="s">
        <v>1126</v>
      </c>
      <c r="N592" s="5" t="s">
        <v>1304</v>
      </c>
      <c r="O592" s="5" t="s">
        <v>1305</v>
      </c>
      <c r="P592" s="5" t="s">
        <v>1299</v>
      </c>
      <c r="Q592" s="5" t="s">
        <v>1300</v>
      </c>
      <c r="R592" s="151">
        <v>4</v>
      </c>
      <c r="S592" s="143"/>
    </row>
    <row r="593" spans="1:19" x14ac:dyDescent="0.25">
      <c r="A593" s="5" t="s">
        <v>3104</v>
      </c>
      <c r="B593" s="147">
        <v>45859</v>
      </c>
      <c r="C593" s="5" t="s">
        <v>3105</v>
      </c>
      <c r="D593" s="5" t="s">
        <v>3106</v>
      </c>
      <c r="E593" s="5" t="s">
        <v>1195</v>
      </c>
      <c r="F593" s="5" t="s">
        <v>988</v>
      </c>
      <c r="G593" s="5" t="s">
        <v>1336</v>
      </c>
      <c r="H593" s="148">
        <v>3</v>
      </c>
      <c r="I593" s="149">
        <v>3773</v>
      </c>
      <c r="J593" s="150">
        <v>0.05</v>
      </c>
      <c r="K593" s="149">
        <v>10753.05</v>
      </c>
      <c r="L593" s="149">
        <v>2954.77</v>
      </c>
      <c r="M593" s="5" t="s">
        <v>1130</v>
      </c>
      <c r="N593" s="5" t="s">
        <v>1304</v>
      </c>
      <c r="O593" s="5" t="s">
        <v>1305</v>
      </c>
      <c r="P593" s="5" t="s">
        <v>1299</v>
      </c>
      <c r="Q593" s="5" t="s">
        <v>1184</v>
      </c>
      <c r="R593" s="151">
        <v>4</v>
      </c>
      <c r="S593" s="143"/>
    </row>
    <row r="594" spans="1:19" x14ac:dyDescent="0.25">
      <c r="A594" s="5" t="s">
        <v>3107</v>
      </c>
      <c r="B594" s="147">
        <v>45867</v>
      </c>
      <c r="C594" s="5" t="s">
        <v>3108</v>
      </c>
      <c r="D594" s="5" t="s">
        <v>3109</v>
      </c>
      <c r="E594" s="5" t="s">
        <v>1370</v>
      </c>
      <c r="F594" s="5" t="s">
        <v>1160</v>
      </c>
      <c r="G594" s="5" t="s">
        <v>1371</v>
      </c>
      <c r="H594" s="148">
        <v>1</v>
      </c>
      <c r="I594" s="149">
        <v>3283</v>
      </c>
      <c r="J594" s="150">
        <v>0.05</v>
      </c>
      <c r="K594" s="149">
        <v>3118.85</v>
      </c>
      <c r="L594" s="149">
        <v>771.62</v>
      </c>
      <c r="M594" s="5" t="s">
        <v>1344</v>
      </c>
      <c r="N594" s="5" t="s">
        <v>1297</v>
      </c>
      <c r="O594" s="5" t="s">
        <v>1298</v>
      </c>
      <c r="P594" s="5" t="s">
        <v>1327</v>
      </c>
      <c r="Q594" s="5" t="s">
        <v>1306</v>
      </c>
      <c r="R594" s="151">
        <v>4</v>
      </c>
      <c r="S594" s="143"/>
    </row>
    <row r="595" spans="1:19" x14ac:dyDescent="0.25">
      <c r="A595" s="5" t="s">
        <v>3110</v>
      </c>
      <c r="B595" s="147">
        <v>45951</v>
      </c>
      <c r="C595" s="5" t="s">
        <v>3111</v>
      </c>
      <c r="D595" s="5" t="s">
        <v>3112</v>
      </c>
      <c r="E595" s="5" t="s">
        <v>1370</v>
      </c>
      <c r="F595" s="5" t="s">
        <v>1160</v>
      </c>
      <c r="G595" s="5" t="s">
        <v>1371</v>
      </c>
      <c r="H595" s="148">
        <v>1</v>
      </c>
      <c r="I595" s="149">
        <v>6490</v>
      </c>
      <c r="J595" s="150">
        <v>0.05</v>
      </c>
      <c r="K595" s="149">
        <v>6165.5</v>
      </c>
      <c r="L595" s="149">
        <v>848.3</v>
      </c>
      <c r="M595" s="5" t="s">
        <v>1381</v>
      </c>
      <c r="N595" s="5" t="s">
        <v>1362</v>
      </c>
      <c r="O595" s="5" t="s">
        <v>1363</v>
      </c>
      <c r="P595" s="5" t="s">
        <v>1348</v>
      </c>
      <c r="Q595" s="5" t="s">
        <v>1306</v>
      </c>
      <c r="R595" s="151">
        <v>5</v>
      </c>
      <c r="S595" s="143"/>
    </row>
    <row r="596" spans="1:19" x14ac:dyDescent="0.25">
      <c r="A596" s="5" t="s">
        <v>3113</v>
      </c>
      <c r="B596" s="147">
        <v>45698</v>
      </c>
      <c r="C596" s="5" t="s">
        <v>3114</v>
      </c>
      <c r="D596" s="5" t="s">
        <v>3115</v>
      </c>
      <c r="E596" s="5" t="s">
        <v>1195</v>
      </c>
      <c r="F596" s="5" t="s">
        <v>988</v>
      </c>
      <c r="G596" s="5" t="s">
        <v>1336</v>
      </c>
      <c r="H596" s="148">
        <v>3</v>
      </c>
      <c r="I596" s="149">
        <v>1714</v>
      </c>
      <c r="J596" s="150">
        <v>0.15</v>
      </c>
      <c r="K596" s="149">
        <v>4370.7</v>
      </c>
      <c r="L596" s="149">
        <v>845.75</v>
      </c>
      <c r="M596" s="5" t="s">
        <v>1344</v>
      </c>
      <c r="N596" s="5" t="s">
        <v>1297</v>
      </c>
      <c r="O596" s="5" t="s">
        <v>1298</v>
      </c>
      <c r="P596" s="5" t="s">
        <v>1314</v>
      </c>
      <c r="Q596" s="5" t="s">
        <v>1184</v>
      </c>
      <c r="R596" s="151">
        <v>3</v>
      </c>
      <c r="S596" s="143"/>
    </row>
    <row r="597" spans="1:19" x14ac:dyDescent="0.25">
      <c r="A597" s="5" t="s">
        <v>3116</v>
      </c>
      <c r="B597" s="147">
        <v>45815</v>
      </c>
      <c r="C597" s="5" t="s">
        <v>3117</v>
      </c>
      <c r="D597" s="5" t="s">
        <v>3118</v>
      </c>
      <c r="E597" s="5" t="s">
        <v>1310</v>
      </c>
      <c r="F597" s="5" t="s">
        <v>1311</v>
      </c>
      <c r="G597" s="5" t="s">
        <v>1312</v>
      </c>
      <c r="H597" s="148">
        <v>4</v>
      </c>
      <c r="I597" s="149">
        <v>2883</v>
      </c>
      <c r="J597" s="150">
        <v>0.1</v>
      </c>
      <c r="K597" s="149">
        <v>10378.799999999999</v>
      </c>
      <c r="L597" s="149">
        <v>2696.44</v>
      </c>
      <c r="M597" s="5" t="s">
        <v>1344</v>
      </c>
      <c r="N597" s="5" t="s">
        <v>1297</v>
      </c>
      <c r="O597" s="5" t="s">
        <v>1298</v>
      </c>
      <c r="P597" s="5" t="s">
        <v>1299</v>
      </c>
      <c r="Q597" s="5" t="s">
        <v>1184</v>
      </c>
      <c r="R597" s="151">
        <v>5</v>
      </c>
      <c r="S597" s="143"/>
    </row>
    <row r="598" spans="1:19" x14ac:dyDescent="0.25">
      <c r="A598" s="5" t="s">
        <v>3119</v>
      </c>
      <c r="B598" s="147">
        <v>45741</v>
      </c>
      <c r="C598" s="5" t="s">
        <v>3120</v>
      </c>
      <c r="D598" s="5" t="s">
        <v>3121</v>
      </c>
      <c r="E598" s="5" t="s">
        <v>1310</v>
      </c>
      <c r="F598" s="5" t="s">
        <v>1311</v>
      </c>
      <c r="G598" s="5" t="s">
        <v>1312</v>
      </c>
      <c r="H598" s="148">
        <v>5</v>
      </c>
      <c r="I598" s="149">
        <v>1694</v>
      </c>
      <c r="J598" s="150">
        <v>0.15</v>
      </c>
      <c r="K598" s="149">
        <v>7199.5</v>
      </c>
      <c r="L598" s="149">
        <v>993.4</v>
      </c>
      <c r="M598" s="5" t="s">
        <v>1313</v>
      </c>
      <c r="N598" s="5" t="s">
        <v>1321</v>
      </c>
      <c r="O598" s="5" t="s">
        <v>1322</v>
      </c>
      <c r="P598" s="5" t="s">
        <v>1314</v>
      </c>
      <c r="Q598" s="5" t="s">
        <v>1306</v>
      </c>
      <c r="R598" s="151">
        <v>4</v>
      </c>
      <c r="S598" s="143"/>
    </row>
    <row r="599" spans="1:19" x14ac:dyDescent="0.25">
      <c r="A599" s="5" t="s">
        <v>3122</v>
      </c>
      <c r="B599" s="147">
        <v>45971</v>
      </c>
      <c r="C599" s="5" t="s">
        <v>3123</v>
      </c>
      <c r="D599" s="5" t="s">
        <v>3124</v>
      </c>
      <c r="E599" s="5" t="s">
        <v>1318</v>
      </c>
      <c r="F599" s="5" t="s">
        <v>1319</v>
      </c>
      <c r="G599" s="5" t="s">
        <v>1320</v>
      </c>
      <c r="H599" s="148">
        <v>2</v>
      </c>
      <c r="I599" s="149">
        <v>5903</v>
      </c>
      <c r="J599" s="150">
        <v>0</v>
      </c>
      <c r="K599" s="149">
        <v>11806</v>
      </c>
      <c r="L599" s="149">
        <v>2544.4699999999998</v>
      </c>
      <c r="M599" s="5" t="s">
        <v>1313</v>
      </c>
      <c r="N599" s="5" t="s">
        <v>1304</v>
      </c>
      <c r="O599" s="5" t="s">
        <v>1305</v>
      </c>
      <c r="P599" s="5" t="s">
        <v>1299</v>
      </c>
      <c r="Q599" s="5" t="s">
        <v>1184</v>
      </c>
      <c r="R599" s="151">
        <v>5</v>
      </c>
      <c r="S599" s="143"/>
    </row>
    <row r="600" spans="1:19" x14ac:dyDescent="0.25">
      <c r="A600" s="5" t="s">
        <v>3125</v>
      </c>
      <c r="B600" s="147">
        <v>46011</v>
      </c>
      <c r="C600" s="5" t="s">
        <v>3126</v>
      </c>
      <c r="D600" s="5" t="s">
        <v>3127</v>
      </c>
      <c r="E600" s="5" t="s">
        <v>1310</v>
      </c>
      <c r="F600" s="5" t="s">
        <v>1311</v>
      </c>
      <c r="G600" s="5" t="s">
        <v>1312</v>
      </c>
      <c r="H600" s="148">
        <v>4</v>
      </c>
      <c r="I600" s="149">
        <v>6740</v>
      </c>
      <c r="J600" s="150">
        <v>0</v>
      </c>
      <c r="K600" s="149">
        <v>26960</v>
      </c>
      <c r="L600" s="149">
        <v>8068.18</v>
      </c>
      <c r="M600" s="5" t="s">
        <v>1344</v>
      </c>
      <c r="N600" s="5" t="s">
        <v>1304</v>
      </c>
      <c r="O600" s="5" t="s">
        <v>1305</v>
      </c>
      <c r="P600" s="5" t="s">
        <v>1327</v>
      </c>
      <c r="Q600" s="5" t="s">
        <v>1204</v>
      </c>
      <c r="R600" s="151">
        <v>2</v>
      </c>
      <c r="S600" s="143"/>
    </row>
    <row r="601" spans="1:19" x14ac:dyDescent="0.25">
      <c r="A601" s="5" t="s">
        <v>3128</v>
      </c>
      <c r="B601" s="147">
        <v>45943</v>
      </c>
      <c r="C601" s="5" t="s">
        <v>3129</v>
      </c>
      <c r="D601" s="5" t="s">
        <v>3130</v>
      </c>
      <c r="E601" s="5" t="s">
        <v>1295</v>
      </c>
      <c r="F601" s="5" t="s">
        <v>985</v>
      </c>
      <c r="G601" s="5" t="s">
        <v>1296</v>
      </c>
      <c r="H601" s="148">
        <v>3</v>
      </c>
      <c r="I601" s="149">
        <v>4982</v>
      </c>
      <c r="J601" s="150">
        <v>0.2</v>
      </c>
      <c r="K601" s="149">
        <v>11956.8</v>
      </c>
      <c r="L601" s="149">
        <v>1686.04</v>
      </c>
      <c r="M601" s="5" t="s">
        <v>1130</v>
      </c>
      <c r="N601" s="5" t="s">
        <v>1362</v>
      </c>
      <c r="O601" s="5" t="s">
        <v>1363</v>
      </c>
      <c r="P601" s="5" t="s">
        <v>1327</v>
      </c>
      <c r="Q601" s="5" t="s">
        <v>1300</v>
      </c>
      <c r="R601" s="151">
        <v>1</v>
      </c>
      <c r="S601" s="143"/>
    </row>
    <row r="602" spans="1:19" x14ac:dyDescent="0.25">
      <c r="A602" s="5" t="s">
        <v>3131</v>
      </c>
      <c r="B602" s="147">
        <v>45686</v>
      </c>
      <c r="C602" s="5" t="s">
        <v>3132</v>
      </c>
      <c r="D602" s="5" t="s">
        <v>3133</v>
      </c>
      <c r="E602" s="5" t="s">
        <v>1318</v>
      </c>
      <c r="F602" s="5" t="s">
        <v>1319</v>
      </c>
      <c r="G602" s="5" t="s">
        <v>1320</v>
      </c>
      <c r="H602" s="148">
        <v>2</v>
      </c>
      <c r="I602" s="149">
        <v>13442</v>
      </c>
      <c r="J602" s="150">
        <v>0.05</v>
      </c>
      <c r="K602" s="149">
        <v>25539.8</v>
      </c>
      <c r="L602" s="149">
        <v>4644.8500000000004</v>
      </c>
      <c r="M602" s="5" t="s">
        <v>1344</v>
      </c>
      <c r="N602" s="5" t="s">
        <v>1321</v>
      </c>
      <c r="O602" s="5" t="s">
        <v>1322</v>
      </c>
      <c r="P602" s="5" t="s">
        <v>1299</v>
      </c>
      <c r="Q602" s="5" t="s">
        <v>1306</v>
      </c>
      <c r="R602" s="151">
        <v>1</v>
      </c>
      <c r="S602" s="143"/>
    </row>
    <row r="603" spans="1:19" x14ac:dyDescent="0.25">
      <c r="A603" s="5" t="s">
        <v>3134</v>
      </c>
      <c r="B603" s="147">
        <v>45700</v>
      </c>
      <c r="C603" s="5" t="s">
        <v>3135</v>
      </c>
      <c r="D603" s="5" t="s">
        <v>3136</v>
      </c>
      <c r="E603" s="5" t="s">
        <v>1318</v>
      </c>
      <c r="F603" s="5" t="s">
        <v>1319</v>
      </c>
      <c r="G603" s="5" t="s">
        <v>1320</v>
      </c>
      <c r="H603" s="148">
        <v>3</v>
      </c>
      <c r="I603" s="149">
        <v>14242</v>
      </c>
      <c r="J603" s="150">
        <v>0.05</v>
      </c>
      <c r="K603" s="149">
        <v>40589.699999999997</v>
      </c>
      <c r="L603" s="149">
        <v>6023.66</v>
      </c>
      <c r="M603" s="5" t="s">
        <v>1381</v>
      </c>
      <c r="N603" s="5" t="s">
        <v>1321</v>
      </c>
      <c r="O603" s="5" t="s">
        <v>1322</v>
      </c>
      <c r="P603" s="5" t="s">
        <v>1323</v>
      </c>
      <c r="Q603" s="5" t="s">
        <v>1306</v>
      </c>
      <c r="R603" s="151">
        <v>1</v>
      </c>
      <c r="S603" s="143"/>
    </row>
    <row r="604" spans="1:19" x14ac:dyDescent="0.25">
      <c r="A604" s="5" t="s">
        <v>3137</v>
      </c>
      <c r="B604" s="147">
        <v>45967</v>
      </c>
      <c r="C604" s="5" t="s">
        <v>3138</v>
      </c>
      <c r="D604" s="5" t="s">
        <v>3139</v>
      </c>
      <c r="E604" s="5" t="s">
        <v>1310</v>
      </c>
      <c r="F604" s="5" t="s">
        <v>1311</v>
      </c>
      <c r="G604" s="5" t="s">
        <v>1312</v>
      </c>
      <c r="H604" s="148">
        <v>3</v>
      </c>
      <c r="I604" s="149">
        <v>10431</v>
      </c>
      <c r="J604" s="150">
        <v>0.2</v>
      </c>
      <c r="K604" s="149">
        <v>25034.400000000001</v>
      </c>
      <c r="L604" s="149">
        <v>5974.33</v>
      </c>
      <c r="M604" s="5" t="s">
        <v>1381</v>
      </c>
      <c r="N604" s="5" t="s">
        <v>1297</v>
      </c>
      <c r="O604" s="5" t="s">
        <v>1298</v>
      </c>
      <c r="P604" s="5" t="s">
        <v>1327</v>
      </c>
      <c r="Q604" s="5" t="s">
        <v>1184</v>
      </c>
      <c r="R604" s="151">
        <v>3</v>
      </c>
      <c r="S604" s="143"/>
    </row>
    <row r="605" spans="1:19" x14ac:dyDescent="0.25">
      <c r="A605" s="5" t="s">
        <v>3140</v>
      </c>
      <c r="B605" s="147">
        <v>45858</v>
      </c>
      <c r="C605" s="5" t="s">
        <v>3141</v>
      </c>
      <c r="D605" s="5" t="s">
        <v>3142</v>
      </c>
      <c r="E605" s="5" t="s">
        <v>1195</v>
      </c>
      <c r="F605" s="5" t="s">
        <v>988</v>
      </c>
      <c r="G605" s="5" t="s">
        <v>1336</v>
      </c>
      <c r="H605" s="148">
        <v>5</v>
      </c>
      <c r="I605" s="149">
        <v>10579</v>
      </c>
      <c r="J605" s="150">
        <v>0.2</v>
      </c>
      <c r="K605" s="149">
        <v>42316</v>
      </c>
      <c r="L605" s="149">
        <v>8590.61</v>
      </c>
      <c r="M605" s="5" t="s">
        <v>1313</v>
      </c>
      <c r="N605" s="5" t="s">
        <v>1352</v>
      </c>
      <c r="O605" s="5" t="s">
        <v>1352</v>
      </c>
      <c r="P605" s="5" t="s">
        <v>1323</v>
      </c>
      <c r="Q605" s="5" t="s">
        <v>1184</v>
      </c>
      <c r="R605" s="151">
        <v>4</v>
      </c>
      <c r="S605" s="143"/>
    </row>
    <row r="606" spans="1:19" x14ac:dyDescent="0.25">
      <c r="A606" s="5" t="s">
        <v>3143</v>
      </c>
      <c r="B606" s="147">
        <v>45990</v>
      </c>
      <c r="C606" s="5" t="s">
        <v>3144</v>
      </c>
      <c r="D606" s="5" t="s">
        <v>3145</v>
      </c>
      <c r="E606" s="5" t="s">
        <v>1295</v>
      </c>
      <c r="F606" s="5" t="s">
        <v>985</v>
      </c>
      <c r="G606" s="5" t="s">
        <v>1296</v>
      </c>
      <c r="H606" s="148">
        <v>1</v>
      </c>
      <c r="I606" s="149">
        <v>1042</v>
      </c>
      <c r="J606" s="150">
        <v>0</v>
      </c>
      <c r="K606" s="149">
        <v>1042</v>
      </c>
      <c r="L606" s="149">
        <v>282.77999999999997</v>
      </c>
      <c r="M606" s="5" t="s">
        <v>1130</v>
      </c>
      <c r="N606" s="5" t="s">
        <v>1304</v>
      </c>
      <c r="O606" s="5" t="s">
        <v>1305</v>
      </c>
      <c r="P606" s="5" t="s">
        <v>1348</v>
      </c>
      <c r="Q606" s="5" t="s">
        <v>1306</v>
      </c>
      <c r="R606" s="151">
        <v>3</v>
      </c>
      <c r="S606" s="143"/>
    </row>
    <row r="607" spans="1:19" x14ac:dyDescent="0.25">
      <c r="A607" s="5" t="s">
        <v>3146</v>
      </c>
      <c r="B607" s="147">
        <v>45774</v>
      </c>
      <c r="C607" s="5" t="s">
        <v>3147</v>
      </c>
      <c r="D607" s="5" t="s">
        <v>3148</v>
      </c>
      <c r="E607" s="5" t="s">
        <v>1359</v>
      </c>
      <c r="F607" s="5" t="s">
        <v>1360</v>
      </c>
      <c r="G607" s="5" t="s">
        <v>1361</v>
      </c>
      <c r="H607" s="148">
        <v>3</v>
      </c>
      <c r="I607" s="149">
        <v>5268</v>
      </c>
      <c r="J607" s="150">
        <v>0.15</v>
      </c>
      <c r="K607" s="149">
        <v>13433.4</v>
      </c>
      <c r="L607" s="149">
        <v>1137.77</v>
      </c>
      <c r="M607" s="5" t="s">
        <v>1381</v>
      </c>
      <c r="N607" s="5" t="s">
        <v>1304</v>
      </c>
      <c r="O607" s="5" t="s">
        <v>1305</v>
      </c>
      <c r="P607" s="5" t="s">
        <v>1299</v>
      </c>
      <c r="Q607" s="5" t="s">
        <v>1204</v>
      </c>
      <c r="R607" s="151">
        <v>2</v>
      </c>
      <c r="S607" s="143"/>
    </row>
    <row r="608" spans="1:19" x14ac:dyDescent="0.25">
      <c r="A608" s="5" t="s">
        <v>3149</v>
      </c>
      <c r="B608" s="147">
        <v>45926</v>
      </c>
      <c r="C608" s="5" t="s">
        <v>3150</v>
      </c>
      <c r="D608" s="5" t="s">
        <v>3151</v>
      </c>
      <c r="E608" s="5" t="s">
        <v>1195</v>
      </c>
      <c r="F608" s="5" t="s">
        <v>988</v>
      </c>
      <c r="G608" s="5" t="s">
        <v>1336</v>
      </c>
      <c r="H608" s="148">
        <v>4</v>
      </c>
      <c r="I608" s="149">
        <v>10542</v>
      </c>
      <c r="J608" s="150">
        <v>0.1</v>
      </c>
      <c r="K608" s="149">
        <v>37951.199999999997</v>
      </c>
      <c r="L608" s="149">
        <v>5757.26</v>
      </c>
      <c r="M608" s="5" t="s">
        <v>1344</v>
      </c>
      <c r="N608" s="5" t="s">
        <v>1337</v>
      </c>
      <c r="O608" s="5" t="s">
        <v>1338</v>
      </c>
      <c r="P608" s="5" t="s">
        <v>1314</v>
      </c>
      <c r="Q608" s="5" t="s">
        <v>1184</v>
      </c>
      <c r="R608" s="151">
        <v>1</v>
      </c>
      <c r="S608" s="143"/>
    </row>
    <row r="609" spans="1:19" x14ac:dyDescent="0.25">
      <c r="A609" s="5" t="s">
        <v>3152</v>
      </c>
      <c r="B609" s="147">
        <v>45932</v>
      </c>
      <c r="C609" s="5" t="s">
        <v>3153</v>
      </c>
      <c r="D609" s="5" t="s">
        <v>3154</v>
      </c>
      <c r="E609" s="5" t="s">
        <v>1318</v>
      </c>
      <c r="F609" s="5" t="s">
        <v>1319</v>
      </c>
      <c r="G609" s="5" t="s">
        <v>1320</v>
      </c>
      <c r="H609" s="148">
        <v>1</v>
      </c>
      <c r="I609" s="149">
        <v>4775</v>
      </c>
      <c r="J609" s="150">
        <v>0.05</v>
      </c>
      <c r="K609" s="149">
        <v>4536.25</v>
      </c>
      <c r="L609" s="149">
        <v>404.18</v>
      </c>
      <c r="M609" s="5" t="s">
        <v>1126</v>
      </c>
      <c r="N609" s="5" t="s">
        <v>1321</v>
      </c>
      <c r="O609" s="5" t="s">
        <v>1322</v>
      </c>
      <c r="P609" s="5" t="s">
        <v>1323</v>
      </c>
      <c r="Q609" s="5" t="s">
        <v>1306</v>
      </c>
      <c r="R609" s="151">
        <v>3</v>
      </c>
      <c r="S609" s="143"/>
    </row>
    <row r="610" spans="1:19" x14ac:dyDescent="0.25">
      <c r="A610" s="5" t="s">
        <v>3155</v>
      </c>
      <c r="B610" s="147">
        <v>45901</v>
      </c>
      <c r="C610" s="5" t="s">
        <v>3156</v>
      </c>
      <c r="D610" s="5" t="s">
        <v>3157</v>
      </c>
      <c r="E610" s="5" t="s">
        <v>1359</v>
      </c>
      <c r="F610" s="5" t="s">
        <v>1360</v>
      </c>
      <c r="G610" s="5" t="s">
        <v>1361</v>
      </c>
      <c r="H610" s="148">
        <v>3</v>
      </c>
      <c r="I610" s="149">
        <v>2713</v>
      </c>
      <c r="J610" s="150">
        <v>0.15</v>
      </c>
      <c r="K610" s="149">
        <v>6918.15</v>
      </c>
      <c r="L610" s="149">
        <v>874.95</v>
      </c>
      <c r="M610" s="5" t="s">
        <v>1130</v>
      </c>
      <c r="N610" s="5" t="s">
        <v>1297</v>
      </c>
      <c r="O610" s="5" t="s">
        <v>1298</v>
      </c>
      <c r="P610" s="5" t="s">
        <v>1299</v>
      </c>
      <c r="Q610" s="5" t="s">
        <v>1300</v>
      </c>
      <c r="R610" s="151">
        <v>1</v>
      </c>
      <c r="S610" s="143"/>
    </row>
    <row r="611" spans="1:19" x14ac:dyDescent="0.25">
      <c r="A611" s="5" t="s">
        <v>3158</v>
      </c>
      <c r="B611" s="147">
        <v>45750</v>
      </c>
      <c r="C611" s="5" t="s">
        <v>3159</v>
      </c>
      <c r="D611" s="5" t="s">
        <v>3160</v>
      </c>
      <c r="E611" s="5" t="s">
        <v>1195</v>
      </c>
      <c r="F611" s="5" t="s">
        <v>988</v>
      </c>
      <c r="G611" s="5" t="s">
        <v>1336</v>
      </c>
      <c r="H611" s="148">
        <v>2</v>
      </c>
      <c r="I611" s="149">
        <v>4087</v>
      </c>
      <c r="J611" s="150">
        <v>0.05</v>
      </c>
      <c r="K611" s="149">
        <v>7765.3</v>
      </c>
      <c r="L611" s="149">
        <v>2086.9299999999998</v>
      </c>
      <c r="M611" s="5" t="s">
        <v>1126</v>
      </c>
      <c r="N611" s="5" t="s">
        <v>1321</v>
      </c>
      <c r="O611" s="5" t="s">
        <v>1322</v>
      </c>
      <c r="P611" s="5" t="s">
        <v>1327</v>
      </c>
      <c r="Q611" s="5" t="s">
        <v>1184</v>
      </c>
      <c r="R611" s="151">
        <v>5</v>
      </c>
      <c r="S611" s="143"/>
    </row>
    <row r="612" spans="1:19" x14ac:dyDescent="0.25">
      <c r="A612" s="5" t="s">
        <v>3161</v>
      </c>
      <c r="B612" s="147">
        <v>45820</v>
      </c>
      <c r="C612" s="5" t="s">
        <v>3162</v>
      </c>
      <c r="D612" s="5" t="s">
        <v>3163</v>
      </c>
      <c r="E612" s="5" t="s">
        <v>1310</v>
      </c>
      <c r="F612" s="5" t="s">
        <v>1311</v>
      </c>
      <c r="G612" s="5" t="s">
        <v>1312</v>
      </c>
      <c r="H612" s="148">
        <v>2</v>
      </c>
      <c r="I612" s="149">
        <v>5089</v>
      </c>
      <c r="J612" s="150">
        <v>0.05</v>
      </c>
      <c r="K612" s="149">
        <v>9669.1</v>
      </c>
      <c r="L612" s="149">
        <v>1222.72</v>
      </c>
      <c r="M612" s="5" t="s">
        <v>1344</v>
      </c>
      <c r="N612" s="5" t="s">
        <v>1362</v>
      </c>
      <c r="O612" s="5" t="s">
        <v>1363</v>
      </c>
      <c r="P612" s="5" t="s">
        <v>1299</v>
      </c>
      <c r="Q612" s="5" t="s">
        <v>1204</v>
      </c>
      <c r="R612" s="151">
        <v>1</v>
      </c>
      <c r="S612" s="143"/>
    </row>
    <row r="613" spans="1:19" x14ac:dyDescent="0.25">
      <c r="A613" s="5" t="s">
        <v>3164</v>
      </c>
      <c r="B613" s="147">
        <v>45701</v>
      </c>
      <c r="C613" s="5" t="s">
        <v>3165</v>
      </c>
      <c r="D613" s="5" t="s">
        <v>3166</v>
      </c>
      <c r="E613" s="5" t="s">
        <v>1310</v>
      </c>
      <c r="F613" s="5" t="s">
        <v>1311</v>
      </c>
      <c r="G613" s="5" t="s">
        <v>1312</v>
      </c>
      <c r="H613" s="148">
        <v>3</v>
      </c>
      <c r="I613" s="149">
        <v>2764</v>
      </c>
      <c r="J613" s="150">
        <v>0.15</v>
      </c>
      <c r="K613" s="149">
        <v>7048.2</v>
      </c>
      <c r="L613" s="149">
        <v>1420.65</v>
      </c>
      <c r="M613" s="5" t="s">
        <v>1130</v>
      </c>
      <c r="N613" s="5" t="s">
        <v>1352</v>
      </c>
      <c r="O613" s="5" t="s">
        <v>1352</v>
      </c>
      <c r="P613" s="5" t="s">
        <v>1299</v>
      </c>
      <c r="Q613" s="5" t="s">
        <v>1204</v>
      </c>
      <c r="R613" s="151">
        <v>3</v>
      </c>
      <c r="S613" s="143"/>
    </row>
    <row r="614" spans="1:19" x14ac:dyDescent="0.25">
      <c r="A614" s="5" t="s">
        <v>3167</v>
      </c>
      <c r="B614" s="147">
        <v>45677</v>
      </c>
      <c r="C614" s="5" t="s">
        <v>3168</v>
      </c>
      <c r="D614" s="5" t="s">
        <v>3169</v>
      </c>
      <c r="E614" s="5" t="s">
        <v>1370</v>
      </c>
      <c r="F614" s="5" t="s">
        <v>1160</v>
      </c>
      <c r="G614" s="5" t="s">
        <v>1371</v>
      </c>
      <c r="H614" s="148">
        <v>1</v>
      </c>
      <c r="I614" s="149">
        <v>4057</v>
      </c>
      <c r="J614" s="150">
        <v>0</v>
      </c>
      <c r="K614" s="149">
        <v>4057</v>
      </c>
      <c r="L614" s="149">
        <v>668.43</v>
      </c>
      <c r="M614" s="5" t="s">
        <v>1313</v>
      </c>
      <c r="N614" s="5" t="s">
        <v>1304</v>
      </c>
      <c r="O614" s="5" t="s">
        <v>1305</v>
      </c>
      <c r="P614" s="5" t="s">
        <v>1323</v>
      </c>
      <c r="Q614" s="5" t="s">
        <v>1300</v>
      </c>
      <c r="R614" s="151">
        <v>4</v>
      </c>
      <c r="S614" s="143"/>
    </row>
    <row r="615" spans="1:19" x14ac:dyDescent="0.25">
      <c r="A615" s="5" t="s">
        <v>3170</v>
      </c>
      <c r="B615" s="147">
        <v>45843</v>
      </c>
      <c r="C615" s="5" t="s">
        <v>3171</v>
      </c>
      <c r="D615" s="5" t="s">
        <v>3172</v>
      </c>
      <c r="E615" s="5" t="s">
        <v>1318</v>
      </c>
      <c r="F615" s="5" t="s">
        <v>1319</v>
      </c>
      <c r="G615" s="5" t="s">
        <v>1320</v>
      </c>
      <c r="H615" s="148">
        <v>3</v>
      </c>
      <c r="I615" s="149">
        <v>4443</v>
      </c>
      <c r="J615" s="150">
        <v>0.05</v>
      </c>
      <c r="K615" s="149">
        <v>12662.55</v>
      </c>
      <c r="L615" s="149">
        <v>3735.14</v>
      </c>
      <c r="M615" s="5" t="s">
        <v>1313</v>
      </c>
      <c r="N615" s="5" t="s">
        <v>1352</v>
      </c>
      <c r="O615" s="5" t="s">
        <v>1352</v>
      </c>
      <c r="P615" s="5" t="s">
        <v>1323</v>
      </c>
      <c r="Q615" s="5" t="s">
        <v>1204</v>
      </c>
      <c r="R615" s="151">
        <v>5</v>
      </c>
      <c r="S615" s="143"/>
    </row>
    <row r="616" spans="1:19" x14ac:dyDescent="0.25">
      <c r="A616" s="5" t="s">
        <v>3173</v>
      </c>
      <c r="B616" s="147">
        <v>45923</v>
      </c>
      <c r="C616" s="5" t="s">
        <v>3174</v>
      </c>
      <c r="D616" s="5" t="s">
        <v>3175</v>
      </c>
      <c r="E616" s="5" t="s">
        <v>1295</v>
      </c>
      <c r="F616" s="5" t="s">
        <v>985</v>
      </c>
      <c r="G616" s="5" t="s">
        <v>1296</v>
      </c>
      <c r="H616" s="148">
        <v>1</v>
      </c>
      <c r="I616" s="149">
        <v>11625</v>
      </c>
      <c r="J616" s="150">
        <v>0</v>
      </c>
      <c r="K616" s="149">
        <v>11625</v>
      </c>
      <c r="L616" s="149">
        <v>2514.96</v>
      </c>
      <c r="M616" s="5" t="s">
        <v>1130</v>
      </c>
      <c r="N616" s="5" t="s">
        <v>1304</v>
      </c>
      <c r="O616" s="5" t="s">
        <v>1305</v>
      </c>
      <c r="P616" s="5" t="s">
        <v>1323</v>
      </c>
      <c r="Q616" s="5" t="s">
        <v>1204</v>
      </c>
      <c r="R616" s="151">
        <v>2</v>
      </c>
      <c r="S616" s="143"/>
    </row>
    <row r="617" spans="1:19" x14ac:dyDescent="0.25">
      <c r="A617" s="5" t="s">
        <v>3176</v>
      </c>
      <c r="B617" s="147">
        <v>45834</v>
      </c>
      <c r="C617" s="5" t="s">
        <v>3177</v>
      </c>
      <c r="D617" s="5" t="s">
        <v>3178</v>
      </c>
      <c r="E617" s="5" t="s">
        <v>1318</v>
      </c>
      <c r="F617" s="5" t="s">
        <v>1319</v>
      </c>
      <c r="G617" s="5" t="s">
        <v>1320</v>
      </c>
      <c r="H617" s="148">
        <v>2</v>
      </c>
      <c r="I617" s="149">
        <v>8287</v>
      </c>
      <c r="J617" s="150">
        <v>0</v>
      </c>
      <c r="K617" s="149">
        <v>16574</v>
      </c>
      <c r="L617" s="149">
        <v>2891.27</v>
      </c>
      <c r="M617" s="5" t="s">
        <v>1381</v>
      </c>
      <c r="N617" s="5" t="s">
        <v>1321</v>
      </c>
      <c r="O617" s="5" t="s">
        <v>1322</v>
      </c>
      <c r="P617" s="5" t="s">
        <v>1327</v>
      </c>
      <c r="Q617" s="5" t="s">
        <v>1306</v>
      </c>
      <c r="R617" s="151">
        <v>5</v>
      </c>
      <c r="S617" s="143"/>
    </row>
    <row r="618" spans="1:19" x14ac:dyDescent="0.25">
      <c r="A618" s="5" t="s">
        <v>3179</v>
      </c>
      <c r="B618" s="147">
        <v>45921</v>
      </c>
      <c r="C618" s="5" t="s">
        <v>3180</v>
      </c>
      <c r="D618" s="5" t="s">
        <v>3181</v>
      </c>
      <c r="E618" s="5" t="s">
        <v>1331</v>
      </c>
      <c r="F618" s="5" t="s">
        <v>988</v>
      </c>
      <c r="G618" s="5" t="s">
        <v>1332</v>
      </c>
      <c r="H618" s="148">
        <v>2</v>
      </c>
      <c r="I618" s="149">
        <v>3582</v>
      </c>
      <c r="J618" s="150">
        <v>0.1</v>
      </c>
      <c r="K618" s="149">
        <v>6447.6</v>
      </c>
      <c r="L618" s="149">
        <v>1412.65</v>
      </c>
      <c r="M618" s="5" t="s">
        <v>1344</v>
      </c>
      <c r="N618" s="5" t="s">
        <v>1321</v>
      </c>
      <c r="O618" s="5" t="s">
        <v>1322</v>
      </c>
      <c r="P618" s="5" t="s">
        <v>1299</v>
      </c>
      <c r="Q618" s="5" t="s">
        <v>1204</v>
      </c>
      <c r="R618" s="151">
        <v>2</v>
      </c>
      <c r="S618" s="143"/>
    </row>
    <row r="619" spans="1:19" x14ac:dyDescent="0.25">
      <c r="A619" s="5" t="s">
        <v>3182</v>
      </c>
      <c r="B619" s="147">
        <v>45956</v>
      </c>
      <c r="C619" s="5" t="s">
        <v>3183</v>
      </c>
      <c r="D619" s="5" t="s">
        <v>3184</v>
      </c>
      <c r="E619" s="5" t="s">
        <v>1370</v>
      </c>
      <c r="F619" s="5" t="s">
        <v>1160</v>
      </c>
      <c r="G619" s="5" t="s">
        <v>1371</v>
      </c>
      <c r="H619" s="148">
        <v>1</v>
      </c>
      <c r="I619" s="149">
        <v>5318</v>
      </c>
      <c r="J619" s="150">
        <v>0.15</v>
      </c>
      <c r="K619" s="149">
        <v>4520.3</v>
      </c>
      <c r="L619" s="149">
        <v>1136.08</v>
      </c>
      <c r="M619" s="5" t="s">
        <v>1130</v>
      </c>
      <c r="N619" s="5" t="s">
        <v>1352</v>
      </c>
      <c r="O619" s="5" t="s">
        <v>1352</v>
      </c>
      <c r="P619" s="5" t="s">
        <v>1327</v>
      </c>
      <c r="Q619" s="5" t="s">
        <v>1306</v>
      </c>
      <c r="R619" s="151">
        <v>5</v>
      </c>
      <c r="S619" s="143"/>
    </row>
    <row r="620" spans="1:19" x14ac:dyDescent="0.25">
      <c r="A620" s="5" t="s">
        <v>3185</v>
      </c>
      <c r="B620" s="147">
        <v>45909</v>
      </c>
      <c r="C620" s="5" t="s">
        <v>3186</v>
      </c>
      <c r="D620" s="5" t="s">
        <v>3187</v>
      </c>
      <c r="E620" s="5" t="s">
        <v>1342</v>
      </c>
      <c r="F620" s="5" t="s">
        <v>988</v>
      </c>
      <c r="G620" s="5" t="s">
        <v>1343</v>
      </c>
      <c r="H620" s="148">
        <v>1</v>
      </c>
      <c r="I620" s="149">
        <v>4782</v>
      </c>
      <c r="J620" s="150">
        <v>0.2</v>
      </c>
      <c r="K620" s="149">
        <v>3825.6</v>
      </c>
      <c r="L620" s="149">
        <v>1074.52</v>
      </c>
      <c r="M620" s="5" t="s">
        <v>1344</v>
      </c>
      <c r="N620" s="5" t="s">
        <v>1362</v>
      </c>
      <c r="O620" s="5" t="s">
        <v>1363</v>
      </c>
      <c r="P620" s="5" t="s">
        <v>1299</v>
      </c>
      <c r="Q620" s="5" t="s">
        <v>1300</v>
      </c>
      <c r="R620" s="151">
        <v>5</v>
      </c>
      <c r="S620" s="143"/>
    </row>
    <row r="621" spans="1:19" x14ac:dyDescent="0.25">
      <c r="A621" s="5" t="s">
        <v>3188</v>
      </c>
      <c r="B621" s="147">
        <v>45754</v>
      </c>
      <c r="C621" s="5" t="s">
        <v>3189</v>
      </c>
      <c r="D621" s="5" t="s">
        <v>3190</v>
      </c>
      <c r="E621" s="5" t="s">
        <v>1310</v>
      </c>
      <c r="F621" s="5" t="s">
        <v>1311</v>
      </c>
      <c r="G621" s="5" t="s">
        <v>1312</v>
      </c>
      <c r="H621" s="148">
        <v>4</v>
      </c>
      <c r="I621" s="149">
        <v>6456</v>
      </c>
      <c r="J621" s="150">
        <v>0.15</v>
      </c>
      <c r="K621" s="149">
        <v>21950.400000000001</v>
      </c>
      <c r="L621" s="149">
        <v>6442.16</v>
      </c>
      <c r="M621" s="5" t="s">
        <v>1344</v>
      </c>
      <c r="N621" s="5" t="s">
        <v>1362</v>
      </c>
      <c r="O621" s="5" t="s">
        <v>1363</v>
      </c>
      <c r="P621" s="5" t="s">
        <v>1348</v>
      </c>
      <c r="Q621" s="5" t="s">
        <v>1204</v>
      </c>
      <c r="R621" s="151">
        <v>4</v>
      </c>
      <c r="S621" s="143"/>
    </row>
    <row r="622" spans="1:19" x14ac:dyDescent="0.25">
      <c r="A622" s="5" t="s">
        <v>3191</v>
      </c>
      <c r="B622" s="147">
        <v>45908</v>
      </c>
      <c r="C622" s="5" t="s">
        <v>3192</v>
      </c>
      <c r="D622" s="5" t="s">
        <v>3193</v>
      </c>
      <c r="E622" s="5" t="s">
        <v>1318</v>
      </c>
      <c r="F622" s="5" t="s">
        <v>1319</v>
      </c>
      <c r="G622" s="5" t="s">
        <v>1320</v>
      </c>
      <c r="H622" s="148">
        <v>2</v>
      </c>
      <c r="I622" s="149">
        <v>5973</v>
      </c>
      <c r="J622" s="150">
        <v>0.1</v>
      </c>
      <c r="K622" s="149">
        <v>10751.4</v>
      </c>
      <c r="L622" s="149">
        <v>1210.1199999999999</v>
      </c>
      <c r="M622" s="5" t="s">
        <v>1126</v>
      </c>
      <c r="N622" s="5" t="s">
        <v>1321</v>
      </c>
      <c r="O622" s="5" t="s">
        <v>1322</v>
      </c>
      <c r="P622" s="5" t="s">
        <v>1348</v>
      </c>
      <c r="Q622" s="5" t="s">
        <v>1306</v>
      </c>
      <c r="R622" s="151">
        <v>2</v>
      </c>
      <c r="S622" s="143"/>
    </row>
    <row r="623" spans="1:19" x14ac:dyDescent="0.25">
      <c r="A623" s="5" t="s">
        <v>3194</v>
      </c>
      <c r="B623" s="147">
        <v>45926</v>
      </c>
      <c r="C623" s="5" t="s">
        <v>3195</v>
      </c>
      <c r="D623" s="5" t="s">
        <v>3196</v>
      </c>
      <c r="E623" s="5" t="s">
        <v>1310</v>
      </c>
      <c r="F623" s="5" t="s">
        <v>1311</v>
      </c>
      <c r="G623" s="5" t="s">
        <v>1312</v>
      </c>
      <c r="H623" s="148">
        <v>2</v>
      </c>
      <c r="I623" s="149">
        <v>12256</v>
      </c>
      <c r="J623" s="150">
        <v>0</v>
      </c>
      <c r="K623" s="149">
        <v>24512</v>
      </c>
      <c r="L623" s="149">
        <v>6831.1</v>
      </c>
      <c r="M623" s="5" t="s">
        <v>1313</v>
      </c>
      <c r="N623" s="5" t="s">
        <v>1304</v>
      </c>
      <c r="O623" s="5" t="s">
        <v>1305</v>
      </c>
      <c r="P623" s="5" t="s">
        <v>1314</v>
      </c>
      <c r="Q623" s="5" t="s">
        <v>1184</v>
      </c>
      <c r="R623" s="151">
        <v>5</v>
      </c>
      <c r="S623" s="143"/>
    </row>
    <row r="624" spans="1:19" x14ac:dyDescent="0.25">
      <c r="A624" s="5" t="s">
        <v>3197</v>
      </c>
      <c r="B624" s="147">
        <v>45791</v>
      </c>
      <c r="C624" s="5" t="s">
        <v>3198</v>
      </c>
      <c r="D624" s="5" t="s">
        <v>3199</v>
      </c>
      <c r="E624" s="5" t="s">
        <v>1331</v>
      </c>
      <c r="F624" s="5" t="s">
        <v>988</v>
      </c>
      <c r="G624" s="5" t="s">
        <v>1332</v>
      </c>
      <c r="H624" s="148">
        <v>2</v>
      </c>
      <c r="I624" s="149">
        <v>3342</v>
      </c>
      <c r="J624" s="150">
        <v>0.1</v>
      </c>
      <c r="K624" s="149">
        <v>6015.6</v>
      </c>
      <c r="L624" s="149">
        <v>670.79</v>
      </c>
      <c r="M624" s="5" t="s">
        <v>1126</v>
      </c>
      <c r="N624" s="5" t="s">
        <v>1304</v>
      </c>
      <c r="O624" s="5" t="s">
        <v>1305</v>
      </c>
      <c r="P624" s="5" t="s">
        <v>1348</v>
      </c>
      <c r="Q624" s="5" t="s">
        <v>1184</v>
      </c>
      <c r="R624" s="151">
        <v>3</v>
      </c>
      <c r="S624" s="143"/>
    </row>
    <row r="625" spans="1:19" x14ac:dyDescent="0.25">
      <c r="A625" s="5" t="s">
        <v>3200</v>
      </c>
      <c r="B625" s="147">
        <v>45930</v>
      </c>
      <c r="C625" s="5" t="s">
        <v>3201</v>
      </c>
      <c r="D625" s="5" t="s">
        <v>3202</v>
      </c>
      <c r="E625" s="5" t="s">
        <v>1195</v>
      </c>
      <c r="F625" s="5" t="s">
        <v>988</v>
      </c>
      <c r="G625" s="5" t="s">
        <v>1336</v>
      </c>
      <c r="H625" s="148">
        <v>1</v>
      </c>
      <c r="I625" s="149">
        <v>3142</v>
      </c>
      <c r="J625" s="150">
        <v>0.15</v>
      </c>
      <c r="K625" s="149">
        <v>2670.7</v>
      </c>
      <c r="L625" s="149">
        <v>727.9</v>
      </c>
      <c r="M625" s="5" t="s">
        <v>1126</v>
      </c>
      <c r="N625" s="5" t="s">
        <v>1321</v>
      </c>
      <c r="O625" s="5" t="s">
        <v>1322</v>
      </c>
      <c r="P625" s="5" t="s">
        <v>1327</v>
      </c>
      <c r="Q625" s="5" t="s">
        <v>1306</v>
      </c>
      <c r="R625" s="151">
        <v>3</v>
      </c>
      <c r="S625" s="143"/>
    </row>
    <row r="626" spans="1:19" x14ac:dyDescent="0.25">
      <c r="A626" s="5" t="s">
        <v>3203</v>
      </c>
      <c r="B626" s="147">
        <v>45812</v>
      </c>
      <c r="C626" s="5" t="s">
        <v>3204</v>
      </c>
      <c r="D626" s="5" t="s">
        <v>3205</v>
      </c>
      <c r="E626" s="5" t="s">
        <v>1370</v>
      </c>
      <c r="F626" s="5" t="s">
        <v>1160</v>
      </c>
      <c r="G626" s="5" t="s">
        <v>1371</v>
      </c>
      <c r="H626" s="148">
        <v>2</v>
      </c>
      <c r="I626" s="149">
        <v>4321</v>
      </c>
      <c r="J626" s="150">
        <v>0.1</v>
      </c>
      <c r="K626" s="149">
        <v>7777.8</v>
      </c>
      <c r="L626" s="149">
        <v>824.34</v>
      </c>
      <c r="M626" s="5" t="s">
        <v>1381</v>
      </c>
      <c r="N626" s="5" t="s">
        <v>1304</v>
      </c>
      <c r="O626" s="5" t="s">
        <v>1305</v>
      </c>
      <c r="P626" s="5" t="s">
        <v>1348</v>
      </c>
      <c r="Q626" s="5" t="s">
        <v>1300</v>
      </c>
      <c r="R626" s="151">
        <v>1</v>
      </c>
      <c r="S626" s="143"/>
    </row>
    <row r="627" spans="1:19" x14ac:dyDescent="0.25">
      <c r="A627" s="5" t="s">
        <v>3206</v>
      </c>
      <c r="B627" s="147">
        <v>45852</v>
      </c>
      <c r="C627" s="5" t="s">
        <v>3207</v>
      </c>
      <c r="D627" s="5" t="s">
        <v>3208</v>
      </c>
      <c r="E627" s="5" t="s">
        <v>1295</v>
      </c>
      <c r="F627" s="5" t="s">
        <v>985</v>
      </c>
      <c r="G627" s="5" t="s">
        <v>1296</v>
      </c>
      <c r="H627" s="148">
        <v>5</v>
      </c>
      <c r="I627" s="149">
        <v>12975</v>
      </c>
      <c r="J627" s="150">
        <v>0.05</v>
      </c>
      <c r="K627" s="149">
        <v>61631.25</v>
      </c>
      <c r="L627" s="149">
        <v>9931.9699999999993</v>
      </c>
      <c r="M627" s="5" t="s">
        <v>1344</v>
      </c>
      <c r="N627" s="5" t="s">
        <v>1304</v>
      </c>
      <c r="O627" s="5" t="s">
        <v>1305</v>
      </c>
      <c r="P627" s="5" t="s">
        <v>1299</v>
      </c>
      <c r="Q627" s="5" t="s">
        <v>1300</v>
      </c>
      <c r="R627" s="151">
        <v>5</v>
      </c>
      <c r="S627" s="143"/>
    </row>
    <row r="628" spans="1:19" x14ac:dyDescent="0.25">
      <c r="A628" s="5" t="s">
        <v>3209</v>
      </c>
      <c r="B628" s="147">
        <v>45671</v>
      </c>
      <c r="C628" s="5" t="s">
        <v>3210</v>
      </c>
      <c r="D628" s="5" t="s">
        <v>3211</v>
      </c>
      <c r="E628" s="5" t="s">
        <v>1370</v>
      </c>
      <c r="F628" s="5" t="s">
        <v>1160</v>
      </c>
      <c r="G628" s="5" t="s">
        <v>1371</v>
      </c>
      <c r="H628" s="148">
        <v>5</v>
      </c>
      <c r="I628" s="149">
        <v>3249</v>
      </c>
      <c r="J628" s="150">
        <v>0.15</v>
      </c>
      <c r="K628" s="149">
        <v>13808.25</v>
      </c>
      <c r="L628" s="149">
        <v>4066.47</v>
      </c>
      <c r="M628" s="5" t="s">
        <v>1130</v>
      </c>
      <c r="N628" s="5" t="s">
        <v>1352</v>
      </c>
      <c r="O628" s="5" t="s">
        <v>1352</v>
      </c>
      <c r="P628" s="5" t="s">
        <v>1323</v>
      </c>
      <c r="Q628" s="5" t="s">
        <v>1300</v>
      </c>
      <c r="R628" s="151">
        <v>3</v>
      </c>
      <c r="S628" s="143"/>
    </row>
    <row r="629" spans="1:19" x14ac:dyDescent="0.25">
      <c r="A629" s="5" t="s">
        <v>3212</v>
      </c>
      <c r="B629" s="147">
        <v>45995</v>
      </c>
      <c r="C629" s="5" t="s">
        <v>3213</v>
      </c>
      <c r="D629" s="5" t="s">
        <v>3214</v>
      </c>
      <c r="E629" s="5" t="s">
        <v>1295</v>
      </c>
      <c r="F629" s="5" t="s">
        <v>985</v>
      </c>
      <c r="G629" s="5" t="s">
        <v>1296</v>
      </c>
      <c r="H629" s="148">
        <v>4</v>
      </c>
      <c r="I629" s="149">
        <v>10292</v>
      </c>
      <c r="J629" s="150">
        <v>0.1</v>
      </c>
      <c r="K629" s="149">
        <v>37051.199999999997</v>
      </c>
      <c r="L629" s="149">
        <v>4114.6099999999997</v>
      </c>
      <c r="M629" s="5" t="s">
        <v>1381</v>
      </c>
      <c r="N629" s="5" t="s">
        <v>1352</v>
      </c>
      <c r="O629" s="5" t="s">
        <v>1352</v>
      </c>
      <c r="P629" s="5" t="s">
        <v>1299</v>
      </c>
      <c r="Q629" s="5" t="s">
        <v>1204</v>
      </c>
      <c r="R629" s="151">
        <v>1</v>
      </c>
      <c r="S629" s="143"/>
    </row>
    <row r="630" spans="1:19" x14ac:dyDescent="0.25">
      <c r="A630" s="5" t="s">
        <v>3215</v>
      </c>
      <c r="B630" s="147">
        <v>45975</v>
      </c>
      <c r="C630" s="5" t="s">
        <v>3216</v>
      </c>
      <c r="D630" s="5" t="s">
        <v>3217</v>
      </c>
      <c r="E630" s="5" t="s">
        <v>1359</v>
      </c>
      <c r="F630" s="5" t="s">
        <v>1360</v>
      </c>
      <c r="G630" s="5" t="s">
        <v>1361</v>
      </c>
      <c r="H630" s="148">
        <v>1</v>
      </c>
      <c r="I630" s="149">
        <v>5741</v>
      </c>
      <c r="J630" s="150">
        <v>0</v>
      </c>
      <c r="K630" s="149">
        <v>5741</v>
      </c>
      <c r="L630" s="149">
        <v>728.06</v>
      </c>
      <c r="M630" s="5" t="s">
        <v>1313</v>
      </c>
      <c r="N630" s="5" t="s">
        <v>1362</v>
      </c>
      <c r="O630" s="5" t="s">
        <v>1363</v>
      </c>
      <c r="P630" s="5" t="s">
        <v>1299</v>
      </c>
      <c r="Q630" s="5" t="s">
        <v>1300</v>
      </c>
      <c r="R630" s="151">
        <v>5</v>
      </c>
      <c r="S630" s="143"/>
    </row>
    <row r="631" spans="1:19" x14ac:dyDescent="0.25">
      <c r="A631" s="5" t="s">
        <v>3218</v>
      </c>
      <c r="B631" s="147">
        <v>45683</v>
      </c>
      <c r="C631" s="5" t="s">
        <v>3219</v>
      </c>
      <c r="D631" s="5" t="s">
        <v>3220</v>
      </c>
      <c r="E631" s="5" t="s">
        <v>1370</v>
      </c>
      <c r="F631" s="5" t="s">
        <v>1160</v>
      </c>
      <c r="G631" s="5" t="s">
        <v>1371</v>
      </c>
      <c r="H631" s="148">
        <v>1</v>
      </c>
      <c r="I631" s="149">
        <v>6449</v>
      </c>
      <c r="J631" s="150">
        <v>0</v>
      </c>
      <c r="K631" s="149">
        <v>6449</v>
      </c>
      <c r="L631" s="149">
        <v>956.82</v>
      </c>
      <c r="M631" s="5" t="s">
        <v>1126</v>
      </c>
      <c r="N631" s="5" t="s">
        <v>1337</v>
      </c>
      <c r="O631" s="5" t="s">
        <v>1338</v>
      </c>
      <c r="P631" s="5" t="s">
        <v>1327</v>
      </c>
      <c r="Q631" s="5" t="s">
        <v>1300</v>
      </c>
      <c r="R631" s="151">
        <v>5</v>
      </c>
      <c r="S631" s="143"/>
    </row>
    <row r="632" spans="1:19" x14ac:dyDescent="0.25">
      <c r="A632" s="5" t="s">
        <v>3221</v>
      </c>
      <c r="B632" s="147">
        <v>45813</v>
      </c>
      <c r="C632" s="5" t="s">
        <v>3222</v>
      </c>
      <c r="D632" s="5" t="s">
        <v>3223</v>
      </c>
      <c r="E632" s="5" t="s">
        <v>1331</v>
      </c>
      <c r="F632" s="5" t="s">
        <v>988</v>
      </c>
      <c r="G632" s="5" t="s">
        <v>1332</v>
      </c>
      <c r="H632" s="148">
        <v>1</v>
      </c>
      <c r="I632" s="149">
        <v>892</v>
      </c>
      <c r="J632" s="150">
        <v>0.1</v>
      </c>
      <c r="K632" s="149">
        <v>802.8</v>
      </c>
      <c r="L632" s="149">
        <v>208.57</v>
      </c>
      <c r="M632" s="5" t="s">
        <v>1313</v>
      </c>
      <c r="N632" s="5" t="s">
        <v>1304</v>
      </c>
      <c r="O632" s="5" t="s">
        <v>1305</v>
      </c>
      <c r="P632" s="5" t="s">
        <v>1314</v>
      </c>
      <c r="Q632" s="5" t="s">
        <v>1300</v>
      </c>
      <c r="R632" s="151">
        <v>1</v>
      </c>
      <c r="S632" s="143"/>
    </row>
    <row r="633" spans="1:19" x14ac:dyDescent="0.25">
      <c r="A633" s="5" t="s">
        <v>3224</v>
      </c>
      <c r="B633" s="147">
        <v>45741</v>
      </c>
      <c r="C633" s="5" t="s">
        <v>3225</v>
      </c>
      <c r="D633" s="5" t="s">
        <v>3226</v>
      </c>
      <c r="E633" s="5" t="s">
        <v>1370</v>
      </c>
      <c r="F633" s="5" t="s">
        <v>1160</v>
      </c>
      <c r="G633" s="5" t="s">
        <v>1371</v>
      </c>
      <c r="H633" s="148">
        <v>4</v>
      </c>
      <c r="I633" s="149">
        <v>5259</v>
      </c>
      <c r="J633" s="150">
        <v>0.1</v>
      </c>
      <c r="K633" s="149">
        <v>18932.400000000001</v>
      </c>
      <c r="L633" s="149">
        <v>1640.32</v>
      </c>
      <c r="M633" s="5" t="s">
        <v>1130</v>
      </c>
      <c r="N633" s="5" t="s">
        <v>1304</v>
      </c>
      <c r="O633" s="5" t="s">
        <v>1305</v>
      </c>
      <c r="P633" s="5" t="s">
        <v>1299</v>
      </c>
      <c r="Q633" s="5" t="s">
        <v>1204</v>
      </c>
      <c r="R633" s="151">
        <v>4</v>
      </c>
      <c r="S633" s="143"/>
    </row>
    <row r="634" spans="1:19" x14ac:dyDescent="0.25">
      <c r="A634" s="5" t="s">
        <v>3227</v>
      </c>
      <c r="B634" s="147">
        <v>45714</v>
      </c>
      <c r="C634" s="5" t="s">
        <v>3228</v>
      </c>
      <c r="D634" s="5" t="s">
        <v>3229</v>
      </c>
      <c r="E634" s="5" t="s">
        <v>1318</v>
      </c>
      <c r="F634" s="5" t="s">
        <v>1319</v>
      </c>
      <c r="G634" s="5" t="s">
        <v>1320</v>
      </c>
      <c r="H634" s="148">
        <v>2</v>
      </c>
      <c r="I634" s="149">
        <v>5891</v>
      </c>
      <c r="J634" s="150">
        <v>0.1</v>
      </c>
      <c r="K634" s="149">
        <v>10603.8</v>
      </c>
      <c r="L634" s="149">
        <v>2188.17</v>
      </c>
      <c r="M634" s="5" t="s">
        <v>1344</v>
      </c>
      <c r="N634" s="5" t="s">
        <v>1362</v>
      </c>
      <c r="O634" s="5" t="s">
        <v>1363</v>
      </c>
      <c r="P634" s="5" t="s">
        <v>1314</v>
      </c>
      <c r="Q634" s="5" t="s">
        <v>1184</v>
      </c>
      <c r="R634" s="151">
        <v>1</v>
      </c>
      <c r="S634" s="143"/>
    </row>
    <row r="635" spans="1:19" x14ac:dyDescent="0.25">
      <c r="A635" s="5" t="s">
        <v>3230</v>
      </c>
      <c r="B635" s="147">
        <v>45835</v>
      </c>
      <c r="C635" s="5" t="s">
        <v>3231</v>
      </c>
      <c r="D635" s="5" t="s">
        <v>3232</v>
      </c>
      <c r="E635" s="5" t="s">
        <v>1195</v>
      </c>
      <c r="F635" s="5" t="s">
        <v>988</v>
      </c>
      <c r="G635" s="5" t="s">
        <v>1336</v>
      </c>
      <c r="H635" s="148">
        <v>4</v>
      </c>
      <c r="I635" s="149">
        <v>3342</v>
      </c>
      <c r="J635" s="150">
        <v>0.15</v>
      </c>
      <c r="K635" s="149">
        <v>11362.8</v>
      </c>
      <c r="L635" s="149">
        <v>1849.94</v>
      </c>
      <c r="M635" s="5" t="s">
        <v>1126</v>
      </c>
      <c r="N635" s="5" t="s">
        <v>1297</v>
      </c>
      <c r="O635" s="5" t="s">
        <v>1298</v>
      </c>
      <c r="P635" s="5" t="s">
        <v>1299</v>
      </c>
      <c r="Q635" s="5" t="s">
        <v>1300</v>
      </c>
      <c r="R635" s="151">
        <v>4</v>
      </c>
      <c r="S635" s="143"/>
    </row>
    <row r="636" spans="1:19" x14ac:dyDescent="0.25">
      <c r="A636" s="5" t="s">
        <v>3233</v>
      </c>
      <c r="B636" s="147">
        <v>45909</v>
      </c>
      <c r="C636" s="5" t="s">
        <v>3234</v>
      </c>
      <c r="D636" s="5" t="s">
        <v>3235</v>
      </c>
      <c r="E636" s="5" t="s">
        <v>1195</v>
      </c>
      <c r="F636" s="5" t="s">
        <v>988</v>
      </c>
      <c r="G636" s="5" t="s">
        <v>1336</v>
      </c>
      <c r="H636" s="148">
        <v>3</v>
      </c>
      <c r="I636" s="149">
        <v>3315</v>
      </c>
      <c r="J636" s="150">
        <v>0.1</v>
      </c>
      <c r="K636" s="149">
        <v>8950.5</v>
      </c>
      <c r="L636" s="149">
        <v>1906.41</v>
      </c>
      <c r="M636" s="5" t="s">
        <v>1344</v>
      </c>
      <c r="N636" s="5" t="s">
        <v>1297</v>
      </c>
      <c r="O636" s="5" t="s">
        <v>1298</v>
      </c>
      <c r="P636" s="5" t="s">
        <v>1348</v>
      </c>
      <c r="Q636" s="5" t="s">
        <v>1204</v>
      </c>
      <c r="R636" s="151">
        <v>5</v>
      </c>
      <c r="S636" s="143"/>
    </row>
    <row r="637" spans="1:19" x14ac:dyDescent="0.25">
      <c r="A637" s="5" t="s">
        <v>3236</v>
      </c>
      <c r="B637" s="147">
        <v>45859</v>
      </c>
      <c r="C637" s="5" t="s">
        <v>3237</v>
      </c>
      <c r="D637" s="5" t="s">
        <v>3238</v>
      </c>
      <c r="E637" s="5" t="s">
        <v>1359</v>
      </c>
      <c r="F637" s="5" t="s">
        <v>1360</v>
      </c>
      <c r="G637" s="5" t="s">
        <v>1361</v>
      </c>
      <c r="H637" s="148">
        <v>4</v>
      </c>
      <c r="I637" s="149">
        <v>2833</v>
      </c>
      <c r="J637" s="150">
        <v>0.1</v>
      </c>
      <c r="K637" s="149">
        <v>10198.799999999999</v>
      </c>
      <c r="L637" s="149">
        <v>2312.31</v>
      </c>
      <c r="M637" s="5" t="s">
        <v>1313</v>
      </c>
      <c r="N637" s="5" t="s">
        <v>1321</v>
      </c>
      <c r="O637" s="5" t="s">
        <v>1322</v>
      </c>
      <c r="P637" s="5" t="s">
        <v>1314</v>
      </c>
      <c r="Q637" s="5" t="s">
        <v>1306</v>
      </c>
      <c r="R637" s="151">
        <v>3</v>
      </c>
      <c r="S637" s="143"/>
    </row>
    <row r="638" spans="1:19" x14ac:dyDescent="0.25">
      <c r="A638" s="5" t="s">
        <v>3239</v>
      </c>
      <c r="B638" s="147">
        <v>45888</v>
      </c>
      <c r="C638" s="5" t="s">
        <v>3240</v>
      </c>
      <c r="D638" s="5" t="s">
        <v>3241</v>
      </c>
      <c r="E638" s="5" t="s">
        <v>1310</v>
      </c>
      <c r="F638" s="5" t="s">
        <v>1311</v>
      </c>
      <c r="G638" s="5" t="s">
        <v>1312</v>
      </c>
      <c r="H638" s="148">
        <v>4</v>
      </c>
      <c r="I638" s="149">
        <v>11395</v>
      </c>
      <c r="J638" s="150">
        <v>0</v>
      </c>
      <c r="K638" s="149">
        <v>45580</v>
      </c>
      <c r="L638" s="149">
        <v>10424.9</v>
      </c>
      <c r="M638" s="5" t="s">
        <v>1381</v>
      </c>
      <c r="N638" s="5" t="s">
        <v>1352</v>
      </c>
      <c r="O638" s="5" t="s">
        <v>1352</v>
      </c>
      <c r="P638" s="5" t="s">
        <v>1323</v>
      </c>
      <c r="Q638" s="5" t="s">
        <v>1300</v>
      </c>
      <c r="R638" s="151">
        <v>5</v>
      </c>
      <c r="S638" s="143"/>
    </row>
    <row r="639" spans="1:19" x14ac:dyDescent="0.25">
      <c r="A639" s="5" t="s">
        <v>3242</v>
      </c>
      <c r="B639" s="147">
        <v>45935</v>
      </c>
      <c r="C639" s="5" t="s">
        <v>3243</v>
      </c>
      <c r="D639" s="5" t="s">
        <v>3244</v>
      </c>
      <c r="E639" s="5" t="s">
        <v>1295</v>
      </c>
      <c r="F639" s="5" t="s">
        <v>985</v>
      </c>
      <c r="G639" s="5" t="s">
        <v>1296</v>
      </c>
      <c r="H639" s="148">
        <v>3</v>
      </c>
      <c r="I639" s="149">
        <v>4110</v>
      </c>
      <c r="J639" s="150">
        <v>0.05</v>
      </c>
      <c r="K639" s="149">
        <v>11713.5</v>
      </c>
      <c r="L639" s="149">
        <v>1445.71</v>
      </c>
      <c r="M639" s="5" t="s">
        <v>1126</v>
      </c>
      <c r="N639" s="5" t="s">
        <v>1321</v>
      </c>
      <c r="O639" s="5" t="s">
        <v>1322</v>
      </c>
      <c r="P639" s="5" t="s">
        <v>1327</v>
      </c>
      <c r="Q639" s="5" t="s">
        <v>1184</v>
      </c>
      <c r="R639" s="151">
        <v>4</v>
      </c>
      <c r="S639" s="143"/>
    </row>
    <row r="640" spans="1:19" x14ac:dyDescent="0.25">
      <c r="A640" s="5" t="s">
        <v>3245</v>
      </c>
      <c r="B640" s="147">
        <v>45691</v>
      </c>
      <c r="C640" s="5" t="s">
        <v>3246</v>
      </c>
      <c r="D640" s="5" t="s">
        <v>3247</v>
      </c>
      <c r="E640" s="5" t="s">
        <v>1370</v>
      </c>
      <c r="F640" s="5" t="s">
        <v>1160</v>
      </c>
      <c r="G640" s="5" t="s">
        <v>1371</v>
      </c>
      <c r="H640" s="148">
        <v>1</v>
      </c>
      <c r="I640" s="149">
        <v>8563</v>
      </c>
      <c r="J640" s="150">
        <v>0.05</v>
      </c>
      <c r="K640" s="149">
        <v>8134.85</v>
      </c>
      <c r="L640" s="149">
        <v>2122.5300000000002</v>
      </c>
      <c r="M640" s="5" t="s">
        <v>1126</v>
      </c>
      <c r="N640" s="5" t="s">
        <v>1304</v>
      </c>
      <c r="O640" s="5" t="s">
        <v>1305</v>
      </c>
      <c r="P640" s="5" t="s">
        <v>1348</v>
      </c>
      <c r="Q640" s="5" t="s">
        <v>1306</v>
      </c>
      <c r="R640" s="151">
        <v>2</v>
      </c>
      <c r="S640" s="143"/>
    </row>
    <row r="641" spans="1:19" x14ac:dyDescent="0.25">
      <c r="A641" s="5" t="s">
        <v>3248</v>
      </c>
      <c r="B641" s="147">
        <v>45896</v>
      </c>
      <c r="C641" s="5" t="s">
        <v>3249</v>
      </c>
      <c r="D641" s="5" t="s">
        <v>3250</v>
      </c>
      <c r="E641" s="5" t="s">
        <v>1342</v>
      </c>
      <c r="F641" s="5" t="s">
        <v>988</v>
      </c>
      <c r="G641" s="5" t="s">
        <v>1343</v>
      </c>
      <c r="H641" s="148">
        <v>4</v>
      </c>
      <c r="I641" s="149">
        <v>6842</v>
      </c>
      <c r="J641" s="150">
        <v>0.15</v>
      </c>
      <c r="K641" s="149">
        <v>23262.799999999999</v>
      </c>
      <c r="L641" s="149">
        <v>3644.05</v>
      </c>
      <c r="M641" s="5" t="s">
        <v>1344</v>
      </c>
      <c r="N641" s="5" t="s">
        <v>1321</v>
      </c>
      <c r="O641" s="5" t="s">
        <v>1322</v>
      </c>
      <c r="P641" s="5" t="s">
        <v>1314</v>
      </c>
      <c r="Q641" s="5" t="s">
        <v>1204</v>
      </c>
      <c r="R641" s="151">
        <v>2</v>
      </c>
      <c r="S641" s="143"/>
    </row>
    <row r="642" spans="1:19" x14ac:dyDescent="0.25">
      <c r="A642" s="5" t="s">
        <v>3251</v>
      </c>
      <c r="B642" s="147">
        <v>45938</v>
      </c>
      <c r="C642" s="5" t="s">
        <v>3252</v>
      </c>
      <c r="D642" s="5" t="s">
        <v>3253</v>
      </c>
      <c r="E642" s="5" t="s">
        <v>1359</v>
      </c>
      <c r="F642" s="5" t="s">
        <v>1360</v>
      </c>
      <c r="G642" s="5" t="s">
        <v>1361</v>
      </c>
      <c r="H642" s="148">
        <v>5</v>
      </c>
      <c r="I642" s="149">
        <v>5935</v>
      </c>
      <c r="J642" s="150">
        <v>0.1</v>
      </c>
      <c r="K642" s="149">
        <v>26707.5</v>
      </c>
      <c r="L642" s="149">
        <v>3583.77</v>
      </c>
      <c r="M642" s="5" t="s">
        <v>1344</v>
      </c>
      <c r="N642" s="5" t="s">
        <v>1337</v>
      </c>
      <c r="O642" s="5" t="s">
        <v>1338</v>
      </c>
      <c r="P642" s="5" t="s">
        <v>1327</v>
      </c>
      <c r="Q642" s="5" t="s">
        <v>1306</v>
      </c>
      <c r="R642" s="151">
        <v>3</v>
      </c>
      <c r="S642" s="143"/>
    </row>
    <row r="643" spans="1:19" x14ac:dyDescent="0.25">
      <c r="A643" s="5" t="s">
        <v>3254</v>
      </c>
      <c r="B643" s="147">
        <v>45710</v>
      </c>
      <c r="C643" s="5" t="s">
        <v>3255</v>
      </c>
      <c r="D643" s="5" t="s">
        <v>3256</v>
      </c>
      <c r="E643" s="5" t="s">
        <v>1310</v>
      </c>
      <c r="F643" s="5" t="s">
        <v>1311</v>
      </c>
      <c r="G643" s="5" t="s">
        <v>1312</v>
      </c>
      <c r="H643" s="148">
        <v>1</v>
      </c>
      <c r="I643" s="149">
        <v>2889</v>
      </c>
      <c r="J643" s="150">
        <v>0.05</v>
      </c>
      <c r="K643" s="149">
        <v>2744.55</v>
      </c>
      <c r="L643" s="149">
        <v>347.57</v>
      </c>
      <c r="M643" s="5" t="s">
        <v>1130</v>
      </c>
      <c r="N643" s="5" t="s">
        <v>1352</v>
      </c>
      <c r="O643" s="5" t="s">
        <v>1352</v>
      </c>
      <c r="P643" s="5" t="s">
        <v>1348</v>
      </c>
      <c r="Q643" s="5" t="s">
        <v>1300</v>
      </c>
      <c r="R643" s="151">
        <v>4</v>
      </c>
      <c r="S643" s="143"/>
    </row>
    <row r="644" spans="1:19" x14ac:dyDescent="0.25">
      <c r="A644" s="5" t="s">
        <v>3257</v>
      </c>
      <c r="B644" s="147">
        <v>45877</v>
      </c>
      <c r="C644" s="5" t="s">
        <v>3258</v>
      </c>
      <c r="D644" s="5" t="s">
        <v>3259</v>
      </c>
      <c r="E644" s="5" t="s">
        <v>1318</v>
      </c>
      <c r="F644" s="5" t="s">
        <v>1319</v>
      </c>
      <c r="G644" s="5" t="s">
        <v>1320</v>
      </c>
      <c r="H644" s="148">
        <v>1</v>
      </c>
      <c r="I644" s="149">
        <v>8733</v>
      </c>
      <c r="J644" s="150">
        <v>0</v>
      </c>
      <c r="K644" s="149">
        <v>8733</v>
      </c>
      <c r="L644" s="149">
        <v>1261.03</v>
      </c>
      <c r="M644" s="5" t="s">
        <v>1344</v>
      </c>
      <c r="N644" s="5" t="s">
        <v>1337</v>
      </c>
      <c r="O644" s="5" t="s">
        <v>1338</v>
      </c>
      <c r="P644" s="5" t="s">
        <v>1314</v>
      </c>
      <c r="Q644" s="5" t="s">
        <v>1306</v>
      </c>
      <c r="R644" s="151">
        <v>3</v>
      </c>
      <c r="S644" s="143"/>
    </row>
    <row r="645" spans="1:19" x14ac:dyDescent="0.25">
      <c r="A645" s="5" t="s">
        <v>3260</v>
      </c>
      <c r="B645" s="147">
        <v>46018</v>
      </c>
      <c r="C645" s="5" t="s">
        <v>3261</v>
      </c>
      <c r="D645" s="5" t="s">
        <v>3262</v>
      </c>
      <c r="E645" s="5" t="s">
        <v>1359</v>
      </c>
      <c r="F645" s="5" t="s">
        <v>1360</v>
      </c>
      <c r="G645" s="5" t="s">
        <v>1361</v>
      </c>
      <c r="H645" s="148">
        <v>4</v>
      </c>
      <c r="I645" s="149">
        <v>11938</v>
      </c>
      <c r="J645" s="150">
        <v>0.15</v>
      </c>
      <c r="K645" s="149">
        <v>40589.199999999997</v>
      </c>
      <c r="L645" s="149">
        <v>11424.41</v>
      </c>
      <c r="M645" s="5" t="s">
        <v>1126</v>
      </c>
      <c r="N645" s="5" t="s">
        <v>1297</v>
      </c>
      <c r="O645" s="5" t="s">
        <v>1298</v>
      </c>
      <c r="P645" s="5" t="s">
        <v>1323</v>
      </c>
      <c r="Q645" s="5" t="s">
        <v>1300</v>
      </c>
      <c r="R645" s="151">
        <v>2</v>
      </c>
      <c r="S645" s="143"/>
    </row>
    <row r="646" spans="1:19" x14ac:dyDescent="0.25">
      <c r="A646" s="5" t="s">
        <v>3263</v>
      </c>
      <c r="B646" s="147">
        <v>45825</v>
      </c>
      <c r="C646" s="5" t="s">
        <v>3264</v>
      </c>
      <c r="D646" s="5" t="s">
        <v>3265</v>
      </c>
      <c r="E646" s="5" t="s">
        <v>1342</v>
      </c>
      <c r="F646" s="5" t="s">
        <v>988</v>
      </c>
      <c r="G646" s="5" t="s">
        <v>1343</v>
      </c>
      <c r="H646" s="148">
        <v>2</v>
      </c>
      <c r="I646" s="149">
        <v>556</v>
      </c>
      <c r="J646" s="150">
        <v>0</v>
      </c>
      <c r="K646" s="149">
        <v>1112</v>
      </c>
      <c r="L646" s="149">
        <v>282.24</v>
      </c>
      <c r="M646" s="5" t="s">
        <v>1344</v>
      </c>
      <c r="N646" s="5" t="s">
        <v>1352</v>
      </c>
      <c r="O646" s="5" t="s">
        <v>1352</v>
      </c>
      <c r="P646" s="5" t="s">
        <v>1327</v>
      </c>
      <c r="Q646" s="5" t="s">
        <v>1300</v>
      </c>
      <c r="R646" s="151">
        <v>2</v>
      </c>
      <c r="S646" s="143"/>
    </row>
    <row r="647" spans="1:19" x14ac:dyDescent="0.25">
      <c r="A647" s="5" t="s">
        <v>3266</v>
      </c>
      <c r="B647" s="147">
        <v>45931</v>
      </c>
      <c r="C647" s="5" t="s">
        <v>3267</v>
      </c>
      <c r="D647" s="5" t="s">
        <v>3268</v>
      </c>
      <c r="E647" s="5" t="s">
        <v>1342</v>
      </c>
      <c r="F647" s="5" t="s">
        <v>988</v>
      </c>
      <c r="G647" s="5" t="s">
        <v>1343</v>
      </c>
      <c r="H647" s="148">
        <v>1</v>
      </c>
      <c r="I647" s="149">
        <v>12055</v>
      </c>
      <c r="J647" s="150">
        <v>0.2</v>
      </c>
      <c r="K647" s="149">
        <v>9644</v>
      </c>
      <c r="L647" s="149">
        <v>1668.24</v>
      </c>
      <c r="M647" s="5" t="s">
        <v>1313</v>
      </c>
      <c r="N647" s="5" t="s">
        <v>1362</v>
      </c>
      <c r="O647" s="5" t="s">
        <v>1363</v>
      </c>
      <c r="P647" s="5" t="s">
        <v>1348</v>
      </c>
      <c r="Q647" s="5" t="s">
        <v>1306</v>
      </c>
      <c r="R647" s="151">
        <v>2</v>
      </c>
      <c r="S647" s="143"/>
    </row>
    <row r="648" spans="1:19" x14ac:dyDescent="0.25">
      <c r="A648" s="5" t="s">
        <v>3269</v>
      </c>
      <c r="B648" s="147">
        <v>45685</v>
      </c>
      <c r="C648" s="5" t="s">
        <v>3270</v>
      </c>
      <c r="D648" s="5" t="s">
        <v>3271</v>
      </c>
      <c r="E648" s="5" t="s">
        <v>1310</v>
      </c>
      <c r="F648" s="5" t="s">
        <v>1311</v>
      </c>
      <c r="G648" s="5" t="s">
        <v>1312</v>
      </c>
      <c r="H648" s="148">
        <v>4</v>
      </c>
      <c r="I648" s="149">
        <v>12742</v>
      </c>
      <c r="J648" s="150">
        <v>0.1</v>
      </c>
      <c r="K648" s="149">
        <v>45871.199999999997</v>
      </c>
      <c r="L648" s="149">
        <v>7135.73</v>
      </c>
      <c r="M648" s="5" t="s">
        <v>1126</v>
      </c>
      <c r="N648" s="5" t="s">
        <v>1352</v>
      </c>
      <c r="O648" s="5" t="s">
        <v>1352</v>
      </c>
      <c r="P648" s="5" t="s">
        <v>1348</v>
      </c>
      <c r="Q648" s="5" t="s">
        <v>1184</v>
      </c>
      <c r="R648" s="151">
        <v>4</v>
      </c>
      <c r="S648" s="143"/>
    </row>
    <row r="649" spans="1:19" x14ac:dyDescent="0.25">
      <c r="A649" s="5" t="s">
        <v>3272</v>
      </c>
      <c r="B649" s="147">
        <v>45900</v>
      </c>
      <c r="C649" s="5" t="s">
        <v>3273</v>
      </c>
      <c r="D649" s="5" t="s">
        <v>3274</v>
      </c>
      <c r="E649" s="5" t="s">
        <v>1295</v>
      </c>
      <c r="F649" s="5" t="s">
        <v>985</v>
      </c>
      <c r="G649" s="5" t="s">
        <v>1296</v>
      </c>
      <c r="H649" s="148">
        <v>5</v>
      </c>
      <c r="I649" s="149">
        <v>7616</v>
      </c>
      <c r="J649" s="150">
        <v>0.2</v>
      </c>
      <c r="K649" s="149">
        <v>30464</v>
      </c>
      <c r="L649" s="149">
        <v>5898.35</v>
      </c>
      <c r="M649" s="5" t="s">
        <v>1381</v>
      </c>
      <c r="N649" s="5" t="s">
        <v>1352</v>
      </c>
      <c r="O649" s="5" t="s">
        <v>1352</v>
      </c>
      <c r="P649" s="5" t="s">
        <v>1323</v>
      </c>
      <c r="Q649" s="5" t="s">
        <v>1184</v>
      </c>
      <c r="R649" s="151">
        <v>1</v>
      </c>
      <c r="S649" s="143"/>
    </row>
    <row r="650" spans="1:19" x14ac:dyDescent="0.25">
      <c r="A650" s="5" t="s">
        <v>3275</v>
      </c>
      <c r="B650" s="147">
        <v>45827</v>
      </c>
      <c r="C650" s="5" t="s">
        <v>3276</v>
      </c>
      <c r="D650" s="5" t="s">
        <v>3277</v>
      </c>
      <c r="E650" s="5" t="s">
        <v>1342</v>
      </c>
      <c r="F650" s="5" t="s">
        <v>988</v>
      </c>
      <c r="G650" s="5" t="s">
        <v>1343</v>
      </c>
      <c r="H650" s="148">
        <v>3</v>
      </c>
      <c r="I650" s="149">
        <v>14392</v>
      </c>
      <c r="J650" s="150">
        <v>0.15</v>
      </c>
      <c r="K650" s="149">
        <v>36699.599999999999</v>
      </c>
      <c r="L650" s="149">
        <v>5490.17</v>
      </c>
      <c r="M650" s="5" t="s">
        <v>1344</v>
      </c>
      <c r="N650" s="5" t="s">
        <v>1352</v>
      </c>
      <c r="O650" s="5" t="s">
        <v>1352</v>
      </c>
      <c r="P650" s="5" t="s">
        <v>1314</v>
      </c>
      <c r="Q650" s="5" t="s">
        <v>1184</v>
      </c>
      <c r="R650" s="151">
        <v>4</v>
      </c>
      <c r="S650" s="143"/>
    </row>
    <row r="651" spans="1:19" x14ac:dyDescent="0.25">
      <c r="A651" s="5" t="s">
        <v>3278</v>
      </c>
      <c r="B651" s="147">
        <v>45680</v>
      </c>
      <c r="C651" s="5" t="s">
        <v>3279</v>
      </c>
      <c r="D651" s="5" t="s">
        <v>3280</v>
      </c>
      <c r="E651" s="5" t="s">
        <v>1318</v>
      </c>
      <c r="F651" s="5" t="s">
        <v>1319</v>
      </c>
      <c r="G651" s="5" t="s">
        <v>1320</v>
      </c>
      <c r="H651" s="148">
        <v>2</v>
      </c>
      <c r="I651" s="149">
        <v>6911</v>
      </c>
      <c r="J651" s="150">
        <v>0</v>
      </c>
      <c r="K651" s="149">
        <v>13822</v>
      </c>
      <c r="L651" s="149">
        <v>1314.09</v>
      </c>
      <c r="M651" s="5" t="s">
        <v>1344</v>
      </c>
      <c r="N651" s="5" t="s">
        <v>1362</v>
      </c>
      <c r="O651" s="5" t="s">
        <v>1363</v>
      </c>
      <c r="P651" s="5" t="s">
        <v>1348</v>
      </c>
      <c r="Q651" s="5" t="s">
        <v>1306</v>
      </c>
      <c r="R651" s="151">
        <v>5</v>
      </c>
      <c r="S651" s="143"/>
    </row>
    <row r="652" spans="1:19" x14ac:dyDescent="0.25">
      <c r="A652" s="5" t="s">
        <v>3281</v>
      </c>
      <c r="B652" s="147">
        <v>45815</v>
      </c>
      <c r="C652" s="5" t="s">
        <v>3282</v>
      </c>
      <c r="D652" s="5" t="s">
        <v>3283</v>
      </c>
      <c r="E652" s="5" t="s">
        <v>1195</v>
      </c>
      <c r="F652" s="5" t="s">
        <v>988</v>
      </c>
      <c r="G652" s="5" t="s">
        <v>1336</v>
      </c>
      <c r="H652" s="148">
        <v>3</v>
      </c>
      <c r="I652" s="149">
        <v>12161</v>
      </c>
      <c r="J652" s="150">
        <v>0.05</v>
      </c>
      <c r="K652" s="149">
        <v>34658.85</v>
      </c>
      <c r="L652" s="149">
        <v>6436.26</v>
      </c>
      <c r="M652" s="5" t="s">
        <v>1130</v>
      </c>
      <c r="N652" s="5" t="s">
        <v>1337</v>
      </c>
      <c r="O652" s="5" t="s">
        <v>1338</v>
      </c>
      <c r="P652" s="5" t="s">
        <v>1327</v>
      </c>
      <c r="Q652" s="5" t="s">
        <v>1300</v>
      </c>
      <c r="R652" s="151">
        <v>5</v>
      </c>
      <c r="S652" s="143"/>
    </row>
    <row r="653" spans="1:19" x14ac:dyDescent="0.25">
      <c r="A653" s="5" t="s">
        <v>3284</v>
      </c>
      <c r="B653" s="147">
        <v>45852</v>
      </c>
      <c r="C653" s="5" t="s">
        <v>3285</v>
      </c>
      <c r="D653" s="5" t="s">
        <v>3286</v>
      </c>
      <c r="E653" s="5" t="s">
        <v>1295</v>
      </c>
      <c r="F653" s="5" t="s">
        <v>985</v>
      </c>
      <c r="G653" s="5" t="s">
        <v>1296</v>
      </c>
      <c r="H653" s="148">
        <v>1</v>
      </c>
      <c r="I653" s="149">
        <v>6700</v>
      </c>
      <c r="J653" s="150">
        <v>0.15</v>
      </c>
      <c r="K653" s="149">
        <v>5695</v>
      </c>
      <c r="L653" s="149">
        <v>1520.21</v>
      </c>
      <c r="M653" s="5" t="s">
        <v>1126</v>
      </c>
      <c r="N653" s="5" t="s">
        <v>1352</v>
      </c>
      <c r="O653" s="5" t="s">
        <v>1352</v>
      </c>
      <c r="P653" s="5" t="s">
        <v>1348</v>
      </c>
      <c r="Q653" s="5" t="s">
        <v>1306</v>
      </c>
      <c r="R653" s="151">
        <v>4</v>
      </c>
      <c r="S653" s="143"/>
    </row>
    <row r="654" spans="1:19" x14ac:dyDescent="0.25">
      <c r="A654" s="5" t="s">
        <v>3287</v>
      </c>
      <c r="B654" s="147">
        <v>45792</v>
      </c>
      <c r="C654" s="5" t="s">
        <v>3288</v>
      </c>
      <c r="D654" s="5" t="s">
        <v>3289</v>
      </c>
      <c r="E654" s="5" t="s">
        <v>1318</v>
      </c>
      <c r="F654" s="5" t="s">
        <v>1319</v>
      </c>
      <c r="G654" s="5" t="s">
        <v>1320</v>
      </c>
      <c r="H654" s="148">
        <v>2</v>
      </c>
      <c r="I654" s="149">
        <v>11553</v>
      </c>
      <c r="J654" s="150">
        <v>0.05</v>
      </c>
      <c r="K654" s="149">
        <v>21950.7</v>
      </c>
      <c r="L654" s="149">
        <v>2700.96</v>
      </c>
      <c r="M654" s="5" t="s">
        <v>1126</v>
      </c>
      <c r="N654" s="5" t="s">
        <v>1304</v>
      </c>
      <c r="O654" s="5" t="s">
        <v>1305</v>
      </c>
      <c r="P654" s="5" t="s">
        <v>1314</v>
      </c>
      <c r="Q654" s="5" t="s">
        <v>1204</v>
      </c>
      <c r="R654" s="151">
        <v>5</v>
      </c>
      <c r="S654" s="143"/>
    </row>
    <row r="655" spans="1:19" x14ac:dyDescent="0.25">
      <c r="A655" s="5" t="s">
        <v>3290</v>
      </c>
      <c r="B655" s="147">
        <v>45728</v>
      </c>
      <c r="C655" s="5" t="s">
        <v>3291</v>
      </c>
      <c r="D655" s="5" t="s">
        <v>3292</v>
      </c>
      <c r="E655" s="5" t="s">
        <v>1359</v>
      </c>
      <c r="F655" s="5" t="s">
        <v>1360</v>
      </c>
      <c r="G655" s="5" t="s">
        <v>1361</v>
      </c>
      <c r="H655" s="148">
        <v>3</v>
      </c>
      <c r="I655" s="149">
        <v>4053</v>
      </c>
      <c r="J655" s="150">
        <v>0.05</v>
      </c>
      <c r="K655" s="149">
        <v>11551.05</v>
      </c>
      <c r="L655" s="149">
        <v>2522.2399999999998</v>
      </c>
      <c r="M655" s="5" t="s">
        <v>1381</v>
      </c>
      <c r="N655" s="5" t="s">
        <v>1321</v>
      </c>
      <c r="O655" s="5" t="s">
        <v>1322</v>
      </c>
      <c r="P655" s="5" t="s">
        <v>1323</v>
      </c>
      <c r="Q655" s="5" t="s">
        <v>1204</v>
      </c>
      <c r="R655" s="151">
        <v>2</v>
      </c>
      <c r="S655" s="143"/>
    </row>
    <row r="656" spans="1:19" x14ac:dyDescent="0.25">
      <c r="A656" s="5" t="s">
        <v>3293</v>
      </c>
      <c r="B656" s="147">
        <v>45808</v>
      </c>
      <c r="C656" s="5" t="s">
        <v>3294</v>
      </c>
      <c r="D656" s="5" t="s">
        <v>3295</v>
      </c>
      <c r="E656" s="5" t="s">
        <v>1195</v>
      </c>
      <c r="F656" s="5" t="s">
        <v>988</v>
      </c>
      <c r="G656" s="5" t="s">
        <v>1336</v>
      </c>
      <c r="H656" s="148">
        <v>1</v>
      </c>
      <c r="I656" s="149">
        <v>9410</v>
      </c>
      <c r="J656" s="150">
        <v>0.1</v>
      </c>
      <c r="K656" s="149">
        <v>8469</v>
      </c>
      <c r="L656" s="149">
        <v>1310.24</v>
      </c>
      <c r="M656" s="5" t="s">
        <v>1130</v>
      </c>
      <c r="N656" s="5" t="s">
        <v>1352</v>
      </c>
      <c r="O656" s="5" t="s">
        <v>1352</v>
      </c>
      <c r="P656" s="5" t="s">
        <v>1327</v>
      </c>
      <c r="Q656" s="5" t="s">
        <v>1204</v>
      </c>
      <c r="R656" s="151">
        <v>1</v>
      </c>
      <c r="S656" s="143"/>
    </row>
    <row r="657" spans="1:19" x14ac:dyDescent="0.25">
      <c r="A657" s="5" t="s">
        <v>3296</v>
      </c>
      <c r="B657" s="147">
        <v>45856</v>
      </c>
      <c r="C657" s="5" t="s">
        <v>3297</v>
      </c>
      <c r="D657" s="5" t="s">
        <v>3298</v>
      </c>
      <c r="E657" s="5" t="s">
        <v>1295</v>
      </c>
      <c r="F657" s="5" t="s">
        <v>985</v>
      </c>
      <c r="G657" s="5" t="s">
        <v>1296</v>
      </c>
      <c r="H657" s="148">
        <v>1</v>
      </c>
      <c r="I657" s="149">
        <v>9570</v>
      </c>
      <c r="J657" s="150">
        <v>0.2</v>
      </c>
      <c r="K657" s="149">
        <v>7656</v>
      </c>
      <c r="L657" s="149">
        <v>2266.77</v>
      </c>
      <c r="M657" s="5" t="s">
        <v>1313</v>
      </c>
      <c r="N657" s="5" t="s">
        <v>1337</v>
      </c>
      <c r="O657" s="5" t="s">
        <v>1338</v>
      </c>
      <c r="P657" s="5" t="s">
        <v>1299</v>
      </c>
      <c r="Q657" s="5" t="s">
        <v>1306</v>
      </c>
      <c r="R657" s="151">
        <v>2</v>
      </c>
      <c r="S657" s="143"/>
    </row>
    <row r="658" spans="1:19" x14ac:dyDescent="0.25">
      <c r="A658" s="5" t="s">
        <v>3299</v>
      </c>
      <c r="B658" s="147">
        <v>45743</v>
      </c>
      <c r="C658" s="5" t="s">
        <v>3300</v>
      </c>
      <c r="D658" s="5" t="s">
        <v>3301</v>
      </c>
      <c r="E658" s="5" t="s">
        <v>1370</v>
      </c>
      <c r="F658" s="5" t="s">
        <v>1160</v>
      </c>
      <c r="G658" s="5" t="s">
        <v>1371</v>
      </c>
      <c r="H658" s="148">
        <v>4</v>
      </c>
      <c r="I658" s="149">
        <v>13451</v>
      </c>
      <c r="J658" s="150">
        <v>0.15</v>
      </c>
      <c r="K658" s="149">
        <v>45733.4</v>
      </c>
      <c r="L658" s="149">
        <v>7765.98</v>
      </c>
      <c r="M658" s="5" t="s">
        <v>1126</v>
      </c>
      <c r="N658" s="5" t="s">
        <v>1297</v>
      </c>
      <c r="O658" s="5" t="s">
        <v>1298</v>
      </c>
      <c r="P658" s="5" t="s">
        <v>1314</v>
      </c>
      <c r="Q658" s="5" t="s">
        <v>1306</v>
      </c>
      <c r="R658" s="151">
        <v>2</v>
      </c>
      <c r="S658" s="143"/>
    </row>
    <row r="659" spans="1:19" x14ac:dyDescent="0.25">
      <c r="A659" s="5" t="s">
        <v>3302</v>
      </c>
      <c r="B659" s="147">
        <v>45685</v>
      </c>
      <c r="C659" s="5" t="s">
        <v>3303</v>
      </c>
      <c r="D659" s="5" t="s">
        <v>3304</v>
      </c>
      <c r="E659" s="5" t="s">
        <v>1310</v>
      </c>
      <c r="F659" s="5" t="s">
        <v>1311</v>
      </c>
      <c r="G659" s="5" t="s">
        <v>1312</v>
      </c>
      <c r="H659" s="148">
        <v>5</v>
      </c>
      <c r="I659" s="149">
        <v>9996</v>
      </c>
      <c r="J659" s="150">
        <v>0.05</v>
      </c>
      <c r="K659" s="149">
        <v>47481</v>
      </c>
      <c r="L659" s="149">
        <v>9808.06</v>
      </c>
      <c r="M659" s="5" t="s">
        <v>1344</v>
      </c>
      <c r="N659" s="5" t="s">
        <v>1362</v>
      </c>
      <c r="O659" s="5" t="s">
        <v>1363</v>
      </c>
      <c r="P659" s="5" t="s">
        <v>1314</v>
      </c>
      <c r="Q659" s="5" t="s">
        <v>1204</v>
      </c>
      <c r="R659" s="151">
        <v>4</v>
      </c>
      <c r="S659" s="143"/>
    </row>
    <row r="660" spans="1:19" x14ac:dyDescent="0.25">
      <c r="A660" s="5" t="s">
        <v>3305</v>
      </c>
      <c r="B660" s="147">
        <v>45738</v>
      </c>
      <c r="C660" s="5" t="s">
        <v>3306</v>
      </c>
      <c r="D660" s="5" t="s">
        <v>3307</v>
      </c>
      <c r="E660" s="5" t="s">
        <v>1342</v>
      </c>
      <c r="F660" s="5" t="s">
        <v>988</v>
      </c>
      <c r="G660" s="5" t="s">
        <v>1343</v>
      </c>
      <c r="H660" s="148">
        <v>1</v>
      </c>
      <c r="I660" s="149">
        <v>4375</v>
      </c>
      <c r="J660" s="150">
        <v>0.1</v>
      </c>
      <c r="K660" s="149">
        <v>3937.5</v>
      </c>
      <c r="L660" s="149">
        <v>737.12</v>
      </c>
      <c r="M660" s="5" t="s">
        <v>1130</v>
      </c>
      <c r="N660" s="5" t="s">
        <v>1321</v>
      </c>
      <c r="O660" s="5" t="s">
        <v>1322</v>
      </c>
      <c r="P660" s="5" t="s">
        <v>1348</v>
      </c>
      <c r="Q660" s="5" t="s">
        <v>1300</v>
      </c>
      <c r="R660" s="151">
        <v>2</v>
      </c>
      <c r="S660" s="143"/>
    </row>
    <row r="661" spans="1:19" x14ac:dyDescent="0.25">
      <c r="A661" s="5" t="s">
        <v>3308</v>
      </c>
      <c r="B661" s="147">
        <v>45721</v>
      </c>
      <c r="C661" s="5" t="s">
        <v>3309</v>
      </c>
      <c r="D661" s="5" t="s">
        <v>3310</v>
      </c>
      <c r="E661" s="5" t="s">
        <v>1359</v>
      </c>
      <c r="F661" s="5" t="s">
        <v>1360</v>
      </c>
      <c r="G661" s="5" t="s">
        <v>1361</v>
      </c>
      <c r="H661" s="148">
        <v>2</v>
      </c>
      <c r="I661" s="149">
        <v>11078</v>
      </c>
      <c r="J661" s="150">
        <v>0.05</v>
      </c>
      <c r="K661" s="149">
        <v>21048.2</v>
      </c>
      <c r="L661" s="149">
        <v>3128.76</v>
      </c>
      <c r="M661" s="5" t="s">
        <v>1126</v>
      </c>
      <c r="N661" s="5" t="s">
        <v>1362</v>
      </c>
      <c r="O661" s="5" t="s">
        <v>1363</v>
      </c>
      <c r="P661" s="5" t="s">
        <v>1323</v>
      </c>
      <c r="Q661" s="5" t="s">
        <v>1184</v>
      </c>
      <c r="R661" s="151">
        <v>4</v>
      </c>
      <c r="S661" s="143"/>
    </row>
    <row r="662" spans="1:19" x14ac:dyDescent="0.25">
      <c r="A662" s="5" t="s">
        <v>3311</v>
      </c>
      <c r="B662" s="147">
        <v>45793</v>
      </c>
      <c r="C662" s="5" t="s">
        <v>3312</v>
      </c>
      <c r="D662" s="5" t="s">
        <v>3313</v>
      </c>
      <c r="E662" s="5" t="s">
        <v>1318</v>
      </c>
      <c r="F662" s="5" t="s">
        <v>1319</v>
      </c>
      <c r="G662" s="5" t="s">
        <v>1320</v>
      </c>
      <c r="H662" s="148">
        <v>3</v>
      </c>
      <c r="I662" s="149">
        <v>3094</v>
      </c>
      <c r="J662" s="150">
        <v>0.1</v>
      </c>
      <c r="K662" s="149">
        <v>8353.7999999999993</v>
      </c>
      <c r="L662" s="149">
        <v>2010.02</v>
      </c>
      <c r="M662" s="5" t="s">
        <v>1130</v>
      </c>
      <c r="N662" s="5" t="s">
        <v>1297</v>
      </c>
      <c r="O662" s="5" t="s">
        <v>1298</v>
      </c>
      <c r="P662" s="5" t="s">
        <v>1299</v>
      </c>
      <c r="Q662" s="5" t="s">
        <v>1300</v>
      </c>
      <c r="R662" s="151">
        <v>4</v>
      </c>
      <c r="S662" s="143"/>
    </row>
    <row r="663" spans="1:19" x14ac:dyDescent="0.25">
      <c r="A663" s="5" t="s">
        <v>3314</v>
      </c>
      <c r="B663" s="147">
        <v>45803</v>
      </c>
      <c r="C663" s="5" t="s">
        <v>3315</v>
      </c>
      <c r="D663" s="5" t="s">
        <v>3316</v>
      </c>
      <c r="E663" s="5" t="s">
        <v>1370</v>
      </c>
      <c r="F663" s="5" t="s">
        <v>1160</v>
      </c>
      <c r="G663" s="5" t="s">
        <v>1371</v>
      </c>
      <c r="H663" s="148">
        <v>3</v>
      </c>
      <c r="I663" s="149">
        <v>8449</v>
      </c>
      <c r="J663" s="150">
        <v>0.05</v>
      </c>
      <c r="K663" s="149">
        <v>24079.65</v>
      </c>
      <c r="L663" s="149">
        <v>6889.75</v>
      </c>
      <c r="M663" s="5" t="s">
        <v>1313</v>
      </c>
      <c r="N663" s="5" t="s">
        <v>1321</v>
      </c>
      <c r="O663" s="5" t="s">
        <v>1322</v>
      </c>
      <c r="P663" s="5" t="s">
        <v>1327</v>
      </c>
      <c r="Q663" s="5" t="s">
        <v>1184</v>
      </c>
      <c r="R663" s="151">
        <v>4</v>
      </c>
      <c r="S663" s="143"/>
    </row>
    <row r="664" spans="1:19" x14ac:dyDescent="0.25">
      <c r="A664" s="5" t="s">
        <v>3317</v>
      </c>
      <c r="B664" s="147">
        <v>45823</v>
      </c>
      <c r="C664" s="5" t="s">
        <v>3318</v>
      </c>
      <c r="D664" s="5" t="s">
        <v>3319</v>
      </c>
      <c r="E664" s="5" t="s">
        <v>1342</v>
      </c>
      <c r="F664" s="5" t="s">
        <v>988</v>
      </c>
      <c r="G664" s="5" t="s">
        <v>1343</v>
      </c>
      <c r="H664" s="148">
        <v>1</v>
      </c>
      <c r="I664" s="149">
        <v>9456</v>
      </c>
      <c r="J664" s="150">
        <v>0.15</v>
      </c>
      <c r="K664" s="149">
        <v>8037.6</v>
      </c>
      <c r="L664" s="149">
        <v>1086.67</v>
      </c>
      <c r="M664" s="5" t="s">
        <v>1130</v>
      </c>
      <c r="N664" s="5" t="s">
        <v>1297</v>
      </c>
      <c r="O664" s="5" t="s">
        <v>1298</v>
      </c>
      <c r="P664" s="5" t="s">
        <v>1327</v>
      </c>
      <c r="Q664" s="5" t="s">
        <v>1300</v>
      </c>
      <c r="R664" s="151">
        <v>1</v>
      </c>
      <c r="S664" s="143"/>
    </row>
    <row r="665" spans="1:19" x14ac:dyDescent="0.25">
      <c r="A665" s="5" t="s">
        <v>3320</v>
      </c>
      <c r="B665" s="147">
        <v>45790</v>
      </c>
      <c r="C665" s="5" t="s">
        <v>3321</v>
      </c>
      <c r="D665" s="5" t="s">
        <v>3322</v>
      </c>
      <c r="E665" s="5" t="s">
        <v>1318</v>
      </c>
      <c r="F665" s="5" t="s">
        <v>1319</v>
      </c>
      <c r="G665" s="5" t="s">
        <v>1320</v>
      </c>
      <c r="H665" s="148">
        <v>5</v>
      </c>
      <c r="I665" s="149">
        <v>12314</v>
      </c>
      <c r="J665" s="150">
        <v>0</v>
      </c>
      <c r="K665" s="149">
        <v>61570</v>
      </c>
      <c r="L665" s="149">
        <v>14200.05</v>
      </c>
      <c r="M665" s="5" t="s">
        <v>1344</v>
      </c>
      <c r="N665" s="5" t="s">
        <v>1297</v>
      </c>
      <c r="O665" s="5" t="s">
        <v>1298</v>
      </c>
      <c r="P665" s="5" t="s">
        <v>1299</v>
      </c>
      <c r="Q665" s="5" t="s">
        <v>1300</v>
      </c>
      <c r="R665" s="151">
        <v>1</v>
      </c>
      <c r="S665" s="143"/>
    </row>
    <row r="666" spans="1:19" x14ac:dyDescent="0.25">
      <c r="A666" s="5" t="s">
        <v>3323</v>
      </c>
      <c r="B666" s="147">
        <v>45930</v>
      </c>
      <c r="C666" s="5" t="s">
        <v>3324</v>
      </c>
      <c r="D666" s="5" t="s">
        <v>3325</v>
      </c>
      <c r="E666" s="5" t="s">
        <v>1331</v>
      </c>
      <c r="F666" s="5" t="s">
        <v>988</v>
      </c>
      <c r="G666" s="5" t="s">
        <v>1332</v>
      </c>
      <c r="H666" s="148">
        <v>4</v>
      </c>
      <c r="I666" s="149">
        <v>14509</v>
      </c>
      <c r="J666" s="150">
        <v>0</v>
      </c>
      <c r="K666" s="149">
        <v>58036</v>
      </c>
      <c r="L666" s="149">
        <v>17135.32</v>
      </c>
      <c r="M666" s="5" t="s">
        <v>1344</v>
      </c>
      <c r="N666" s="5" t="s">
        <v>1337</v>
      </c>
      <c r="O666" s="5" t="s">
        <v>1338</v>
      </c>
      <c r="P666" s="5" t="s">
        <v>1314</v>
      </c>
      <c r="Q666" s="5" t="s">
        <v>1300</v>
      </c>
      <c r="R666" s="151">
        <v>3</v>
      </c>
      <c r="S666" s="143"/>
    </row>
    <row r="667" spans="1:19" x14ac:dyDescent="0.25">
      <c r="A667" s="5" t="s">
        <v>3326</v>
      </c>
      <c r="B667" s="147">
        <v>45887</v>
      </c>
      <c r="C667" s="5" t="s">
        <v>3327</v>
      </c>
      <c r="D667" s="5" t="s">
        <v>3328</v>
      </c>
      <c r="E667" s="5" t="s">
        <v>1359</v>
      </c>
      <c r="F667" s="5" t="s">
        <v>1360</v>
      </c>
      <c r="G667" s="5" t="s">
        <v>1361</v>
      </c>
      <c r="H667" s="148">
        <v>2</v>
      </c>
      <c r="I667" s="149">
        <v>7214</v>
      </c>
      <c r="J667" s="150">
        <v>0.05</v>
      </c>
      <c r="K667" s="149">
        <v>13706.6</v>
      </c>
      <c r="L667" s="149">
        <v>1706.46</v>
      </c>
      <c r="M667" s="5" t="s">
        <v>1344</v>
      </c>
      <c r="N667" s="5" t="s">
        <v>1337</v>
      </c>
      <c r="O667" s="5" t="s">
        <v>1338</v>
      </c>
      <c r="P667" s="5" t="s">
        <v>1348</v>
      </c>
      <c r="Q667" s="5" t="s">
        <v>1306</v>
      </c>
      <c r="R667" s="151">
        <v>1</v>
      </c>
      <c r="S667" s="143"/>
    </row>
    <row r="668" spans="1:19" x14ac:dyDescent="0.25">
      <c r="A668" s="5" t="s">
        <v>3329</v>
      </c>
      <c r="B668" s="147">
        <v>45948</v>
      </c>
      <c r="C668" s="5" t="s">
        <v>3330</v>
      </c>
      <c r="D668" s="5" t="s">
        <v>3331</v>
      </c>
      <c r="E668" s="5" t="s">
        <v>1331</v>
      </c>
      <c r="F668" s="5" t="s">
        <v>988</v>
      </c>
      <c r="G668" s="5" t="s">
        <v>1332</v>
      </c>
      <c r="H668" s="148">
        <v>2</v>
      </c>
      <c r="I668" s="149">
        <v>7247</v>
      </c>
      <c r="J668" s="150">
        <v>0.1</v>
      </c>
      <c r="K668" s="149">
        <v>13044.6</v>
      </c>
      <c r="L668" s="149">
        <v>3762.57</v>
      </c>
      <c r="M668" s="5" t="s">
        <v>1344</v>
      </c>
      <c r="N668" s="5" t="s">
        <v>1321</v>
      </c>
      <c r="O668" s="5" t="s">
        <v>1322</v>
      </c>
      <c r="P668" s="5" t="s">
        <v>1348</v>
      </c>
      <c r="Q668" s="5" t="s">
        <v>1306</v>
      </c>
      <c r="R668" s="151">
        <v>5</v>
      </c>
      <c r="S668" s="143"/>
    </row>
    <row r="669" spans="1:19" x14ac:dyDescent="0.25">
      <c r="A669" s="5" t="s">
        <v>3332</v>
      </c>
      <c r="B669" s="147">
        <v>45994</v>
      </c>
      <c r="C669" s="5" t="s">
        <v>3333</v>
      </c>
      <c r="D669" s="5" t="s">
        <v>3334</v>
      </c>
      <c r="E669" s="5" t="s">
        <v>1370</v>
      </c>
      <c r="F669" s="5" t="s">
        <v>1160</v>
      </c>
      <c r="G669" s="5" t="s">
        <v>1371</v>
      </c>
      <c r="H669" s="148">
        <v>4</v>
      </c>
      <c r="I669" s="149">
        <v>14393</v>
      </c>
      <c r="J669" s="150">
        <v>0</v>
      </c>
      <c r="K669" s="149">
        <v>57572</v>
      </c>
      <c r="L669" s="149">
        <v>13724.08</v>
      </c>
      <c r="M669" s="5" t="s">
        <v>1313</v>
      </c>
      <c r="N669" s="5" t="s">
        <v>1304</v>
      </c>
      <c r="O669" s="5" t="s">
        <v>1305</v>
      </c>
      <c r="P669" s="5" t="s">
        <v>1314</v>
      </c>
      <c r="Q669" s="5" t="s">
        <v>1184</v>
      </c>
      <c r="R669" s="151">
        <v>5</v>
      </c>
      <c r="S669" s="143"/>
    </row>
    <row r="670" spans="1:19" x14ac:dyDescent="0.25">
      <c r="A670" s="5" t="s">
        <v>3335</v>
      </c>
      <c r="B670" s="147">
        <v>45953</v>
      </c>
      <c r="C670" s="5" t="s">
        <v>3336</v>
      </c>
      <c r="D670" s="5" t="s">
        <v>3337</v>
      </c>
      <c r="E670" s="5" t="s">
        <v>1359</v>
      </c>
      <c r="F670" s="5" t="s">
        <v>1360</v>
      </c>
      <c r="G670" s="5" t="s">
        <v>1361</v>
      </c>
      <c r="H670" s="148">
        <v>4</v>
      </c>
      <c r="I670" s="149">
        <v>9219</v>
      </c>
      <c r="J670" s="150">
        <v>0.2</v>
      </c>
      <c r="K670" s="149">
        <v>29500.799999999999</v>
      </c>
      <c r="L670" s="149">
        <v>5110.67</v>
      </c>
      <c r="M670" s="5" t="s">
        <v>1126</v>
      </c>
      <c r="N670" s="5" t="s">
        <v>1304</v>
      </c>
      <c r="O670" s="5" t="s">
        <v>1305</v>
      </c>
      <c r="P670" s="5" t="s">
        <v>1314</v>
      </c>
      <c r="Q670" s="5" t="s">
        <v>1300</v>
      </c>
      <c r="R670" s="151">
        <v>3</v>
      </c>
      <c r="S670" s="143"/>
    </row>
    <row r="671" spans="1:19" x14ac:dyDescent="0.25">
      <c r="A671" s="5" t="s">
        <v>3338</v>
      </c>
      <c r="B671" s="147">
        <v>45872</v>
      </c>
      <c r="C671" s="5" t="s">
        <v>3339</v>
      </c>
      <c r="D671" s="5" t="s">
        <v>3340</v>
      </c>
      <c r="E671" s="5" t="s">
        <v>1359</v>
      </c>
      <c r="F671" s="5" t="s">
        <v>1360</v>
      </c>
      <c r="G671" s="5" t="s">
        <v>1361</v>
      </c>
      <c r="H671" s="148">
        <v>1</v>
      </c>
      <c r="I671" s="149">
        <v>11929</v>
      </c>
      <c r="J671" s="150">
        <v>0.05</v>
      </c>
      <c r="K671" s="149">
        <v>11332.55</v>
      </c>
      <c r="L671" s="149">
        <v>3034.76</v>
      </c>
      <c r="M671" s="5" t="s">
        <v>1130</v>
      </c>
      <c r="N671" s="5" t="s">
        <v>1321</v>
      </c>
      <c r="O671" s="5" t="s">
        <v>1322</v>
      </c>
      <c r="P671" s="5" t="s">
        <v>1323</v>
      </c>
      <c r="Q671" s="5" t="s">
        <v>1204</v>
      </c>
      <c r="R671" s="151">
        <v>1</v>
      </c>
      <c r="S671" s="143"/>
    </row>
    <row r="672" spans="1:19" x14ac:dyDescent="0.25">
      <c r="A672" s="5" t="s">
        <v>3341</v>
      </c>
      <c r="B672" s="147">
        <v>45862</v>
      </c>
      <c r="C672" s="5" t="s">
        <v>3342</v>
      </c>
      <c r="D672" s="5" t="s">
        <v>3343</v>
      </c>
      <c r="E672" s="5" t="s">
        <v>1318</v>
      </c>
      <c r="F672" s="5" t="s">
        <v>1319</v>
      </c>
      <c r="G672" s="5" t="s">
        <v>1320</v>
      </c>
      <c r="H672" s="148">
        <v>5</v>
      </c>
      <c r="I672" s="149">
        <v>693</v>
      </c>
      <c r="J672" s="150">
        <v>0.15</v>
      </c>
      <c r="K672" s="149">
        <v>2945.25</v>
      </c>
      <c r="L672" s="149">
        <v>857.82</v>
      </c>
      <c r="M672" s="5" t="s">
        <v>1126</v>
      </c>
      <c r="N672" s="5" t="s">
        <v>1297</v>
      </c>
      <c r="O672" s="5" t="s">
        <v>1298</v>
      </c>
      <c r="P672" s="5" t="s">
        <v>1299</v>
      </c>
      <c r="Q672" s="5" t="s">
        <v>1204</v>
      </c>
      <c r="R672" s="151">
        <v>2</v>
      </c>
      <c r="S672" s="143"/>
    </row>
    <row r="673" spans="1:19" x14ac:dyDescent="0.25">
      <c r="A673" s="5" t="s">
        <v>3344</v>
      </c>
      <c r="B673" s="147">
        <v>45717</v>
      </c>
      <c r="C673" s="5" t="s">
        <v>3345</v>
      </c>
      <c r="D673" s="5" t="s">
        <v>3346</v>
      </c>
      <c r="E673" s="5" t="s">
        <v>1370</v>
      </c>
      <c r="F673" s="5" t="s">
        <v>1160</v>
      </c>
      <c r="G673" s="5" t="s">
        <v>1371</v>
      </c>
      <c r="H673" s="148">
        <v>3</v>
      </c>
      <c r="I673" s="149">
        <v>11612</v>
      </c>
      <c r="J673" s="150">
        <v>0.1</v>
      </c>
      <c r="K673" s="149">
        <v>31352.400000000001</v>
      </c>
      <c r="L673" s="149">
        <v>2780.11</v>
      </c>
      <c r="M673" s="5" t="s">
        <v>1344</v>
      </c>
      <c r="N673" s="5" t="s">
        <v>1337</v>
      </c>
      <c r="O673" s="5" t="s">
        <v>1338</v>
      </c>
      <c r="P673" s="5" t="s">
        <v>1348</v>
      </c>
      <c r="Q673" s="5" t="s">
        <v>1300</v>
      </c>
      <c r="R673" s="151">
        <v>3</v>
      </c>
      <c r="S673" s="143"/>
    </row>
    <row r="674" spans="1:19" x14ac:dyDescent="0.25">
      <c r="A674" s="5" t="s">
        <v>3347</v>
      </c>
      <c r="B674" s="147">
        <v>45952</v>
      </c>
      <c r="C674" s="5" t="s">
        <v>3348</v>
      </c>
      <c r="D674" s="5" t="s">
        <v>3349</v>
      </c>
      <c r="E674" s="5" t="s">
        <v>1342</v>
      </c>
      <c r="F674" s="5" t="s">
        <v>988</v>
      </c>
      <c r="G674" s="5" t="s">
        <v>1343</v>
      </c>
      <c r="H674" s="148">
        <v>2</v>
      </c>
      <c r="I674" s="149">
        <v>1931</v>
      </c>
      <c r="J674" s="150">
        <v>0.1</v>
      </c>
      <c r="K674" s="149">
        <v>3475.8</v>
      </c>
      <c r="L674" s="149">
        <v>1018.25</v>
      </c>
      <c r="M674" s="5" t="s">
        <v>1130</v>
      </c>
      <c r="N674" s="5" t="s">
        <v>1304</v>
      </c>
      <c r="O674" s="5" t="s">
        <v>1305</v>
      </c>
      <c r="P674" s="5" t="s">
        <v>1323</v>
      </c>
      <c r="Q674" s="5" t="s">
        <v>1300</v>
      </c>
      <c r="R674" s="151">
        <v>3</v>
      </c>
      <c r="S674" s="143"/>
    </row>
    <row r="675" spans="1:19" x14ac:dyDescent="0.25">
      <c r="A675" s="5" t="s">
        <v>3350</v>
      </c>
      <c r="B675" s="147">
        <v>45942</v>
      </c>
      <c r="C675" s="5" t="s">
        <v>3351</v>
      </c>
      <c r="D675" s="5" t="s">
        <v>3352</v>
      </c>
      <c r="E675" s="5" t="s">
        <v>1370</v>
      </c>
      <c r="F675" s="5" t="s">
        <v>1160</v>
      </c>
      <c r="G675" s="5" t="s">
        <v>1371</v>
      </c>
      <c r="H675" s="148">
        <v>4</v>
      </c>
      <c r="I675" s="149">
        <v>440</v>
      </c>
      <c r="J675" s="150">
        <v>0.15</v>
      </c>
      <c r="K675" s="149">
        <v>1496</v>
      </c>
      <c r="L675" s="149">
        <v>331.96</v>
      </c>
      <c r="M675" s="5" t="s">
        <v>1344</v>
      </c>
      <c r="N675" s="5" t="s">
        <v>1304</v>
      </c>
      <c r="O675" s="5" t="s">
        <v>1305</v>
      </c>
      <c r="P675" s="5" t="s">
        <v>1327</v>
      </c>
      <c r="Q675" s="5" t="s">
        <v>1204</v>
      </c>
      <c r="R675" s="151">
        <v>4</v>
      </c>
      <c r="S675" s="143"/>
    </row>
    <row r="676" spans="1:19" x14ac:dyDescent="0.25">
      <c r="A676" s="5" t="s">
        <v>3353</v>
      </c>
      <c r="B676" s="147">
        <v>45982</v>
      </c>
      <c r="C676" s="5" t="s">
        <v>3354</v>
      </c>
      <c r="D676" s="5" t="s">
        <v>3355</v>
      </c>
      <c r="E676" s="5" t="s">
        <v>1342</v>
      </c>
      <c r="F676" s="5" t="s">
        <v>988</v>
      </c>
      <c r="G676" s="5" t="s">
        <v>1343</v>
      </c>
      <c r="H676" s="148">
        <v>5</v>
      </c>
      <c r="I676" s="149">
        <v>448</v>
      </c>
      <c r="J676" s="150">
        <v>0.05</v>
      </c>
      <c r="K676" s="149">
        <v>2128</v>
      </c>
      <c r="L676" s="149">
        <v>402.46</v>
      </c>
      <c r="M676" s="5" t="s">
        <v>1313</v>
      </c>
      <c r="N676" s="5" t="s">
        <v>1352</v>
      </c>
      <c r="O676" s="5" t="s">
        <v>1352</v>
      </c>
      <c r="P676" s="5" t="s">
        <v>1314</v>
      </c>
      <c r="Q676" s="5" t="s">
        <v>1300</v>
      </c>
      <c r="R676" s="151">
        <v>5</v>
      </c>
      <c r="S676" s="143"/>
    </row>
    <row r="677" spans="1:19" x14ac:dyDescent="0.25">
      <c r="A677" s="5" t="s">
        <v>3356</v>
      </c>
      <c r="B677" s="147">
        <v>45989</v>
      </c>
      <c r="C677" s="5" t="s">
        <v>3357</v>
      </c>
      <c r="D677" s="5" t="s">
        <v>3358</v>
      </c>
      <c r="E677" s="5" t="s">
        <v>1331</v>
      </c>
      <c r="F677" s="5" t="s">
        <v>988</v>
      </c>
      <c r="G677" s="5" t="s">
        <v>1332</v>
      </c>
      <c r="H677" s="148">
        <v>1</v>
      </c>
      <c r="I677" s="149">
        <v>11582</v>
      </c>
      <c r="J677" s="150">
        <v>0.2</v>
      </c>
      <c r="K677" s="149">
        <v>9265.6</v>
      </c>
      <c r="L677" s="149">
        <v>2470.31</v>
      </c>
      <c r="M677" s="5" t="s">
        <v>1126</v>
      </c>
      <c r="N677" s="5" t="s">
        <v>1352</v>
      </c>
      <c r="O677" s="5" t="s">
        <v>1352</v>
      </c>
      <c r="P677" s="5" t="s">
        <v>1348</v>
      </c>
      <c r="Q677" s="5" t="s">
        <v>1204</v>
      </c>
      <c r="R677" s="151">
        <v>3</v>
      </c>
      <c r="S677" s="143"/>
    </row>
    <row r="678" spans="1:19" x14ac:dyDescent="0.25">
      <c r="A678" s="5" t="s">
        <v>3359</v>
      </c>
      <c r="B678" s="147">
        <v>45706</v>
      </c>
      <c r="C678" s="5" t="s">
        <v>3360</v>
      </c>
      <c r="D678" s="5" t="s">
        <v>3361</v>
      </c>
      <c r="E678" s="5" t="s">
        <v>1195</v>
      </c>
      <c r="F678" s="5" t="s">
        <v>988</v>
      </c>
      <c r="G678" s="5" t="s">
        <v>1336</v>
      </c>
      <c r="H678" s="148">
        <v>4</v>
      </c>
      <c r="I678" s="149">
        <v>5246</v>
      </c>
      <c r="J678" s="150">
        <v>0</v>
      </c>
      <c r="K678" s="149">
        <v>20984</v>
      </c>
      <c r="L678" s="149">
        <v>4120</v>
      </c>
      <c r="M678" s="5" t="s">
        <v>1344</v>
      </c>
      <c r="N678" s="5" t="s">
        <v>1321</v>
      </c>
      <c r="O678" s="5" t="s">
        <v>1322</v>
      </c>
      <c r="P678" s="5" t="s">
        <v>1327</v>
      </c>
      <c r="Q678" s="5" t="s">
        <v>1306</v>
      </c>
      <c r="R678" s="151">
        <v>2</v>
      </c>
      <c r="S678" s="143"/>
    </row>
    <row r="679" spans="1:19" x14ac:dyDescent="0.25">
      <c r="A679" s="5" t="s">
        <v>3362</v>
      </c>
      <c r="B679" s="147">
        <v>45840</v>
      </c>
      <c r="C679" s="5" t="s">
        <v>3363</v>
      </c>
      <c r="D679" s="5" t="s">
        <v>3364</v>
      </c>
      <c r="E679" s="5" t="s">
        <v>1295</v>
      </c>
      <c r="F679" s="5" t="s">
        <v>985</v>
      </c>
      <c r="G679" s="5" t="s">
        <v>1296</v>
      </c>
      <c r="H679" s="148">
        <v>1</v>
      </c>
      <c r="I679" s="149">
        <v>3263</v>
      </c>
      <c r="J679" s="150">
        <v>0</v>
      </c>
      <c r="K679" s="149">
        <v>3263</v>
      </c>
      <c r="L679" s="149">
        <v>910.92</v>
      </c>
      <c r="M679" s="5" t="s">
        <v>1126</v>
      </c>
      <c r="N679" s="5" t="s">
        <v>1352</v>
      </c>
      <c r="O679" s="5" t="s">
        <v>1352</v>
      </c>
      <c r="P679" s="5" t="s">
        <v>1323</v>
      </c>
      <c r="Q679" s="5" t="s">
        <v>1204</v>
      </c>
      <c r="R679" s="151">
        <v>3</v>
      </c>
      <c r="S679" s="143"/>
    </row>
    <row r="680" spans="1:19" x14ac:dyDescent="0.25">
      <c r="A680" s="5" t="s">
        <v>3365</v>
      </c>
      <c r="B680" s="147">
        <v>45898</v>
      </c>
      <c r="C680" s="5" t="s">
        <v>3366</v>
      </c>
      <c r="D680" s="5" t="s">
        <v>3367</v>
      </c>
      <c r="E680" s="5" t="s">
        <v>1295</v>
      </c>
      <c r="F680" s="5" t="s">
        <v>985</v>
      </c>
      <c r="G680" s="5" t="s">
        <v>1296</v>
      </c>
      <c r="H680" s="148">
        <v>3</v>
      </c>
      <c r="I680" s="149">
        <v>10516</v>
      </c>
      <c r="J680" s="150">
        <v>0.2</v>
      </c>
      <c r="K680" s="149">
        <v>25238.400000000001</v>
      </c>
      <c r="L680" s="149">
        <v>6543.55</v>
      </c>
      <c r="M680" s="5" t="s">
        <v>1344</v>
      </c>
      <c r="N680" s="5" t="s">
        <v>1304</v>
      </c>
      <c r="O680" s="5" t="s">
        <v>1305</v>
      </c>
      <c r="P680" s="5" t="s">
        <v>1323</v>
      </c>
      <c r="Q680" s="5" t="s">
        <v>1306</v>
      </c>
      <c r="R680" s="151">
        <v>3</v>
      </c>
      <c r="S680" s="143"/>
    </row>
    <row r="681" spans="1:19" x14ac:dyDescent="0.25">
      <c r="A681" s="5" t="s">
        <v>3368</v>
      </c>
      <c r="B681" s="147">
        <v>45726</v>
      </c>
      <c r="C681" s="5" t="s">
        <v>3369</v>
      </c>
      <c r="D681" s="5" t="s">
        <v>3370</v>
      </c>
      <c r="E681" s="5" t="s">
        <v>1331</v>
      </c>
      <c r="F681" s="5" t="s">
        <v>988</v>
      </c>
      <c r="G681" s="5" t="s">
        <v>1332</v>
      </c>
      <c r="H681" s="148">
        <v>2</v>
      </c>
      <c r="I681" s="149">
        <v>11313</v>
      </c>
      <c r="J681" s="150">
        <v>0.05</v>
      </c>
      <c r="K681" s="149">
        <v>21494.7</v>
      </c>
      <c r="L681" s="149">
        <v>5930.74</v>
      </c>
      <c r="M681" s="5" t="s">
        <v>1381</v>
      </c>
      <c r="N681" s="5" t="s">
        <v>1337</v>
      </c>
      <c r="O681" s="5" t="s">
        <v>1338</v>
      </c>
      <c r="P681" s="5" t="s">
        <v>1348</v>
      </c>
      <c r="Q681" s="5" t="s">
        <v>1204</v>
      </c>
      <c r="R681" s="151">
        <v>2</v>
      </c>
      <c r="S681" s="143"/>
    </row>
    <row r="682" spans="1:19" x14ac:dyDescent="0.25">
      <c r="A682" s="5" t="s">
        <v>3371</v>
      </c>
      <c r="B682" s="147">
        <v>45676</v>
      </c>
      <c r="C682" s="5" t="s">
        <v>3372</v>
      </c>
      <c r="D682" s="5" t="s">
        <v>3373</v>
      </c>
      <c r="E682" s="5" t="s">
        <v>1295</v>
      </c>
      <c r="F682" s="5" t="s">
        <v>985</v>
      </c>
      <c r="G682" s="5" t="s">
        <v>1296</v>
      </c>
      <c r="H682" s="148">
        <v>3</v>
      </c>
      <c r="I682" s="149">
        <v>247</v>
      </c>
      <c r="J682" s="150">
        <v>0.2</v>
      </c>
      <c r="K682" s="149">
        <v>592.79999999999995</v>
      </c>
      <c r="L682" s="149">
        <v>65.94</v>
      </c>
      <c r="M682" s="5" t="s">
        <v>1381</v>
      </c>
      <c r="N682" s="5" t="s">
        <v>1297</v>
      </c>
      <c r="O682" s="5" t="s">
        <v>1298</v>
      </c>
      <c r="P682" s="5" t="s">
        <v>1327</v>
      </c>
      <c r="Q682" s="5" t="s">
        <v>1204</v>
      </c>
      <c r="R682" s="151">
        <v>5</v>
      </c>
      <c r="S682" s="143"/>
    </row>
    <row r="683" spans="1:19" x14ac:dyDescent="0.25">
      <c r="A683" s="5" t="s">
        <v>3374</v>
      </c>
      <c r="B683" s="147">
        <v>45659</v>
      </c>
      <c r="C683" s="5" t="s">
        <v>3375</v>
      </c>
      <c r="D683" s="5" t="s">
        <v>3376</v>
      </c>
      <c r="E683" s="5" t="s">
        <v>1318</v>
      </c>
      <c r="F683" s="5" t="s">
        <v>1319</v>
      </c>
      <c r="G683" s="5" t="s">
        <v>1320</v>
      </c>
      <c r="H683" s="148">
        <v>5</v>
      </c>
      <c r="I683" s="149">
        <v>5070</v>
      </c>
      <c r="J683" s="150">
        <v>0.15</v>
      </c>
      <c r="K683" s="149">
        <v>21547.5</v>
      </c>
      <c r="L683" s="149">
        <v>4997.75</v>
      </c>
      <c r="M683" s="5" t="s">
        <v>1313</v>
      </c>
      <c r="N683" s="5" t="s">
        <v>1337</v>
      </c>
      <c r="O683" s="5" t="s">
        <v>1338</v>
      </c>
      <c r="P683" s="5" t="s">
        <v>1323</v>
      </c>
      <c r="Q683" s="5" t="s">
        <v>1204</v>
      </c>
      <c r="R683" s="151">
        <v>4</v>
      </c>
      <c r="S683" s="143"/>
    </row>
    <row r="684" spans="1:19" x14ac:dyDescent="0.25">
      <c r="A684" s="5" t="s">
        <v>3377</v>
      </c>
      <c r="B684" s="147">
        <v>45709</v>
      </c>
      <c r="C684" s="5" t="s">
        <v>3378</v>
      </c>
      <c r="D684" s="5" t="s">
        <v>3379</v>
      </c>
      <c r="E684" s="5" t="s">
        <v>1318</v>
      </c>
      <c r="F684" s="5" t="s">
        <v>1319</v>
      </c>
      <c r="G684" s="5" t="s">
        <v>1320</v>
      </c>
      <c r="H684" s="148">
        <v>5</v>
      </c>
      <c r="I684" s="149">
        <v>7996</v>
      </c>
      <c r="J684" s="150">
        <v>0.1</v>
      </c>
      <c r="K684" s="149">
        <v>35982</v>
      </c>
      <c r="L684" s="149">
        <v>5284.6</v>
      </c>
      <c r="M684" s="5" t="s">
        <v>1313</v>
      </c>
      <c r="N684" s="5" t="s">
        <v>1337</v>
      </c>
      <c r="O684" s="5" t="s">
        <v>1338</v>
      </c>
      <c r="P684" s="5" t="s">
        <v>1323</v>
      </c>
      <c r="Q684" s="5" t="s">
        <v>1300</v>
      </c>
      <c r="R684" s="151">
        <v>3</v>
      </c>
      <c r="S684" s="143"/>
    </row>
    <row r="685" spans="1:19" x14ac:dyDescent="0.25">
      <c r="A685" s="5" t="s">
        <v>3380</v>
      </c>
      <c r="B685" s="147">
        <v>45821</v>
      </c>
      <c r="C685" s="5" t="s">
        <v>3381</v>
      </c>
      <c r="D685" s="5" t="s">
        <v>3382</v>
      </c>
      <c r="E685" s="5" t="s">
        <v>1331</v>
      </c>
      <c r="F685" s="5" t="s">
        <v>988</v>
      </c>
      <c r="G685" s="5" t="s">
        <v>1332</v>
      </c>
      <c r="H685" s="148">
        <v>4</v>
      </c>
      <c r="I685" s="149">
        <v>5364</v>
      </c>
      <c r="J685" s="150">
        <v>0</v>
      </c>
      <c r="K685" s="149">
        <v>21456</v>
      </c>
      <c r="L685" s="149">
        <v>2046.8</v>
      </c>
      <c r="M685" s="5" t="s">
        <v>1126</v>
      </c>
      <c r="N685" s="5" t="s">
        <v>1304</v>
      </c>
      <c r="O685" s="5" t="s">
        <v>1305</v>
      </c>
      <c r="P685" s="5" t="s">
        <v>1327</v>
      </c>
      <c r="Q685" s="5" t="s">
        <v>1184</v>
      </c>
      <c r="R685" s="151">
        <v>3</v>
      </c>
      <c r="S685" s="143"/>
    </row>
    <row r="686" spans="1:19" x14ac:dyDescent="0.25">
      <c r="A686" s="5" t="s">
        <v>3383</v>
      </c>
      <c r="B686" s="147">
        <v>45991</v>
      </c>
      <c r="C686" s="5" t="s">
        <v>3384</v>
      </c>
      <c r="D686" s="5" t="s">
        <v>3385</v>
      </c>
      <c r="E686" s="5" t="s">
        <v>1342</v>
      </c>
      <c r="F686" s="5" t="s">
        <v>988</v>
      </c>
      <c r="G686" s="5" t="s">
        <v>1343</v>
      </c>
      <c r="H686" s="148">
        <v>4</v>
      </c>
      <c r="I686" s="149">
        <v>11846</v>
      </c>
      <c r="J686" s="150">
        <v>0.05</v>
      </c>
      <c r="K686" s="149">
        <v>45014.8</v>
      </c>
      <c r="L686" s="149">
        <v>3769.39</v>
      </c>
      <c r="M686" s="5" t="s">
        <v>1381</v>
      </c>
      <c r="N686" s="5" t="s">
        <v>1337</v>
      </c>
      <c r="O686" s="5" t="s">
        <v>1338</v>
      </c>
      <c r="P686" s="5" t="s">
        <v>1323</v>
      </c>
      <c r="Q686" s="5" t="s">
        <v>1204</v>
      </c>
      <c r="R686" s="151">
        <v>2</v>
      </c>
      <c r="S686" s="143"/>
    </row>
    <row r="687" spans="1:19" x14ac:dyDescent="0.25">
      <c r="A687" s="5" t="s">
        <v>3386</v>
      </c>
      <c r="B687" s="147">
        <v>45760</v>
      </c>
      <c r="C687" s="5" t="s">
        <v>3387</v>
      </c>
      <c r="D687" s="5" t="s">
        <v>3388</v>
      </c>
      <c r="E687" s="5" t="s">
        <v>1359</v>
      </c>
      <c r="F687" s="5" t="s">
        <v>1360</v>
      </c>
      <c r="G687" s="5" t="s">
        <v>1361</v>
      </c>
      <c r="H687" s="148">
        <v>5</v>
      </c>
      <c r="I687" s="149">
        <v>7528</v>
      </c>
      <c r="J687" s="150">
        <v>0.2</v>
      </c>
      <c r="K687" s="149">
        <v>30112</v>
      </c>
      <c r="L687" s="149">
        <v>5327.7</v>
      </c>
      <c r="M687" s="5" t="s">
        <v>1344</v>
      </c>
      <c r="N687" s="5" t="s">
        <v>1321</v>
      </c>
      <c r="O687" s="5" t="s">
        <v>1322</v>
      </c>
      <c r="P687" s="5" t="s">
        <v>1299</v>
      </c>
      <c r="Q687" s="5" t="s">
        <v>1306</v>
      </c>
      <c r="R687" s="151">
        <v>1</v>
      </c>
      <c r="S687" s="143"/>
    </row>
    <row r="688" spans="1:19" x14ac:dyDescent="0.25">
      <c r="A688" s="5" t="s">
        <v>3389</v>
      </c>
      <c r="B688" s="147">
        <v>45924</v>
      </c>
      <c r="C688" s="5" t="s">
        <v>3390</v>
      </c>
      <c r="D688" s="5" t="s">
        <v>3391</v>
      </c>
      <c r="E688" s="5" t="s">
        <v>1370</v>
      </c>
      <c r="F688" s="5" t="s">
        <v>1160</v>
      </c>
      <c r="G688" s="5" t="s">
        <v>1371</v>
      </c>
      <c r="H688" s="148">
        <v>2</v>
      </c>
      <c r="I688" s="149">
        <v>2079</v>
      </c>
      <c r="J688" s="150">
        <v>0.05</v>
      </c>
      <c r="K688" s="149">
        <v>3950.1</v>
      </c>
      <c r="L688" s="149">
        <v>535.85</v>
      </c>
      <c r="M688" s="5" t="s">
        <v>1126</v>
      </c>
      <c r="N688" s="5" t="s">
        <v>1337</v>
      </c>
      <c r="O688" s="5" t="s">
        <v>1338</v>
      </c>
      <c r="P688" s="5" t="s">
        <v>1327</v>
      </c>
      <c r="Q688" s="5" t="s">
        <v>1300</v>
      </c>
      <c r="R688" s="151">
        <v>2</v>
      </c>
      <c r="S688" s="143"/>
    </row>
    <row r="689" spans="1:19" x14ac:dyDescent="0.25">
      <c r="A689" s="5" t="s">
        <v>3392</v>
      </c>
      <c r="B689" s="147">
        <v>45740</v>
      </c>
      <c r="C689" s="5" t="s">
        <v>3393</v>
      </c>
      <c r="D689" s="5" t="s">
        <v>3394</v>
      </c>
      <c r="E689" s="5" t="s">
        <v>1370</v>
      </c>
      <c r="F689" s="5" t="s">
        <v>1160</v>
      </c>
      <c r="G689" s="5" t="s">
        <v>1371</v>
      </c>
      <c r="H689" s="148">
        <v>3</v>
      </c>
      <c r="I689" s="149">
        <v>6525</v>
      </c>
      <c r="J689" s="150">
        <v>0</v>
      </c>
      <c r="K689" s="149">
        <v>19575</v>
      </c>
      <c r="L689" s="149">
        <v>3465.19</v>
      </c>
      <c r="M689" s="5" t="s">
        <v>1381</v>
      </c>
      <c r="N689" s="5" t="s">
        <v>1337</v>
      </c>
      <c r="O689" s="5" t="s">
        <v>1338</v>
      </c>
      <c r="P689" s="5" t="s">
        <v>1327</v>
      </c>
      <c r="Q689" s="5" t="s">
        <v>1204</v>
      </c>
      <c r="R689" s="151">
        <v>3</v>
      </c>
      <c r="S689" s="143"/>
    </row>
    <row r="690" spans="1:19" x14ac:dyDescent="0.25">
      <c r="A690" s="5" t="s">
        <v>3395</v>
      </c>
      <c r="B690" s="147">
        <v>45803</v>
      </c>
      <c r="C690" s="5" t="s">
        <v>3396</v>
      </c>
      <c r="D690" s="5" t="s">
        <v>3397</v>
      </c>
      <c r="E690" s="5" t="s">
        <v>1331</v>
      </c>
      <c r="F690" s="5" t="s">
        <v>988</v>
      </c>
      <c r="G690" s="5" t="s">
        <v>1332</v>
      </c>
      <c r="H690" s="148">
        <v>5</v>
      </c>
      <c r="I690" s="149">
        <v>10449</v>
      </c>
      <c r="J690" s="150">
        <v>0.15</v>
      </c>
      <c r="K690" s="149">
        <v>44408.25</v>
      </c>
      <c r="L690" s="149">
        <v>8680.67</v>
      </c>
      <c r="M690" s="5" t="s">
        <v>1130</v>
      </c>
      <c r="N690" s="5" t="s">
        <v>1304</v>
      </c>
      <c r="O690" s="5" t="s">
        <v>1305</v>
      </c>
      <c r="P690" s="5" t="s">
        <v>1348</v>
      </c>
      <c r="Q690" s="5" t="s">
        <v>1204</v>
      </c>
      <c r="R690" s="151">
        <v>2</v>
      </c>
      <c r="S690" s="143"/>
    </row>
    <row r="691" spans="1:19" x14ac:dyDescent="0.25">
      <c r="A691" s="5" t="s">
        <v>3398</v>
      </c>
      <c r="B691" s="147">
        <v>45859</v>
      </c>
      <c r="C691" s="5" t="s">
        <v>3399</v>
      </c>
      <c r="D691" s="5" t="s">
        <v>3400</v>
      </c>
      <c r="E691" s="5" t="s">
        <v>1370</v>
      </c>
      <c r="F691" s="5" t="s">
        <v>1160</v>
      </c>
      <c r="G691" s="5" t="s">
        <v>1371</v>
      </c>
      <c r="H691" s="148">
        <v>5</v>
      </c>
      <c r="I691" s="149">
        <v>13825</v>
      </c>
      <c r="J691" s="150">
        <v>0.05</v>
      </c>
      <c r="K691" s="149">
        <v>65668.75</v>
      </c>
      <c r="L691" s="149">
        <v>14770.76</v>
      </c>
      <c r="M691" s="5" t="s">
        <v>1381</v>
      </c>
      <c r="N691" s="5" t="s">
        <v>1337</v>
      </c>
      <c r="O691" s="5" t="s">
        <v>1338</v>
      </c>
      <c r="P691" s="5" t="s">
        <v>1327</v>
      </c>
      <c r="Q691" s="5" t="s">
        <v>1306</v>
      </c>
      <c r="R691" s="151">
        <v>5</v>
      </c>
      <c r="S691" s="143"/>
    </row>
    <row r="692" spans="1:19" x14ac:dyDescent="0.25">
      <c r="A692" s="5" t="s">
        <v>3401</v>
      </c>
      <c r="B692" s="147">
        <v>45848</v>
      </c>
      <c r="C692" s="5" t="s">
        <v>3402</v>
      </c>
      <c r="D692" s="5" t="s">
        <v>3403</v>
      </c>
      <c r="E692" s="5" t="s">
        <v>1331</v>
      </c>
      <c r="F692" s="5" t="s">
        <v>988</v>
      </c>
      <c r="G692" s="5" t="s">
        <v>1332</v>
      </c>
      <c r="H692" s="148">
        <v>4</v>
      </c>
      <c r="I692" s="149">
        <v>10862</v>
      </c>
      <c r="J692" s="150">
        <v>0.05</v>
      </c>
      <c r="K692" s="149">
        <v>41275.599999999999</v>
      </c>
      <c r="L692" s="149">
        <v>6207.55</v>
      </c>
      <c r="M692" s="5" t="s">
        <v>1344</v>
      </c>
      <c r="N692" s="5" t="s">
        <v>1304</v>
      </c>
      <c r="O692" s="5" t="s">
        <v>1305</v>
      </c>
      <c r="P692" s="5" t="s">
        <v>1314</v>
      </c>
      <c r="Q692" s="5" t="s">
        <v>1306</v>
      </c>
      <c r="R692" s="151">
        <v>2</v>
      </c>
      <c r="S692" s="143"/>
    </row>
    <row r="693" spans="1:19" x14ac:dyDescent="0.25">
      <c r="A693" s="5" t="s">
        <v>3404</v>
      </c>
      <c r="B693" s="147">
        <v>45889</v>
      </c>
      <c r="C693" s="5" t="s">
        <v>3405</v>
      </c>
      <c r="D693" s="5" t="s">
        <v>3406</v>
      </c>
      <c r="E693" s="5" t="s">
        <v>1318</v>
      </c>
      <c r="F693" s="5" t="s">
        <v>1319</v>
      </c>
      <c r="G693" s="5" t="s">
        <v>1320</v>
      </c>
      <c r="H693" s="148">
        <v>4</v>
      </c>
      <c r="I693" s="149">
        <v>1665</v>
      </c>
      <c r="J693" s="150">
        <v>0.2</v>
      </c>
      <c r="K693" s="149">
        <v>5328</v>
      </c>
      <c r="L693" s="149">
        <v>837.03</v>
      </c>
      <c r="M693" s="5" t="s">
        <v>1381</v>
      </c>
      <c r="N693" s="5" t="s">
        <v>1337</v>
      </c>
      <c r="O693" s="5" t="s">
        <v>1338</v>
      </c>
      <c r="P693" s="5" t="s">
        <v>1323</v>
      </c>
      <c r="Q693" s="5" t="s">
        <v>1204</v>
      </c>
      <c r="R693" s="151">
        <v>1</v>
      </c>
      <c r="S693" s="143"/>
    </row>
    <row r="694" spans="1:19" x14ac:dyDescent="0.25">
      <c r="A694" s="5" t="s">
        <v>3407</v>
      </c>
      <c r="B694" s="147">
        <v>45858</v>
      </c>
      <c r="C694" s="5" t="s">
        <v>3408</v>
      </c>
      <c r="D694" s="5" t="s">
        <v>3409</v>
      </c>
      <c r="E694" s="5" t="s">
        <v>1342</v>
      </c>
      <c r="F694" s="5" t="s">
        <v>988</v>
      </c>
      <c r="G694" s="5" t="s">
        <v>1343</v>
      </c>
      <c r="H694" s="148">
        <v>3</v>
      </c>
      <c r="I694" s="149">
        <v>12041</v>
      </c>
      <c r="J694" s="150">
        <v>0.15</v>
      </c>
      <c r="K694" s="149">
        <v>30704.55</v>
      </c>
      <c r="L694" s="149">
        <v>6423.1</v>
      </c>
      <c r="M694" s="5" t="s">
        <v>1381</v>
      </c>
      <c r="N694" s="5" t="s">
        <v>1304</v>
      </c>
      <c r="O694" s="5" t="s">
        <v>1305</v>
      </c>
      <c r="P694" s="5" t="s">
        <v>1299</v>
      </c>
      <c r="Q694" s="5" t="s">
        <v>1306</v>
      </c>
      <c r="R694" s="151">
        <v>1</v>
      </c>
      <c r="S694" s="143"/>
    </row>
    <row r="695" spans="1:19" x14ac:dyDescent="0.25">
      <c r="A695" s="5" t="s">
        <v>3410</v>
      </c>
      <c r="B695" s="147">
        <v>45755</v>
      </c>
      <c r="C695" s="5" t="s">
        <v>3411</v>
      </c>
      <c r="D695" s="5" t="s">
        <v>3412</v>
      </c>
      <c r="E695" s="5" t="s">
        <v>1195</v>
      </c>
      <c r="F695" s="5" t="s">
        <v>988</v>
      </c>
      <c r="G695" s="5" t="s">
        <v>1336</v>
      </c>
      <c r="H695" s="148">
        <v>1</v>
      </c>
      <c r="I695" s="149">
        <v>10255</v>
      </c>
      <c r="J695" s="150">
        <v>0.2</v>
      </c>
      <c r="K695" s="149">
        <v>8204</v>
      </c>
      <c r="L695" s="149">
        <v>2348.91</v>
      </c>
      <c r="M695" s="5" t="s">
        <v>1344</v>
      </c>
      <c r="N695" s="5" t="s">
        <v>1297</v>
      </c>
      <c r="O695" s="5" t="s">
        <v>1298</v>
      </c>
      <c r="P695" s="5" t="s">
        <v>1327</v>
      </c>
      <c r="Q695" s="5" t="s">
        <v>1306</v>
      </c>
      <c r="R695" s="151">
        <v>4</v>
      </c>
      <c r="S695" s="143"/>
    </row>
    <row r="696" spans="1:19" x14ac:dyDescent="0.25">
      <c r="A696" s="5" t="s">
        <v>3413</v>
      </c>
      <c r="B696" s="147">
        <v>45886</v>
      </c>
      <c r="C696" s="5" t="s">
        <v>3414</v>
      </c>
      <c r="D696" s="5" t="s">
        <v>3415</v>
      </c>
      <c r="E696" s="5" t="s">
        <v>1370</v>
      </c>
      <c r="F696" s="5" t="s">
        <v>1160</v>
      </c>
      <c r="G696" s="5" t="s">
        <v>1371</v>
      </c>
      <c r="H696" s="148">
        <v>5</v>
      </c>
      <c r="I696" s="149">
        <v>4207</v>
      </c>
      <c r="J696" s="150">
        <v>0.1</v>
      </c>
      <c r="K696" s="149">
        <v>18931.5</v>
      </c>
      <c r="L696" s="149">
        <v>3862.49</v>
      </c>
      <c r="M696" s="5" t="s">
        <v>1130</v>
      </c>
      <c r="N696" s="5" t="s">
        <v>1337</v>
      </c>
      <c r="O696" s="5" t="s">
        <v>1338</v>
      </c>
      <c r="P696" s="5" t="s">
        <v>1327</v>
      </c>
      <c r="Q696" s="5" t="s">
        <v>1306</v>
      </c>
      <c r="R696" s="151">
        <v>2</v>
      </c>
      <c r="S696" s="143"/>
    </row>
    <row r="697" spans="1:19" x14ac:dyDescent="0.25">
      <c r="A697" s="5" t="s">
        <v>3416</v>
      </c>
      <c r="B697" s="147">
        <v>45985</v>
      </c>
      <c r="C697" s="5" t="s">
        <v>3417</v>
      </c>
      <c r="D697" s="5" t="s">
        <v>3418</v>
      </c>
      <c r="E697" s="5" t="s">
        <v>1318</v>
      </c>
      <c r="F697" s="5" t="s">
        <v>1319</v>
      </c>
      <c r="G697" s="5" t="s">
        <v>1320</v>
      </c>
      <c r="H697" s="148">
        <v>5</v>
      </c>
      <c r="I697" s="149">
        <v>14374</v>
      </c>
      <c r="J697" s="150">
        <v>0.2</v>
      </c>
      <c r="K697" s="149">
        <v>57496</v>
      </c>
      <c r="L697" s="149">
        <v>7998.77</v>
      </c>
      <c r="M697" s="5" t="s">
        <v>1381</v>
      </c>
      <c r="N697" s="5" t="s">
        <v>1321</v>
      </c>
      <c r="O697" s="5" t="s">
        <v>1322</v>
      </c>
      <c r="P697" s="5" t="s">
        <v>1327</v>
      </c>
      <c r="Q697" s="5" t="s">
        <v>1300</v>
      </c>
      <c r="R697" s="151">
        <v>4</v>
      </c>
      <c r="S697" s="143"/>
    </row>
    <row r="698" spans="1:19" x14ac:dyDescent="0.25">
      <c r="A698" s="5" t="s">
        <v>3419</v>
      </c>
      <c r="B698" s="147">
        <v>45900</v>
      </c>
      <c r="C698" s="5" t="s">
        <v>3420</v>
      </c>
      <c r="D698" s="5" t="s">
        <v>3421</v>
      </c>
      <c r="E698" s="5" t="s">
        <v>1370</v>
      </c>
      <c r="F698" s="5" t="s">
        <v>1160</v>
      </c>
      <c r="G698" s="5" t="s">
        <v>1371</v>
      </c>
      <c r="H698" s="148">
        <v>4</v>
      </c>
      <c r="I698" s="149">
        <v>14847</v>
      </c>
      <c r="J698" s="150">
        <v>0.05</v>
      </c>
      <c r="K698" s="149">
        <v>56418.6</v>
      </c>
      <c r="L698" s="149">
        <v>15502.81</v>
      </c>
      <c r="M698" s="5" t="s">
        <v>1130</v>
      </c>
      <c r="N698" s="5" t="s">
        <v>1304</v>
      </c>
      <c r="O698" s="5" t="s">
        <v>1305</v>
      </c>
      <c r="P698" s="5" t="s">
        <v>1323</v>
      </c>
      <c r="Q698" s="5" t="s">
        <v>1306</v>
      </c>
      <c r="R698" s="151">
        <v>2</v>
      </c>
      <c r="S698" s="143"/>
    </row>
    <row r="699" spans="1:19" x14ac:dyDescent="0.25">
      <c r="A699" s="5" t="s">
        <v>3422</v>
      </c>
      <c r="B699" s="147">
        <v>45716</v>
      </c>
      <c r="C699" s="5" t="s">
        <v>3423</v>
      </c>
      <c r="D699" s="5" t="s">
        <v>3424</v>
      </c>
      <c r="E699" s="5" t="s">
        <v>1342</v>
      </c>
      <c r="F699" s="5" t="s">
        <v>988</v>
      </c>
      <c r="G699" s="5" t="s">
        <v>1343</v>
      </c>
      <c r="H699" s="148">
        <v>3</v>
      </c>
      <c r="I699" s="149">
        <v>7962</v>
      </c>
      <c r="J699" s="150">
        <v>0.05</v>
      </c>
      <c r="K699" s="149">
        <v>22691.7</v>
      </c>
      <c r="L699" s="149">
        <v>5389.48</v>
      </c>
      <c r="M699" s="5" t="s">
        <v>1313</v>
      </c>
      <c r="N699" s="5" t="s">
        <v>1362</v>
      </c>
      <c r="O699" s="5" t="s">
        <v>1363</v>
      </c>
      <c r="P699" s="5" t="s">
        <v>1323</v>
      </c>
      <c r="Q699" s="5" t="s">
        <v>1204</v>
      </c>
      <c r="R699" s="151">
        <v>5</v>
      </c>
      <c r="S699" s="143"/>
    </row>
    <row r="700" spans="1:19" x14ac:dyDescent="0.25">
      <c r="A700" s="5" t="s">
        <v>3425</v>
      </c>
      <c r="B700" s="147">
        <v>45794</v>
      </c>
      <c r="C700" s="5" t="s">
        <v>3426</v>
      </c>
      <c r="D700" s="5" t="s">
        <v>3427</v>
      </c>
      <c r="E700" s="5" t="s">
        <v>1310</v>
      </c>
      <c r="F700" s="5" t="s">
        <v>1311</v>
      </c>
      <c r="G700" s="5" t="s">
        <v>1312</v>
      </c>
      <c r="H700" s="148">
        <v>1</v>
      </c>
      <c r="I700" s="149">
        <v>8745</v>
      </c>
      <c r="J700" s="150">
        <v>0.15</v>
      </c>
      <c r="K700" s="149">
        <v>7433.25</v>
      </c>
      <c r="L700" s="149">
        <v>630.33000000000004</v>
      </c>
      <c r="M700" s="5" t="s">
        <v>1126</v>
      </c>
      <c r="N700" s="5" t="s">
        <v>1352</v>
      </c>
      <c r="O700" s="5" t="s">
        <v>1352</v>
      </c>
      <c r="P700" s="5" t="s">
        <v>1323</v>
      </c>
      <c r="Q700" s="5" t="s">
        <v>1204</v>
      </c>
      <c r="R700" s="151">
        <v>3</v>
      </c>
      <c r="S700" s="143"/>
    </row>
    <row r="701" spans="1:19" x14ac:dyDescent="0.25">
      <c r="A701" s="5" t="s">
        <v>3428</v>
      </c>
      <c r="B701" s="147">
        <v>45914</v>
      </c>
      <c r="C701" s="5" t="s">
        <v>3429</v>
      </c>
      <c r="D701" s="5" t="s">
        <v>3430</v>
      </c>
      <c r="E701" s="5" t="s">
        <v>1342</v>
      </c>
      <c r="F701" s="5" t="s">
        <v>988</v>
      </c>
      <c r="G701" s="5" t="s">
        <v>1343</v>
      </c>
      <c r="H701" s="148">
        <v>2</v>
      </c>
      <c r="I701" s="149">
        <v>5024</v>
      </c>
      <c r="J701" s="150">
        <v>0.1</v>
      </c>
      <c r="K701" s="149">
        <v>9043.2000000000007</v>
      </c>
      <c r="L701" s="149">
        <v>1854.76</v>
      </c>
      <c r="M701" s="5" t="s">
        <v>1130</v>
      </c>
      <c r="N701" s="5" t="s">
        <v>1297</v>
      </c>
      <c r="O701" s="5" t="s">
        <v>1298</v>
      </c>
      <c r="P701" s="5" t="s">
        <v>1327</v>
      </c>
      <c r="Q701" s="5" t="s">
        <v>1306</v>
      </c>
      <c r="R701" s="151">
        <v>4</v>
      </c>
      <c r="S701" s="143"/>
    </row>
    <row r="702" spans="1:19" x14ac:dyDescent="0.25">
      <c r="A702" s="5" t="s">
        <v>3431</v>
      </c>
      <c r="B702" s="147">
        <v>45677</v>
      </c>
      <c r="C702" s="5" t="s">
        <v>3432</v>
      </c>
      <c r="D702" s="5" t="s">
        <v>3433</v>
      </c>
      <c r="E702" s="5" t="s">
        <v>1370</v>
      </c>
      <c r="F702" s="5" t="s">
        <v>1160</v>
      </c>
      <c r="G702" s="5" t="s">
        <v>1371</v>
      </c>
      <c r="H702" s="148">
        <v>2</v>
      </c>
      <c r="I702" s="149">
        <v>6138</v>
      </c>
      <c r="J702" s="150">
        <v>0.05</v>
      </c>
      <c r="K702" s="149">
        <v>11662.2</v>
      </c>
      <c r="L702" s="149">
        <v>3446.67</v>
      </c>
      <c r="M702" s="5" t="s">
        <v>1344</v>
      </c>
      <c r="N702" s="5" t="s">
        <v>1297</v>
      </c>
      <c r="O702" s="5" t="s">
        <v>1298</v>
      </c>
      <c r="P702" s="5" t="s">
        <v>1327</v>
      </c>
      <c r="Q702" s="5" t="s">
        <v>1300</v>
      </c>
      <c r="R702" s="151">
        <v>4</v>
      </c>
      <c r="S702" s="143"/>
    </row>
    <row r="703" spans="1:19" x14ac:dyDescent="0.25">
      <c r="A703" s="5" t="s">
        <v>3434</v>
      </c>
      <c r="B703" s="147">
        <v>45884</v>
      </c>
      <c r="C703" s="5" t="s">
        <v>3435</v>
      </c>
      <c r="D703" s="5" t="s">
        <v>3436</v>
      </c>
      <c r="E703" s="5" t="s">
        <v>1331</v>
      </c>
      <c r="F703" s="5" t="s">
        <v>988</v>
      </c>
      <c r="G703" s="5" t="s">
        <v>1332</v>
      </c>
      <c r="H703" s="148">
        <v>4</v>
      </c>
      <c r="I703" s="149">
        <v>5537</v>
      </c>
      <c r="J703" s="150">
        <v>0.1</v>
      </c>
      <c r="K703" s="149">
        <v>19933.2</v>
      </c>
      <c r="L703" s="149">
        <v>2748.37</v>
      </c>
      <c r="M703" s="5" t="s">
        <v>1130</v>
      </c>
      <c r="N703" s="5" t="s">
        <v>1321</v>
      </c>
      <c r="O703" s="5" t="s">
        <v>1322</v>
      </c>
      <c r="P703" s="5" t="s">
        <v>1327</v>
      </c>
      <c r="Q703" s="5" t="s">
        <v>1184</v>
      </c>
      <c r="R703" s="151">
        <v>3</v>
      </c>
      <c r="S703" s="143"/>
    </row>
    <row r="704" spans="1:19" x14ac:dyDescent="0.25">
      <c r="A704" s="5" t="s">
        <v>3437</v>
      </c>
      <c r="B704" s="147">
        <v>45805</v>
      </c>
      <c r="C704" s="5" t="s">
        <v>3438</v>
      </c>
      <c r="D704" s="5" t="s">
        <v>3439</v>
      </c>
      <c r="E704" s="5" t="s">
        <v>1195</v>
      </c>
      <c r="F704" s="5" t="s">
        <v>988</v>
      </c>
      <c r="G704" s="5" t="s">
        <v>1336</v>
      </c>
      <c r="H704" s="148">
        <v>1</v>
      </c>
      <c r="I704" s="149">
        <v>7611</v>
      </c>
      <c r="J704" s="150">
        <v>0.1</v>
      </c>
      <c r="K704" s="149">
        <v>6849.9</v>
      </c>
      <c r="L704" s="149">
        <v>1198.26</v>
      </c>
      <c r="M704" s="5" t="s">
        <v>1344</v>
      </c>
      <c r="N704" s="5" t="s">
        <v>1321</v>
      </c>
      <c r="O704" s="5" t="s">
        <v>1322</v>
      </c>
      <c r="P704" s="5" t="s">
        <v>1348</v>
      </c>
      <c r="Q704" s="5" t="s">
        <v>1184</v>
      </c>
      <c r="R704" s="151">
        <v>4</v>
      </c>
      <c r="S704" s="143"/>
    </row>
    <row r="705" spans="1:19" x14ac:dyDescent="0.25">
      <c r="A705" s="5" t="s">
        <v>3440</v>
      </c>
      <c r="B705" s="147">
        <v>45836</v>
      </c>
      <c r="C705" s="5" t="s">
        <v>3441</v>
      </c>
      <c r="D705" s="5" t="s">
        <v>3442</v>
      </c>
      <c r="E705" s="5" t="s">
        <v>1195</v>
      </c>
      <c r="F705" s="5" t="s">
        <v>988</v>
      </c>
      <c r="G705" s="5" t="s">
        <v>1336</v>
      </c>
      <c r="H705" s="148">
        <v>1</v>
      </c>
      <c r="I705" s="149">
        <v>11261</v>
      </c>
      <c r="J705" s="150">
        <v>0</v>
      </c>
      <c r="K705" s="149">
        <v>11261</v>
      </c>
      <c r="L705" s="149">
        <v>1478.15</v>
      </c>
      <c r="M705" s="5" t="s">
        <v>1313</v>
      </c>
      <c r="N705" s="5" t="s">
        <v>1352</v>
      </c>
      <c r="O705" s="5" t="s">
        <v>1352</v>
      </c>
      <c r="P705" s="5" t="s">
        <v>1348</v>
      </c>
      <c r="Q705" s="5" t="s">
        <v>1204</v>
      </c>
      <c r="R705" s="151">
        <v>4</v>
      </c>
      <c r="S705" s="143"/>
    </row>
    <row r="706" spans="1:19" x14ac:dyDescent="0.25">
      <c r="A706" s="5" t="s">
        <v>3443</v>
      </c>
      <c r="B706" s="147">
        <v>45859</v>
      </c>
      <c r="C706" s="5" t="s">
        <v>3444</v>
      </c>
      <c r="D706" s="5" t="s">
        <v>3445</v>
      </c>
      <c r="E706" s="5" t="s">
        <v>1195</v>
      </c>
      <c r="F706" s="5" t="s">
        <v>988</v>
      </c>
      <c r="G706" s="5" t="s">
        <v>1336</v>
      </c>
      <c r="H706" s="148">
        <v>4</v>
      </c>
      <c r="I706" s="149">
        <v>7424</v>
      </c>
      <c r="J706" s="150">
        <v>0.15</v>
      </c>
      <c r="K706" s="149">
        <v>25241.599999999999</v>
      </c>
      <c r="L706" s="149">
        <v>2373.1</v>
      </c>
      <c r="M706" s="5" t="s">
        <v>1126</v>
      </c>
      <c r="N706" s="5" t="s">
        <v>1362</v>
      </c>
      <c r="O706" s="5" t="s">
        <v>1363</v>
      </c>
      <c r="P706" s="5" t="s">
        <v>1299</v>
      </c>
      <c r="Q706" s="5" t="s">
        <v>1300</v>
      </c>
      <c r="R706" s="151">
        <v>4</v>
      </c>
      <c r="S706" s="143"/>
    </row>
    <row r="707" spans="1:19" x14ac:dyDescent="0.25">
      <c r="A707" s="5" t="s">
        <v>3446</v>
      </c>
      <c r="B707" s="147">
        <v>45709</v>
      </c>
      <c r="C707" s="5" t="s">
        <v>3447</v>
      </c>
      <c r="D707" s="5" t="s">
        <v>3448</v>
      </c>
      <c r="E707" s="5" t="s">
        <v>1342</v>
      </c>
      <c r="F707" s="5" t="s">
        <v>988</v>
      </c>
      <c r="G707" s="5" t="s">
        <v>1343</v>
      </c>
      <c r="H707" s="148">
        <v>5</v>
      </c>
      <c r="I707" s="149">
        <v>13100</v>
      </c>
      <c r="J707" s="150">
        <v>0.1</v>
      </c>
      <c r="K707" s="149">
        <v>58950</v>
      </c>
      <c r="L707" s="149">
        <v>7083.62</v>
      </c>
      <c r="M707" s="5" t="s">
        <v>1344</v>
      </c>
      <c r="N707" s="5" t="s">
        <v>1362</v>
      </c>
      <c r="O707" s="5" t="s">
        <v>1363</v>
      </c>
      <c r="P707" s="5" t="s">
        <v>1299</v>
      </c>
      <c r="Q707" s="5" t="s">
        <v>1184</v>
      </c>
      <c r="R707" s="151">
        <v>3</v>
      </c>
      <c r="S707" s="143"/>
    </row>
    <row r="708" spans="1:19" x14ac:dyDescent="0.25">
      <c r="A708" s="5" t="s">
        <v>3449</v>
      </c>
      <c r="B708" s="147">
        <v>45674</v>
      </c>
      <c r="C708" s="5" t="s">
        <v>3450</v>
      </c>
      <c r="D708" s="5" t="s">
        <v>3451</v>
      </c>
      <c r="E708" s="5" t="s">
        <v>1310</v>
      </c>
      <c r="F708" s="5" t="s">
        <v>1311</v>
      </c>
      <c r="G708" s="5" t="s">
        <v>1312</v>
      </c>
      <c r="H708" s="148">
        <v>3</v>
      </c>
      <c r="I708" s="149">
        <v>12627</v>
      </c>
      <c r="J708" s="150">
        <v>0.2</v>
      </c>
      <c r="K708" s="149">
        <v>30304.799999999999</v>
      </c>
      <c r="L708" s="149">
        <v>3212.54</v>
      </c>
      <c r="M708" s="5" t="s">
        <v>1313</v>
      </c>
      <c r="N708" s="5" t="s">
        <v>1321</v>
      </c>
      <c r="O708" s="5" t="s">
        <v>1322</v>
      </c>
      <c r="P708" s="5" t="s">
        <v>1327</v>
      </c>
      <c r="Q708" s="5" t="s">
        <v>1300</v>
      </c>
      <c r="R708" s="151">
        <v>5</v>
      </c>
      <c r="S708" s="143"/>
    </row>
    <row r="709" spans="1:19" x14ac:dyDescent="0.25">
      <c r="A709" s="5" t="s">
        <v>3452</v>
      </c>
      <c r="B709" s="147">
        <v>45885</v>
      </c>
      <c r="C709" s="5" t="s">
        <v>3453</v>
      </c>
      <c r="D709" s="5" t="s">
        <v>3454</v>
      </c>
      <c r="E709" s="5" t="s">
        <v>1370</v>
      </c>
      <c r="F709" s="5" t="s">
        <v>1160</v>
      </c>
      <c r="G709" s="5" t="s">
        <v>1371</v>
      </c>
      <c r="H709" s="148">
        <v>2</v>
      </c>
      <c r="I709" s="149">
        <v>14119</v>
      </c>
      <c r="J709" s="150">
        <v>0.15</v>
      </c>
      <c r="K709" s="149">
        <v>24002.3</v>
      </c>
      <c r="L709" s="149">
        <v>6736.2</v>
      </c>
      <c r="M709" s="5" t="s">
        <v>1126</v>
      </c>
      <c r="N709" s="5" t="s">
        <v>1304</v>
      </c>
      <c r="O709" s="5" t="s">
        <v>1305</v>
      </c>
      <c r="P709" s="5" t="s">
        <v>1314</v>
      </c>
      <c r="Q709" s="5" t="s">
        <v>1204</v>
      </c>
      <c r="R709" s="151">
        <v>5</v>
      </c>
      <c r="S709" s="143"/>
    </row>
    <row r="710" spans="1:19" x14ac:dyDescent="0.25">
      <c r="A710" s="5" t="s">
        <v>3455</v>
      </c>
      <c r="B710" s="147">
        <v>45846</v>
      </c>
      <c r="C710" s="5" t="s">
        <v>3456</v>
      </c>
      <c r="D710" s="5" t="s">
        <v>3457</v>
      </c>
      <c r="E710" s="5" t="s">
        <v>1331</v>
      </c>
      <c r="F710" s="5" t="s">
        <v>988</v>
      </c>
      <c r="G710" s="5" t="s">
        <v>1332</v>
      </c>
      <c r="H710" s="148">
        <v>5</v>
      </c>
      <c r="I710" s="149">
        <v>4857</v>
      </c>
      <c r="J710" s="150">
        <v>0.05</v>
      </c>
      <c r="K710" s="149">
        <v>23070.75</v>
      </c>
      <c r="L710" s="149">
        <v>5038.53</v>
      </c>
      <c r="M710" s="5" t="s">
        <v>1130</v>
      </c>
      <c r="N710" s="5" t="s">
        <v>1321</v>
      </c>
      <c r="O710" s="5" t="s">
        <v>1322</v>
      </c>
      <c r="P710" s="5" t="s">
        <v>1323</v>
      </c>
      <c r="Q710" s="5" t="s">
        <v>1204</v>
      </c>
      <c r="R710" s="151">
        <v>2</v>
      </c>
      <c r="S710" s="143"/>
    </row>
    <row r="711" spans="1:19" x14ac:dyDescent="0.25">
      <c r="A711" s="5" t="s">
        <v>3458</v>
      </c>
      <c r="B711" s="147">
        <v>45859</v>
      </c>
      <c r="C711" s="5" t="s">
        <v>3459</v>
      </c>
      <c r="D711" s="5" t="s">
        <v>3460</v>
      </c>
      <c r="E711" s="5" t="s">
        <v>1342</v>
      </c>
      <c r="F711" s="5" t="s">
        <v>988</v>
      </c>
      <c r="G711" s="5" t="s">
        <v>1343</v>
      </c>
      <c r="H711" s="148">
        <v>1</v>
      </c>
      <c r="I711" s="149">
        <v>10177</v>
      </c>
      <c r="J711" s="150">
        <v>0.1</v>
      </c>
      <c r="K711" s="149">
        <v>9159.2999999999993</v>
      </c>
      <c r="L711" s="149">
        <v>1746.49</v>
      </c>
      <c r="M711" s="5" t="s">
        <v>1126</v>
      </c>
      <c r="N711" s="5" t="s">
        <v>1337</v>
      </c>
      <c r="O711" s="5" t="s">
        <v>1338</v>
      </c>
      <c r="P711" s="5" t="s">
        <v>1323</v>
      </c>
      <c r="Q711" s="5" t="s">
        <v>1300</v>
      </c>
      <c r="R711" s="151">
        <v>1</v>
      </c>
      <c r="S711" s="143"/>
    </row>
    <row r="712" spans="1:19" x14ac:dyDescent="0.25">
      <c r="A712" s="5" t="s">
        <v>3461</v>
      </c>
      <c r="B712" s="147">
        <v>45691</v>
      </c>
      <c r="C712" s="5" t="s">
        <v>3462</v>
      </c>
      <c r="D712" s="5" t="s">
        <v>3463</v>
      </c>
      <c r="E712" s="5" t="s">
        <v>1310</v>
      </c>
      <c r="F712" s="5" t="s">
        <v>1311</v>
      </c>
      <c r="G712" s="5" t="s">
        <v>1312</v>
      </c>
      <c r="H712" s="148">
        <v>1</v>
      </c>
      <c r="I712" s="149">
        <v>9697</v>
      </c>
      <c r="J712" s="150">
        <v>0.15</v>
      </c>
      <c r="K712" s="149">
        <v>8242.4500000000007</v>
      </c>
      <c r="L712" s="149">
        <v>1220.31</v>
      </c>
      <c r="M712" s="5" t="s">
        <v>1126</v>
      </c>
      <c r="N712" s="5" t="s">
        <v>1297</v>
      </c>
      <c r="O712" s="5" t="s">
        <v>1298</v>
      </c>
      <c r="P712" s="5" t="s">
        <v>1323</v>
      </c>
      <c r="Q712" s="5" t="s">
        <v>1184</v>
      </c>
      <c r="R712" s="151">
        <v>1</v>
      </c>
      <c r="S712" s="143"/>
    </row>
    <row r="713" spans="1:19" x14ac:dyDescent="0.25">
      <c r="A713" s="5" t="s">
        <v>3464</v>
      </c>
      <c r="B713" s="147">
        <v>45668</v>
      </c>
      <c r="C713" s="5" t="s">
        <v>3465</v>
      </c>
      <c r="D713" s="5" t="s">
        <v>3466</v>
      </c>
      <c r="E713" s="5" t="s">
        <v>1318</v>
      </c>
      <c r="F713" s="5" t="s">
        <v>1319</v>
      </c>
      <c r="G713" s="5" t="s">
        <v>1320</v>
      </c>
      <c r="H713" s="148">
        <v>5</v>
      </c>
      <c r="I713" s="149">
        <v>8369</v>
      </c>
      <c r="J713" s="150">
        <v>0.2</v>
      </c>
      <c r="K713" s="149">
        <v>33476</v>
      </c>
      <c r="L713" s="149">
        <v>9015.41</v>
      </c>
      <c r="M713" s="5" t="s">
        <v>1130</v>
      </c>
      <c r="N713" s="5" t="s">
        <v>1297</v>
      </c>
      <c r="O713" s="5" t="s">
        <v>1298</v>
      </c>
      <c r="P713" s="5" t="s">
        <v>1348</v>
      </c>
      <c r="Q713" s="5" t="s">
        <v>1300</v>
      </c>
      <c r="R713" s="151">
        <v>2</v>
      </c>
      <c r="S713" s="143"/>
    </row>
    <row r="714" spans="1:19" x14ac:dyDescent="0.25">
      <c r="A714" s="5" t="s">
        <v>3467</v>
      </c>
      <c r="B714" s="147">
        <v>45709</v>
      </c>
      <c r="C714" s="5" t="s">
        <v>3468</v>
      </c>
      <c r="D714" s="5" t="s">
        <v>3469</v>
      </c>
      <c r="E714" s="5" t="s">
        <v>1359</v>
      </c>
      <c r="F714" s="5" t="s">
        <v>1360</v>
      </c>
      <c r="G714" s="5" t="s">
        <v>1361</v>
      </c>
      <c r="H714" s="148">
        <v>2</v>
      </c>
      <c r="I714" s="149">
        <v>5469</v>
      </c>
      <c r="J714" s="150">
        <v>0.15</v>
      </c>
      <c r="K714" s="149">
        <v>9297.2999999999993</v>
      </c>
      <c r="L714" s="149">
        <v>2553.59</v>
      </c>
      <c r="M714" s="5" t="s">
        <v>1130</v>
      </c>
      <c r="N714" s="5" t="s">
        <v>1321</v>
      </c>
      <c r="O714" s="5" t="s">
        <v>1322</v>
      </c>
      <c r="P714" s="5" t="s">
        <v>1327</v>
      </c>
      <c r="Q714" s="5" t="s">
        <v>1204</v>
      </c>
      <c r="R714" s="151">
        <v>4</v>
      </c>
      <c r="S714" s="143"/>
    </row>
    <row r="715" spans="1:19" x14ac:dyDescent="0.25">
      <c r="A715" s="5" t="s">
        <v>3470</v>
      </c>
      <c r="B715" s="147">
        <v>45833</v>
      </c>
      <c r="C715" s="5" t="s">
        <v>3471</v>
      </c>
      <c r="D715" s="5" t="s">
        <v>3472</v>
      </c>
      <c r="E715" s="5" t="s">
        <v>1318</v>
      </c>
      <c r="F715" s="5" t="s">
        <v>1319</v>
      </c>
      <c r="G715" s="5" t="s">
        <v>1320</v>
      </c>
      <c r="H715" s="148">
        <v>5</v>
      </c>
      <c r="I715" s="149">
        <v>9917</v>
      </c>
      <c r="J715" s="150">
        <v>0.1</v>
      </c>
      <c r="K715" s="149">
        <v>44626.5</v>
      </c>
      <c r="L715" s="149">
        <v>6013.81</v>
      </c>
      <c r="M715" s="5" t="s">
        <v>1130</v>
      </c>
      <c r="N715" s="5" t="s">
        <v>1337</v>
      </c>
      <c r="O715" s="5" t="s">
        <v>1338</v>
      </c>
      <c r="P715" s="5" t="s">
        <v>1299</v>
      </c>
      <c r="Q715" s="5" t="s">
        <v>1204</v>
      </c>
      <c r="R715" s="151">
        <v>1</v>
      </c>
      <c r="S715" s="143"/>
    </row>
    <row r="716" spans="1:19" x14ac:dyDescent="0.25">
      <c r="A716" s="5" t="s">
        <v>3473</v>
      </c>
      <c r="B716" s="147">
        <v>45889</v>
      </c>
      <c r="C716" s="5" t="s">
        <v>3474</v>
      </c>
      <c r="D716" s="5" t="s">
        <v>3475</v>
      </c>
      <c r="E716" s="5" t="s">
        <v>1331</v>
      </c>
      <c r="F716" s="5" t="s">
        <v>988</v>
      </c>
      <c r="G716" s="5" t="s">
        <v>1332</v>
      </c>
      <c r="H716" s="148">
        <v>4</v>
      </c>
      <c r="I716" s="149">
        <v>3450</v>
      </c>
      <c r="J716" s="150">
        <v>0.15</v>
      </c>
      <c r="K716" s="149">
        <v>11730</v>
      </c>
      <c r="L716" s="149">
        <v>1060.57</v>
      </c>
      <c r="M716" s="5" t="s">
        <v>1344</v>
      </c>
      <c r="N716" s="5" t="s">
        <v>1352</v>
      </c>
      <c r="O716" s="5" t="s">
        <v>1352</v>
      </c>
      <c r="P716" s="5" t="s">
        <v>1327</v>
      </c>
      <c r="Q716" s="5" t="s">
        <v>1300</v>
      </c>
      <c r="R716" s="151">
        <v>4</v>
      </c>
      <c r="S716" s="143"/>
    </row>
    <row r="717" spans="1:19" x14ac:dyDescent="0.25">
      <c r="A717" s="5" t="s">
        <v>3476</v>
      </c>
      <c r="B717" s="147">
        <v>45800</v>
      </c>
      <c r="C717" s="5" t="s">
        <v>3477</v>
      </c>
      <c r="D717" s="5" t="s">
        <v>3478</v>
      </c>
      <c r="E717" s="5" t="s">
        <v>1359</v>
      </c>
      <c r="F717" s="5" t="s">
        <v>1360</v>
      </c>
      <c r="G717" s="5" t="s">
        <v>1361</v>
      </c>
      <c r="H717" s="148">
        <v>5</v>
      </c>
      <c r="I717" s="149">
        <v>9945</v>
      </c>
      <c r="J717" s="150">
        <v>0.1</v>
      </c>
      <c r="K717" s="149">
        <v>44752.5</v>
      </c>
      <c r="L717" s="149">
        <v>10783.38</v>
      </c>
      <c r="M717" s="5" t="s">
        <v>1313</v>
      </c>
      <c r="N717" s="5" t="s">
        <v>1352</v>
      </c>
      <c r="O717" s="5" t="s">
        <v>1352</v>
      </c>
      <c r="P717" s="5" t="s">
        <v>1348</v>
      </c>
      <c r="Q717" s="5" t="s">
        <v>1204</v>
      </c>
      <c r="R717" s="151">
        <v>1</v>
      </c>
      <c r="S717" s="143"/>
    </row>
    <row r="718" spans="1:19" x14ac:dyDescent="0.25">
      <c r="A718" s="5" t="s">
        <v>3479</v>
      </c>
      <c r="B718" s="147">
        <v>45961</v>
      </c>
      <c r="C718" s="5" t="s">
        <v>3480</v>
      </c>
      <c r="D718" s="5" t="s">
        <v>3481</v>
      </c>
      <c r="E718" s="5" t="s">
        <v>1359</v>
      </c>
      <c r="F718" s="5" t="s">
        <v>1360</v>
      </c>
      <c r="G718" s="5" t="s">
        <v>1361</v>
      </c>
      <c r="H718" s="148">
        <v>1</v>
      </c>
      <c r="I718" s="149">
        <v>2733</v>
      </c>
      <c r="J718" s="150">
        <v>0</v>
      </c>
      <c r="K718" s="149">
        <v>2733</v>
      </c>
      <c r="L718" s="149">
        <v>699.43</v>
      </c>
      <c r="M718" s="5" t="s">
        <v>1130</v>
      </c>
      <c r="N718" s="5" t="s">
        <v>1352</v>
      </c>
      <c r="O718" s="5" t="s">
        <v>1352</v>
      </c>
      <c r="P718" s="5" t="s">
        <v>1348</v>
      </c>
      <c r="Q718" s="5" t="s">
        <v>1204</v>
      </c>
      <c r="R718" s="151">
        <v>3</v>
      </c>
      <c r="S718" s="143"/>
    </row>
    <row r="719" spans="1:19" x14ac:dyDescent="0.25">
      <c r="A719" s="5" t="s">
        <v>3482</v>
      </c>
      <c r="B719" s="147">
        <v>45809</v>
      </c>
      <c r="C719" s="5" t="s">
        <v>3483</v>
      </c>
      <c r="D719" s="5" t="s">
        <v>3484</v>
      </c>
      <c r="E719" s="5" t="s">
        <v>1310</v>
      </c>
      <c r="F719" s="5" t="s">
        <v>1311</v>
      </c>
      <c r="G719" s="5" t="s">
        <v>1312</v>
      </c>
      <c r="H719" s="148">
        <v>5</v>
      </c>
      <c r="I719" s="149">
        <v>13933</v>
      </c>
      <c r="J719" s="150">
        <v>0.15</v>
      </c>
      <c r="K719" s="149">
        <v>59215.25</v>
      </c>
      <c r="L719" s="149">
        <v>5980.67</v>
      </c>
      <c r="M719" s="5" t="s">
        <v>1130</v>
      </c>
      <c r="N719" s="5" t="s">
        <v>1352</v>
      </c>
      <c r="O719" s="5" t="s">
        <v>1352</v>
      </c>
      <c r="P719" s="5" t="s">
        <v>1323</v>
      </c>
      <c r="Q719" s="5" t="s">
        <v>1306</v>
      </c>
      <c r="R719" s="151">
        <v>3</v>
      </c>
      <c r="S719" s="143"/>
    </row>
    <row r="720" spans="1:19" x14ac:dyDescent="0.25">
      <c r="A720" s="5" t="s">
        <v>3485</v>
      </c>
      <c r="B720" s="147">
        <v>45734</v>
      </c>
      <c r="C720" s="5" t="s">
        <v>3486</v>
      </c>
      <c r="D720" s="5" t="s">
        <v>3487</v>
      </c>
      <c r="E720" s="5" t="s">
        <v>1195</v>
      </c>
      <c r="F720" s="5" t="s">
        <v>988</v>
      </c>
      <c r="G720" s="5" t="s">
        <v>1336</v>
      </c>
      <c r="H720" s="148">
        <v>3</v>
      </c>
      <c r="I720" s="149">
        <v>4054</v>
      </c>
      <c r="J720" s="150">
        <v>0</v>
      </c>
      <c r="K720" s="149">
        <v>12162</v>
      </c>
      <c r="L720" s="149">
        <v>2247.25</v>
      </c>
      <c r="M720" s="5" t="s">
        <v>1126</v>
      </c>
      <c r="N720" s="5" t="s">
        <v>1362</v>
      </c>
      <c r="O720" s="5" t="s">
        <v>1363</v>
      </c>
      <c r="P720" s="5" t="s">
        <v>1327</v>
      </c>
      <c r="Q720" s="5" t="s">
        <v>1184</v>
      </c>
      <c r="R720" s="151">
        <v>3</v>
      </c>
      <c r="S720" s="143"/>
    </row>
    <row r="721" spans="1:19" x14ac:dyDescent="0.25">
      <c r="A721" s="5" t="s">
        <v>3488</v>
      </c>
      <c r="B721" s="147">
        <v>45704</v>
      </c>
      <c r="C721" s="5" t="s">
        <v>3489</v>
      </c>
      <c r="D721" s="5" t="s">
        <v>3490</v>
      </c>
      <c r="E721" s="5" t="s">
        <v>1195</v>
      </c>
      <c r="F721" s="5" t="s">
        <v>988</v>
      </c>
      <c r="G721" s="5" t="s">
        <v>1336</v>
      </c>
      <c r="H721" s="148">
        <v>5</v>
      </c>
      <c r="I721" s="149">
        <v>219</v>
      </c>
      <c r="J721" s="150">
        <v>0.15</v>
      </c>
      <c r="K721" s="149">
        <v>930.75</v>
      </c>
      <c r="L721" s="149">
        <v>120.62</v>
      </c>
      <c r="M721" s="5" t="s">
        <v>1126</v>
      </c>
      <c r="N721" s="5" t="s">
        <v>1321</v>
      </c>
      <c r="O721" s="5" t="s">
        <v>1322</v>
      </c>
      <c r="P721" s="5" t="s">
        <v>1314</v>
      </c>
      <c r="Q721" s="5" t="s">
        <v>1300</v>
      </c>
      <c r="R721" s="151">
        <v>1</v>
      </c>
      <c r="S721" s="143"/>
    </row>
    <row r="722" spans="1:19" x14ac:dyDescent="0.25">
      <c r="A722" s="5" t="s">
        <v>3491</v>
      </c>
      <c r="B722" s="147">
        <v>45838</v>
      </c>
      <c r="C722" s="5" t="s">
        <v>3492</v>
      </c>
      <c r="D722" s="5" t="s">
        <v>3493</v>
      </c>
      <c r="E722" s="5" t="s">
        <v>1331</v>
      </c>
      <c r="F722" s="5" t="s">
        <v>988</v>
      </c>
      <c r="G722" s="5" t="s">
        <v>1332</v>
      </c>
      <c r="H722" s="148">
        <v>3</v>
      </c>
      <c r="I722" s="149">
        <v>7514</v>
      </c>
      <c r="J722" s="150">
        <v>0.2</v>
      </c>
      <c r="K722" s="149">
        <v>18033.599999999999</v>
      </c>
      <c r="L722" s="149">
        <v>2194.5300000000002</v>
      </c>
      <c r="M722" s="5" t="s">
        <v>1130</v>
      </c>
      <c r="N722" s="5" t="s">
        <v>1362</v>
      </c>
      <c r="O722" s="5" t="s">
        <v>1363</v>
      </c>
      <c r="P722" s="5" t="s">
        <v>1348</v>
      </c>
      <c r="Q722" s="5" t="s">
        <v>1204</v>
      </c>
      <c r="R722" s="151">
        <v>5</v>
      </c>
      <c r="S722" s="143"/>
    </row>
    <row r="723" spans="1:19" x14ac:dyDescent="0.25">
      <c r="A723" s="5" t="s">
        <v>3494</v>
      </c>
      <c r="B723" s="147">
        <v>45933</v>
      </c>
      <c r="C723" s="5" t="s">
        <v>3495</v>
      </c>
      <c r="D723" s="5" t="s">
        <v>3496</v>
      </c>
      <c r="E723" s="5" t="s">
        <v>1342</v>
      </c>
      <c r="F723" s="5" t="s">
        <v>988</v>
      </c>
      <c r="G723" s="5" t="s">
        <v>1343</v>
      </c>
      <c r="H723" s="148">
        <v>5</v>
      </c>
      <c r="I723" s="149">
        <v>2589</v>
      </c>
      <c r="J723" s="150">
        <v>0</v>
      </c>
      <c r="K723" s="149">
        <v>12945</v>
      </c>
      <c r="L723" s="149">
        <v>2957.05</v>
      </c>
      <c r="M723" s="5" t="s">
        <v>1313</v>
      </c>
      <c r="N723" s="5" t="s">
        <v>1304</v>
      </c>
      <c r="O723" s="5" t="s">
        <v>1305</v>
      </c>
      <c r="P723" s="5" t="s">
        <v>1314</v>
      </c>
      <c r="Q723" s="5" t="s">
        <v>1204</v>
      </c>
      <c r="R723" s="151">
        <v>4</v>
      </c>
      <c r="S723" s="143"/>
    </row>
    <row r="724" spans="1:19" x14ac:dyDescent="0.25">
      <c r="A724" s="5" t="s">
        <v>3497</v>
      </c>
      <c r="B724" s="147">
        <v>45666</v>
      </c>
      <c r="C724" s="5" t="s">
        <v>3498</v>
      </c>
      <c r="D724" s="5" t="s">
        <v>3499</v>
      </c>
      <c r="E724" s="5" t="s">
        <v>1370</v>
      </c>
      <c r="F724" s="5" t="s">
        <v>1160</v>
      </c>
      <c r="G724" s="5" t="s">
        <v>1371</v>
      </c>
      <c r="H724" s="148">
        <v>5</v>
      </c>
      <c r="I724" s="149">
        <v>263</v>
      </c>
      <c r="J724" s="150">
        <v>0.05</v>
      </c>
      <c r="K724" s="149">
        <v>1249.25</v>
      </c>
      <c r="L724" s="149">
        <v>113.69</v>
      </c>
      <c r="M724" s="5" t="s">
        <v>1344</v>
      </c>
      <c r="N724" s="5" t="s">
        <v>1304</v>
      </c>
      <c r="O724" s="5" t="s">
        <v>1305</v>
      </c>
      <c r="P724" s="5" t="s">
        <v>1323</v>
      </c>
      <c r="Q724" s="5" t="s">
        <v>1300</v>
      </c>
      <c r="R724" s="151">
        <v>2</v>
      </c>
      <c r="S724" s="143"/>
    </row>
    <row r="725" spans="1:19" x14ac:dyDescent="0.25">
      <c r="A725" s="5" t="s">
        <v>3500</v>
      </c>
      <c r="B725" s="147">
        <v>45755</v>
      </c>
      <c r="C725" s="5" t="s">
        <v>3501</v>
      </c>
      <c r="D725" s="5" t="s">
        <v>3502</v>
      </c>
      <c r="E725" s="5" t="s">
        <v>1318</v>
      </c>
      <c r="F725" s="5" t="s">
        <v>1319</v>
      </c>
      <c r="G725" s="5" t="s">
        <v>1320</v>
      </c>
      <c r="H725" s="148">
        <v>1</v>
      </c>
      <c r="I725" s="149">
        <v>548</v>
      </c>
      <c r="J725" s="150">
        <v>0.15</v>
      </c>
      <c r="K725" s="149">
        <v>465.8</v>
      </c>
      <c r="L725" s="149">
        <v>80.14</v>
      </c>
      <c r="M725" s="5" t="s">
        <v>1313</v>
      </c>
      <c r="N725" s="5" t="s">
        <v>1352</v>
      </c>
      <c r="O725" s="5" t="s">
        <v>1352</v>
      </c>
      <c r="P725" s="5" t="s">
        <v>1299</v>
      </c>
      <c r="Q725" s="5" t="s">
        <v>1300</v>
      </c>
      <c r="R725" s="151">
        <v>4</v>
      </c>
      <c r="S725" s="143"/>
    </row>
    <row r="726" spans="1:19" x14ac:dyDescent="0.25">
      <c r="A726" s="5" t="s">
        <v>3503</v>
      </c>
      <c r="B726" s="147">
        <v>45799</v>
      </c>
      <c r="C726" s="5" t="s">
        <v>3504</v>
      </c>
      <c r="D726" s="5" t="s">
        <v>3505</v>
      </c>
      <c r="E726" s="5" t="s">
        <v>1359</v>
      </c>
      <c r="F726" s="5" t="s">
        <v>1360</v>
      </c>
      <c r="G726" s="5" t="s">
        <v>1361</v>
      </c>
      <c r="H726" s="148">
        <v>5</v>
      </c>
      <c r="I726" s="149">
        <v>12695</v>
      </c>
      <c r="J726" s="150">
        <v>0.05</v>
      </c>
      <c r="K726" s="149">
        <v>60301.25</v>
      </c>
      <c r="L726" s="149">
        <v>15275.55</v>
      </c>
      <c r="M726" s="5" t="s">
        <v>1381</v>
      </c>
      <c r="N726" s="5" t="s">
        <v>1297</v>
      </c>
      <c r="O726" s="5" t="s">
        <v>1298</v>
      </c>
      <c r="P726" s="5" t="s">
        <v>1299</v>
      </c>
      <c r="Q726" s="5" t="s">
        <v>1184</v>
      </c>
      <c r="R726" s="151">
        <v>3</v>
      </c>
      <c r="S726" s="143"/>
    </row>
    <row r="727" spans="1:19" x14ac:dyDescent="0.25">
      <c r="A727" s="5" t="s">
        <v>3506</v>
      </c>
      <c r="B727" s="147">
        <v>45940</v>
      </c>
      <c r="C727" s="5" t="s">
        <v>3507</v>
      </c>
      <c r="D727" s="5" t="s">
        <v>3508</v>
      </c>
      <c r="E727" s="5" t="s">
        <v>1318</v>
      </c>
      <c r="F727" s="5" t="s">
        <v>1319</v>
      </c>
      <c r="G727" s="5" t="s">
        <v>1320</v>
      </c>
      <c r="H727" s="148">
        <v>1</v>
      </c>
      <c r="I727" s="149">
        <v>629</v>
      </c>
      <c r="J727" s="150">
        <v>0.15</v>
      </c>
      <c r="K727" s="149">
        <v>534.65</v>
      </c>
      <c r="L727" s="149">
        <v>72.16</v>
      </c>
      <c r="M727" s="5" t="s">
        <v>1130</v>
      </c>
      <c r="N727" s="5" t="s">
        <v>1321</v>
      </c>
      <c r="O727" s="5" t="s">
        <v>1322</v>
      </c>
      <c r="P727" s="5" t="s">
        <v>1299</v>
      </c>
      <c r="Q727" s="5" t="s">
        <v>1300</v>
      </c>
      <c r="R727" s="151">
        <v>5</v>
      </c>
      <c r="S727" s="143"/>
    </row>
    <row r="728" spans="1:19" x14ac:dyDescent="0.25">
      <c r="A728" s="5" t="s">
        <v>3509</v>
      </c>
      <c r="B728" s="147">
        <v>45861</v>
      </c>
      <c r="C728" s="5" t="s">
        <v>3510</v>
      </c>
      <c r="D728" s="5" t="s">
        <v>3511</v>
      </c>
      <c r="E728" s="5" t="s">
        <v>1295</v>
      </c>
      <c r="F728" s="5" t="s">
        <v>985</v>
      </c>
      <c r="G728" s="5" t="s">
        <v>1296</v>
      </c>
      <c r="H728" s="148">
        <v>4</v>
      </c>
      <c r="I728" s="149">
        <v>7773</v>
      </c>
      <c r="J728" s="150">
        <v>0.2</v>
      </c>
      <c r="K728" s="149">
        <v>24873.599999999999</v>
      </c>
      <c r="L728" s="149">
        <v>6345.52</v>
      </c>
      <c r="M728" s="5" t="s">
        <v>1381</v>
      </c>
      <c r="N728" s="5" t="s">
        <v>1362</v>
      </c>
      <c r="O728" s="5" t="s">
        <v>1363</v>
      </c>
      <c r="P728" s="5" t="s">
        <v>1314</v>
      </c>
      <c r="Q728" s="5" t="s">
        <v>1184</v>
      </c>
      <c r="R728" s="151">
        <v>1</v>
      </c>
      <c r="S728" s="143"/>
    </row>
    <row r="729" spans="1:19" x14ac:dyDescent="0.25">
      <c r="A729" s="5" t="s">
        <v>3512</v>
      </c>
      <c r="B729" s="147">
        <v>45839</v>
      </c>
      <c r="C729" s="5" t="s">
        <v>3513</v>
      </c>
      <c r="D729" s="5" t="s">
        <v>3514</v>
      </c>
      <c r="E729" s="5" t="s">
        <v>1310</v>
      </c>
      <c r="F729" s="5" t="s">
        <v>1311</v>
      </c>
      <c r="G729" s="5" t="s">
        <v>1312</v>
      </c>
      <c r="H729" s="148">
        <v>5</v>
      </c>
      <c r="I729" s="149">
        <v>3342</v>
      </c>
      <c r="J729" s="150">
        <v>0.15</v>
      </c>
      <c r="K729" s="149">
        <v>14203.5</v>
      </c>
      <c r="L729" s="149">
        <v>2131.25</v>
      </c>
      <c r="M729" s="5" t="s">
        <v>1344</v>
      </c>
      <c r="N729" s="5" t="s">
        <v>1337</v>
      </c>
      <c r="O729" s="5" t="s">
        <v>1338</v>
      </c>
      <c r="P729" s="5" t="s">
        <v>1323</v>
      </c>
      <c r="Q729" s="5" t="s">
        <v>1306</v>
      </c>
      <c r="R729" s="151">
        <v>3</v>
      </c>
      <c r="S729" s="143"/>
    </row>
    <row r="730" spans="1:19" x14ac:dyDescent="0.25">
      <c r="A730" s="5" t="s">
        <v>3515</v>
      </c>
      <c r="B730" s="147">
        <v>45807</v>
      </c>
      <c r="C730" s="5" t="s">
        <v>3516</v>
      </c>
      <c r="D730" s="5" t="s">
        <v>3517</v>
      </c>
      <c r="E730" s="5" t="s">
        <v>1370</v>
      </c>
      <c r="F730" s="5" t="s">
        <v>1160</v>
      </c>
      <c r="G730" s="5" t="s">
        <v>1371</v>
      </c>
      <c r="H730" s="148">
        <v>1</v>
      </c>
      <c r="I730" s="149">
        <v>7752</v>
      </c>
      <c r="J730" s="150">
        <v>0.1</v>
      </c>
      <c r="K730" s="149">
        <v>6976.8</v>
      </c>
      <c r="L730" s="149">
        <v>1912.49</v>
      </c>
      <c r="M730" s="5" t="s">
        <v>1381</v>
      </c>
      <c r="N730" s="5" t="s">
        <v>1321</v>
      </c>
      <c r="O730" s="5" t="s">
        <v>1322</v>
      </c>
      <c r="P730" s="5" t="s">
        <v>1327</v>
      </c>
      <c r="Q730" s="5" t="s">
        <v>1204</v>
      </c>
      <c r="R730" s="151">
        <v>2</v>
      </c>
      <c r="S730" s="143"/>
    </row>
    <row r="731" spans="1:19" x14ac:dyDescent="0.25">
      <c r="A731" s="5" t="s">
        <v>3518</v>
      </c>
      <c r="B731" s="147">
        <v>45816</v>
      </c>
      <c r="C731" s="5" t="s">
        <v>3519</v>
      </c>
      <c r="D731" s="5" t="s">
        <v>3520</v>
      </c>
      <c r="E731" s="5" t="s">
        <v>1370</v>
      </c>
      <c r="F731" s="5" t="s">
        <v>1160</v>
      </c>
      <c r="G731" s="5" t="s">
        <v>1371</v>
      </c>
      <c r="H731" s="148">
        <v>5</v>
      </c>
      <c r="I731" s="149">
        <v>4621</v>
      </c>
      <c r="J731" s="150">
        <v>0.2</v>
      </c>
      <c r="K731" s="149">
        <v>18484</v>
      </c>
      <c r="L731" s="149">
        <v>5162.25</v>
      </c>
      <c r="M731" s="5" t="s">
        <v>1381</v>
      </c>
      <c r="N731" s="5" t="s">
        <v>1321</v>
      </c>
      <c r="O731" s="5" t="s">
        <v>1322</v>
      </c>
      <c r="P731" s="5" t="s">
        <v>1299</v>
      </c>
      <c r="Q731" s="5" t="s">
        <v>1184</v>
      </c>
      <c r="R731" s="151">
        <v>5</v>
      </c>
      <c r="S731" s="143"/>
    </row>
    <row r="732" spans="1:19" x14ac:dyDescent="0.25">
      <c r="A732" s="5" t="s">
        <v>3521</v>
      </c>
      <c r="B732" s="147">
        <v>45726</v>
      </c>
      <c r="C732" s="5" t="s">
        <v>3522</v>
      </c>
      <c r="D732" s="5" t="s">
        <v>3523</v>
      </c>
      <c r="E732" s="5" t="s">
        <v>1342</v>
      </c>
      <c r="F732" s="5" t="s">
        <v>988</v>
      </c>
      <c r="G732" s="5" t="s">
        <v>1343</v>
      </c>
      <c r="H732" s="148">
        <v>1</v>
      </c>
      <c r="I732" s="149">
        <v>1597</v>
      </c>
      <c r="J732" s="150">
        <v>0.2</v>
      </c>
      <c r="K732" s="149">
        <v>1277.5999999999999</v>
      </c>
      <c r="L732" s="149">
        <v>207.54</v>
      </c>
      <c r="M732" s="5" t="s">
        <v>1381</v>
      </c>
      <c r="N732" s="5" t="s">
        <v>1362</v>
      </c>
      <c r="O732" s="5" t="s">
        <v>1363</v>
      </c>
      <c r="P732" s="5" t="s">
        <v>1299</v>
      </c>
      <c r="Q732" s="5" t="s">
        <v>1184</v>
      </c>
      <c r="R732" s="151">
        <v>4</v>
      </c>
      <c r="S732" s="143"/>
    </row>
    <row r="733" spans="1:19" x14ac:dyDescent="0.25">
      <c r="A733" s="5" t="s">
        <v>3524</v>
      </c>
      <c r="B733" s="147">
        <v>45852</v>
      </c>
      <c r="C733" s="5" t="s">
        <v>3525</v>
      </c>
      <c r="D733" s="5" t="s">
        <v>3526</v>
      </c>
      <c r="E733" s="5" t="s">
        <v>1359</v>
      </c>
      <c r="F733" s="5" t="s">
        <v>1360</v>
      </c>
      <c r="G733" s="5" t="s">
        <v>1361</v>
      </c>
      <c r="H733" s="148">
        <v>2</v>
      </c>
      <c r="I733" s="149">
        <v>4338</v>
      </c>
      <c r="J733" s="150">
        <v>0.15</v>
      </c>
      <c r="K733" s="149">
        <v>7374.6</v>
      </c>
      <c r="L733" s="149">
        <v>1761.89</v>
      </c>
      <c r="M733" s="5" t="s">
        <v>1381</v>
      </c>
      <c r="N733" s="5" t="s">
        <v>1297</v>
      </c>
      <c r="O733" s="5" t="s">
        <v>1298</v>
      </c>
      <c r="P733" s="5" t="s">
        <v>1314</v>
      </c>
      <c r="Q733" s="5" t="s">
        <v>1300</v>
      </c>
      <c r="R733" s="151">
        <v>5</v>
      </c>
      <c r="S733" s="143"/>
    </row>
    <row r="734" spans="1:19" x14ac:dyDescent="0.25">
      <c r="A734" s="5" t="s">
        <v>3527</v>
      </c>
      <c r="B734" s="147">
        <v>45844</v>
      </c>
      <c r="C734" s="5" t="s">
        <v>3528</v>
      </c>
      <c r="D734" s="5" t="s">
        <v>3529</v>
      </c>
      <c r="E734" s="5" t="s">
        <v>1310</v>
      </c>
      <c r="F734" s="5" t="s">
        <v>1311</v>
      </c>
      <c r="G734" s="5" t="s">
        <v>1312</v>
      </c>
      <c r="H734" s="148">
        <v>2</v>
      </c>
      <c r="I734" s="149">
        <v>11192</v>
      </c>
      <c r="J734" s="150">
        <v>0.15</v>
      </c>
      <c r="K734" s="149">
        <v>19026.400000000001</v>
      </c>
      <c r="L734" s="149">
        <v>3571.41</v>
      </c>
      <c r="M734" s="5" t="s">
        <v>1126</v>
      </c>
      <c r="N734" s="5" t="s">
        <v>1352</v>
      </c>
      <c r="O734" s="5" t="s">
        <v>1352</v>
      </c>
      <c r="P734" s="5" t="s">
        <v>1348</v>
      </c>
      <c r="Q734" s="5" t="s">
        <v>1204</v>
      </c>
      <c r="R734" s="151">
        <v>1</v>
      </c>
      <c r="S734" s="143"/>
    </row>
    <row r="735" spans="1:19" x14ac:dyDescent="0.25">
      <c r="A735" s="5" t="s">
        <v>3530</v>
      </c>
      <c r="B735" s="147">
        <v>45846</v>
      </c>
      <c r="C735" s="5" t="s">
        <v>3531</v>
      </c>
      <c r="D735" s="5" t="s">
        <v>3532</v>
      </c>
      <c r="E735" s="5" t="s">
        <v>1310</v>
      </c>
      <c r="F735" s="5" t="s">
        <v>1311</v>
      </c>
      <c r="G735" s="5" t="s">
        <v>1312</v>
      </c>
      <c r="H735" s="148">
        <v>4</v>
      </c>
      <c r="I735" s="149">
        <v>6906</v>
      </c>
      <c r="J735" s="150">
        <v>0</v>
      </c>
      <c r="K735" s="149">
        <v>27624</v>
      </c>
      <c r="L735" s="149">
        <v>6976.7</v>
      </c>
      <c r="M735" s="5" t="s">
        <v>1381</v>
      </c>
      <c r="N735" s="5" t="s">
        <v>1362</v>
      </c>
      <c r="O735" s="5" t="s">
        <v>1363</v>
      </c>
      <c r="P735" s="5" t="s">
        <v>1348</v>
      </c>
      <c r="Q735" s="5" t="s">
        <v>1184</v>
      </c>
      <c r="R735" s="151">
        <v>3</v>
      </c>
      <c r="S735" s="143"/>
    </row>
    <row r="736" spans="1:19" x14ac:dyDescent="0.25">
      <c r="A736" s="5" t="s">
        <v>3533</v>
      </c>
      <c r="B736" s="147">
        <v>45968</v>
      </c>
      <c r="C736" s="5" t="s">
        <v>3534</v>
      </c>
      <c r="D736" s="5" t="s">
        <v>3535</v>
      </c>
      <c r="E736" s="5" t="s">
        <v>1195</v>
      </c>
      <c r="F736" s="5" t="s">
        <v>988</v>
      </c>
      <c r="G736" s="5" t="s">
        <v>1336</v>
      </c>
      <c r="H736" s="148">
        <v>1</v>
      </c>
      <c r="I736" s="149">
        <v>11863</v>
      </c>
      <c r="J736" s="150">
        <v>0.1</v>
      </c>
      <c r="K736" s="149">
        <v>10676.7</v>
      </c>
      <c r="L736" s="149">
        <v>1448.98</v>
      </c>
      <c r="M736" s="5" t="s">
        <v>1381</v>
      </c>
      <c r="N736" s="5" t="s">
        <v>1304</v>
      </c>
      <c r="O736" s="5" t="s">
        <v>1305</v>
      </c>
      <c r="P736" s="5" t="s">
        <v>1348</v>
      </c>
      <c r="Q736" s="5" t="s">
        <v>1184</v>
      </c>
      <c r="R736" s="151">
        <v>5</v>
      </c>
      <c r="S736" s="143"/>
    </row>
    <row r="737" spans="1:19" x14ac:dyDescent="0.25">
      <c r="A737" s="5" t="s">
        <v>3536</v>
      </c>
      <c r="B737" s="147">
        <v>45875</v>
      </c>
      <c r="C737" s="5" t="s">
        <v>3537</v>
      </c>
      <c r="D737" s="5" t="s">
        <v>3538</v>
      </c>
      <c r="E737" s="5" t="s">
        <v>1342</v>
      </c>
      <c r="F737" s="5" t="s">
        <v>988</v>
      </c>
      <c r="G737" s="5" t="s">
        <v>1343</v>
      </c>
      <c r="H737" s="148">
        <v>4</v>
      </c>
      <c r="I737" s="149">
        <v>5999</v>
      </c>
      <c r="J737" s="150">
        <v>0.05</v>
      </c>
      <c r="K737" s="149">
        <v>22796.2</v>
      </c>
      <c r="L737" s="149">
        <v>3354.5</v>
      </c>
      <c r="M737" s="5" t="s">
        <v>1130</v>
      </c>
      <c r="N737" s="5" t="s">
        <v>1352</v>
      </c>
      <c r="O737" s="5" t="s">
        <v>1352</v>
      </c>
      <c r="P737" s="5" t="s">
        <v>1327</v>
      </c>
      <c r="Q737" s="5" t="s">
        <v>1184</v>
      </c>
      <c r="R737" s="151">
        <v>2</v>
      </c>
      <c r="S737" s="143"/>
    </row>
    <row r="738" spans="1:19" x14ac:dyDescent="0.25">
      <c r="A738" s="5" t="s">
        <v>3539</v>
      </c>
      <c r="B738" s="147">
        <v>46011</v>
      </c>
      <c r="C738" s="5" t="s">
        <v>3540</v>
      </c>
      <c r="D738" s="5" t="s">
        <v>3541</v>
      </c>
      <c r="E738" s="5" t="s">
        <v>1370</v>
      </c>
      <c r="F738" s="5" t="s">
        <v>1160</v>
      </c>
      <c r="G738" s="5" t="s">
        <v>1371</v>
      </c>
      <c r="H738" s="148">
        <v>3</v>
      </c>
      <c r="I738" s="149">
        <v>3360</v>
      </c>
      <c r="J738" s="150">
        <v>0.2</v>
      </c>
      <c r="K738" s="149">
        <v>8064</v>
      </c>
      <c r="L738" s="149">
        <v>2113.6</v>
      </c>
      <c r="M738" s="5" t="s">
        <v>1130</v>
      </c>
      <c r="N738" s="5" t="s">
        <v>1337</v>
      </c>
      <c r="O738" s="5" t="s">
        <v>1338</v>
      </c>
      <c r="P738" s="5" t="s">
        <v>1314</v>
      </c>
      <c r="Q738" s="5" t="s">
        <v>1184</v>
      </c>
      <c r="R738" s="151">
        <v>3</v>
      </c>
      <c r="S738" s="143"/>
    </row>
    <row r="739" spans="1:19" x14ac:dyDescent="0.25">
      <c r="A739" s="5" t="s">
        <v>3542</v>
      </c>
      <c r="B739" s="147">
        <v>45726</v>
      </c>
      <c r="C739" s="5" t="s">
        <v>3543</v>
      </c>
      <c r="D739" s="5" t="s">
        <v>3544</v>
      </c>
      <c r="E739" s="5" t="s">
        <v>1370</v>
      </c>
      <c r="F739" s="5" t="s">
        <v>1160</v>
      </c>
      <c r="G739" s="5" t="s">
        <v>1371</v>
      </c>
      <c r="H739" s="148">
        <v>5</v>
      </c>
      <c r="I739" s="149">
        <v>7911</v>
      </c>
      <c r="J739" s="150">
        <v>0</v>
      </c>
      <c r="K739" s="149">
        <v>39555</v>
      </c>
      <c r="L739" s="149">
        <v>4953.99</v>
      </c>
      <c r="M739" s="5" t="s">
        <v>1126</v>
      </c>
      <c r="N739" s="5" t="s">
        <v>1362</v>
      </c>
      <c r="O739" s="5" t="s">
        <v>1363</v>
      </c>
      <c r="P739" s="5" t="s">
        <v>1323</v>
      </c>
      <c r="Q739" s="5" t="s">
        <v>1306</v>
      </c>
      <c r="R739" s="151">
        <v>1</v>
      </c>
      <c r="S739" s="143"/>
    </row>
    <row r="740" spans="1:19" x14ac:dyDescent="0.25">
      <c r="A740" s="5" t="s">
        <v>3545</v>
      </c>
      <c r="B740" s="147">
        <v>45990</v>
      </c>
      <c r="C740" s="5" t="s">
        <v>3546</v>
      </c>
      <c r="D740" s="5" t="s">
        <v>3547</v>
      </c>
      <c r="E740" s="5" t="s">
        <v>1331</v>
      </c>
      <c r="F740" s="5" t="s">
        <v>988</v>
      </c>
      <c r="G740" s="5" t="s">
        <v>1332</v>
      </c>
      <c r="H740" s="148">
        <v>5</v>
      </c>
      <c r="I740" s="149">
        <v>8048</v>
      </c>
      <c r="J740" s="150">
        <v>0.2</v>
      </c>
      <c r="K740" s="149">
        <v>32192</v>
      </c>
      <c r="L740" s="149">
        <v>7561.31</v>
      </c>
      <c r="M740" s="5" t="s">
        <v>1126</v>
      </c>
      <c r="N740" s="5" t="s">
        <v>1304</v>
      </c>
      <c r="O740" s="5" t="s">
        <v>1305</v>
      </c>
      <c r="P740" s="5" t="s">
        <v>1348</v>
      </c>
      <c r="Q740" s="5" t="s">
        <v>1300</v>
      </c>
      <c r="R740" s="151">
        <v>2</v>
      </c>
      <c r="S740" s="143"/>
    </row>
    <row r="741" spans="1:19" x14ac:dyDescent="0.25">
      <c r="A741" s="5" t="s">
        <v>3548</v>
      </c>
      <c r="B741" s="147">
        <v>45771</v>
      </c>
      <c r="C741" s="5" t="s">
        <v>3549</v>
      </c>
      <c r="D741" s="5" t="s">
        <v>3550</v>
      </c>
      <c r="E741" s="5" t="s">
        <v>1331</v>
      </c>
      <c r="F741" s="5" t="s">
        <v>988</v>
      </c>
      <c r="G741" s="5" t="s">
        <v>1332</v>
      </c>
      <c r="H741" s="148">
        <v>2</v>
      </c>
      <c r="I741" s="149">
        <v>3734</v>
      </c>
      <c r="J741" s="150">
        <v>0.15</v>
      </c>
      <c r="K741" s="149">
        <v>6347.8</v>
      </c>
      <c r="L741" s="149">
        <v>1078.3399999999999</v>
      </c>
      <c r="M741" s="5" t="s">
        <v>1344</v>
      </c>
      <c r="N741" s="5" t="s">
        <v>1321</v>
      </c>
      <c r="O741" s="5" t="s">
        <v>1322</v>
      </c>
      <c r="P741" s="5" t="s">
        <v>1327</v>
      </c>
      <c r="Q741" s="5" t="s">
        <v>1300</v>
      </c>
      <c r="R741" s="151">
        <v>5</v>
      </c>
      <c r="S741" s="143"/>
    </row>
    <row r="742" spans="1:19" x14ac:dyDescent="0.25">
      <c r="A742" s="5" t="s">
        <v>3551</v>
      </c>
      <c r="B742" s="147">
        <v>45813</v>
      </c>
      <c r="C742" s="5" t="s">
        <v>3552</v>
      </c>
      <c r="D742" s="5" t="s">
        <v>3553</v>
      </c>
      <c r="E742" s="5" t="s">
        <v>1342</v>
      </c>
      <c r="F742" s="5" t="s">
        <v>988</v>
      </c>
      <c r="G742" s="5" t="s">
        <v>1343</v>
      </c>
      <c r="H742" s="148">
        <v>1</v>
      </c>
      <c r="I742" s="149">
        <v>11736</v>
      </c>
      <c r="J742" s="150">
        <v>0</v>
      </c>
      <c r="K742" s="149">
        <v>11736</v>
      </c>
      <c r="L742" s="149">
        <v>1175.6400000000001</v>
      </c>
      <c r="M742" s="5" t="s">
        <v>1313</v>
      </c>
      <c r="N742" s="5" t="s">
        <v>1304</v>
      </c>
      <c r="O742" s="5" t="s">
        <v>1305</v>
      </c>
      <c r="P742" s="5" t="s">
        <v>1299</v>
      </c>
      <c r="Q742" s="5" t="s">
        <v>1204</v>
      </c>
      <c r="R742" s="151">
        <v>4</v>
      </c>
      <c r="S742" s="143"/>
    </row>
    <row r="743" spans="1:19" x14ac:dyDescent="0.25">
      <c r="A743" s="5" t="s">
        <v>3554</v>
      </c>
      <c r="B743" s="147">
        <v>45865</v>
      </c>
      <c r="C743" s="5" t="s">
        <v>3555</v>
      </c>
      <c r="D743" s="5" t="s">
        <v>3556</v>
      </c>
      <c r="E743" s="5" t="s">
        <v>1295</v>
      </c>
      <c r="F743" s="5" t="s">
        <v>985</v>
      </c>
      <c r="G743" s="5" t="s">
        <v>1296</v>
      </c>
      <c r="H743" s="148">
        <v>4</v>
      </c>
      <c r="I743" s="149">
        <v>8090</v>
      </c>
      <c r="J743" s="150">
        <v>0.05</v>
      </c>
      <c r="K743" s="149">
        <v>30742</v>
      </c>
      <c r="L743" s="149">
        <v>5562.6</v>
      </c>
      <c r="M743" s="5" t="s">
        <v>1130</v>
      </c>
      <c r="N743" s="5" t="s">
        <v>1337</v>
      </c>
      <c r="O743" s="5" t="s">
        <v>1338</v>
      </c>
      <c r="P743" s="5" t="s">
        <v>1314</v>
      </c>
      <c r="Q743" s="5" t="s">
        <v>1300</v>
      </c>
      <c r="R743" s="151">
        <v>3</v>
      </c>
      <c r="S743" s="143"/>
    </row>
    <row r="744" spans="1:19" x14ac:dyDescent="0.25">
      <c r="A744" s="5" t="s">
        <v>3557</v>
      </c>
      <c r="B744" s="147">
        <v>45892</v>
      </c>
      <c r="C744" s="5" t="s">
        <v>3558</v>
      </c>
      <c r="D744" s="5" t="s">
        <v>3559</v>
      </c>
      <c r="E744" s="5" t="s">
        <v>1295</v>
      </c>
      <c r="F744" s="5" t="s">
        <v>985</v>
      </c>
      <c r="G744" s="5" t="s">
        <v>1296</v>
      </c>
      <c r="H744" s="148">
        <v>4</v>
      </c>
      <c r="I744" s="149">
        <v>5425</v>
      </c>
      <c r="J744" s="150">
        <v>0</v>
      </c>
      <c r="K744" s="149">
        <v>21700</v>
      </c>
      <c r="L744" s="149">
        <v>2860.99</v>
      </c>
      <c r="M744" s="5" t="s">
        <v>1381</v>
      </c>
      <c r="N744" s="5" t="s">
        <v>1352</v>
      </c>
      <c r="O744" s="5" t="s">
        <v>1352</v>
      </c>
      <c r="P744" s="5" t="s">
        <v>1323</v>
      </c>
      <c r="Q744" s="5" t="s">
        <v>1184</v>
      </c>
      <c r="R744" s="151">
        <v>3</v>
      </c>
      <c r="S744" s="143"/>
    </row>
    <row r="745" spans="1:19" x14ac:dyDescent="0.25">
      <c r="A745" s="5" t="s">
        <v>3560</v>
      </c>
      <c r="B745" s="147">
        <v>45883</v>
      </c>
      <c r="C745" s="5" t="s">
        <v>3561</v>
      </c>
      <c r="D745" s="5" t="s">
        <v>3562</v>
      </c>
      <c r="E745" s="5" t="s">
        <v>1310</v>
      </c>
      <c r="F745" s="5" t="s">
        <v>1311</v>
      </c>
      <c r="G745" s="5" t="s">
        <v>1312</v>
      </c>
      <c r="H745" s="148">
        <v>5</v>
      </c>
      <c r="I745" s="149">
        <v>9187</v>
      </c>
      <c r="J745" s="150">
        <v>0</v>
      </c>
      <c r="K745" s="149">
        <v>45935</v>
      </c>
      <c r="L745" s="149">
        <v>10351.73</v>
      </c>
      <c r="M745" s="5" t="s">
        <v>1381</v>
      </c>
      <c r="N745" s="5" t="s">
        <v>1352</v>
      </c>
      <c r="O745" s="5" t="s">
        <v>1352</v>
      </c>
      <c r="P745" s="5" t="s">
        <v>1299</v>
      </c>
      <c r="Q745" s="5" t="s">
        <v>1300</v>
      </c>
      <c r="R745" s="151">
        <v>4</v>
      </c>
      <c r="S745" s="143"/>
    </row>
    <row r="746" spans="1:19" x14ac:dyDescent="0.25">
      <c r="A746" s="5" t="s">
        <v>3563</v>
      </c>
      <c r="B746" s="147">
        <v>45857</v>
      </c>
      <c r="C746" s="5" t="s">
        <v>3564</v>
      </c>
      <c r="D746" s="5" t="s">
        <v>3565</v>
      </c>
      <c r="E746" s="5" t="s">
        <v>1295</v>
      </c>
      <c r="F746" s="5" t="s">
        <v>985</v>
      </c>
      <c r="G746" s="5" t="s">
        <v>1296</v>
      </c>
      <c r="H746" s="148">
        <v>3</v>
      </c>
      <c r="I746" s="149">
        <v>591</v>
      </c>
      <c r="J746" s="150">
        <v>0.15</v>
      </c>
      <c r="K746" s="149">
        <v>1507.05</v>
      </c>
      <c r="L746" s="149">
        <v>242.04</v>
      </c>
      <c r="M746" s="5" t="s">
        <v>1381</v>
      </c>
      <c r="N746" s="5" t="s">
        <v>1352</v>
      </c>
      <c r="O746" s="5" t="s">
        <v>1352</v>
      </c>
      <c r="P746" s="5" t="s">
        <v>1348</v>
      </c>
      <c r="Q746" s="5" t="s">
        <v>1184</v>
      </c>
      <c r="R746" s="151">
        <v>5</v>
      </c>
      <c r="S746" s="143"/>
    </row>
    <row r="747" spans="1:19" x14ac:dyDescent="0.25">
      <c r="A747" s="5" t="s">
        <v>3566</v>
      </c>
      <c r="B747" s="147">
        <v>45980</v>
      </c>
      <c r="C747" s="5" t="s">
        <v>3567</v>
      </c>
      <c r="D747" s="5" t="s">
        <v>3568</v>
      </c>
      <c r="E747" s="5" t="s">
        <v>1295</v>
      </c>
      <c r="F747" s="5" t="s">
        <v>985</v>
      </c>
      <c r="G747" s="5" t="s">
        <v>1296</v>
      </c>
      <c r="H747" s="148">
        <v>1</v>
      </c>
      <c r="I747" s="149">
        <v>9036</v>
      </c>
      <c r="J747" s="150">
        <v>0.1</v>
      </c>
      <c r="K747" s="149">
        <v>8132.4</v>
      </c>
      <c r="L747" s="149">
        <v>1465.63</v>
      </c>
      <c r="M747" s="5" t="s">
        <v>1126</v>
      </c>
      <c r="N747" s="5" t="s">
        <v>1337</v>
      </c>
      <c r="O747" s="5" t="s">
        <v>1338</v>
      </c>
      <c r="P747" s="5" t="s">
        <v>1348</v>
      </c>
      <c r="Q747" s="5" t="s">
        <v>1204</v>
      </c>
      <c r="R747" s="151">
        <v>1</v>
      </c>
      <c r="S747" s="143"/>
    </row>
    <row r="748" spans="1:19" x14ac:dyDescent="0.25">
      <c r="A748" s="5" t="s">
        <v>3569</v>
      </c>
      <c r="B748" s="147">
        <v>45969</v>
      </c>
      <c r="C748" s="5" t="s">
        <v>3570</v>
      </c>
      <c r="D748" s="5" t="s">
        <v>3571</v>
      </c>
      <c r="E748" s="5" t="s">
        <v>1195</v>
      </c>
      <c r="F748" s="5" t="s">
        <v>988</v>
      </c>
      <c r="G748" s="5" t="s">
        <v>1336</v>
      </c>
      <c r="H748" s="148">
        <v>4</v>
      </c>
      <c r="I748" s="149">
        <v>6573</v>
      </c>
      <c r="J748" s="150">
        <v>0</v>
      </c>
      <c r="K748" s="149">
        <v>26292</v>
      </c>
      <c r="L748" s="149">
        <v>3344.75</v>
      </c>
      <c r="M748" s="5" t="s">
        <v>1126</v>
      </c>
      <c r="N748" s="5" t="s">
        <v>1362</v>
      </c>
      <c r="O748" s="5" t="s">
        <v>1363</v>
      </c>
      <c r="P748" s="5" t="s">
        <v>1299</v>
      </c>
      <c r="Q748" s="5" t="s">
        <v>1306</v>
      </c>
      <c r="R748" s="151">
        <v>1</v>
      </c>
      <c r="S748" s="143"/>
    </row>
    <row r="749" spans="1:19" x14ac:dyDescent="0.25">
      <c r="A749" s="5" t="s">
        <v>3572</v>
      </c>
      <c r="B749" s="147">
        <v>45924</v>
      </c>
      <c r="C749" s="5" t="s">
        <v>3573</v>
      </c>
      <c r="D749" s="5" t="s">
        <v>3574</v>
      </c>
      <c r="E749" s="5" t="s">
        <v>1295</v>
      </c>
      <c r="F749" s="5" t="s">
        <v>985</v>
      </c>
      <c r="G749" s="5" t="s">
        <v>1296</v>
      </c>
      <c r="H749" s="148">
        <v>1</v>
      </c>
      <c r="I749" s="149">
        <v>14951</v>
      </c>
      <c r="J749" s="150">
        <v>0.05</v>
      </c>
      <c r="K749" s="149">
        <v>14203.45</v>
      </c>
      <c r="L749" s="149">
        <v>4249.4399999999996</v>
      </c>
      <c r="M749" s="5" t="s">
        <v>1313</v>
      </c>
      <c r="N749" s="5" t="s">
        <v>1321</v>
      </c>
      <c r="O749" s="5" t="s">
        <v>1322</v>
      </c>
      <c r="P749" s="5" t="s">
        <v>1327</v>
      </c>
      <c r="Q749" s="5" t="s">
        <v>1300</v>
      </c>
      <c r="R749" s="151">
        <v>4</v>
      </c>
      <c r="S749" s="143"/>
    </row>
    <row r="750" spans="1:19" x14ac:dyDescent="0.25">
      <c r="A750" s="5" t="s">
        <v>3575</v>
      </c>
      <c r="B750" s="147">
        <v>45844</v>
      </c>
      <c r="C750" s="5" t="s">
        <v>3576</v>
      </c>
      <c r="D750" s="5" t="s">
        <v>3577</v>
      </c>
      <c r="E750" s="5" t="s">
        <v>1195</v>
      </c>
      <c r="F750" s="5" t="s">
        <v>988</v>
      </c>
      <c r="G750" s="5" t="s">
        <v>1336</v>
      </c>
      <c r="H750" s="148">
        <v>4</v>
      </c>
      <c r="I750" s="149">
        <v>10565</v>
      </c>
      <c r="J750" s="150">
        <v>0.15</v>
      </c>
      <c r="K750" s="149">
        <v>35921</v>
      </c>
      <c r="L750" s="149">
        <v>4346.41</v>
      </c>
      <c r="M750" s="5" t="s">
        <v>1381</v>
      </c>
      <c r="N750" s="5" t="s">
        <v>1337</v>
      </c>
      <c r="O750" s="5" t="s">
        <v>1338</v>
      </c>
      <c r="P750" s="5" t="s">
        <v>1299</v>
      </c>
      <c r="Q750" s="5" t="s">
        <v>1184</v>
      </c>
      <c r="R750" s="151">
        <v>4</v>
      </c>
      <c r="S750" s="143"/>
    </row>
    <row r="751" spans="1:19" x14ac:dyDescent="0.25">
      <c r="A751" s="5" t="s">
        <v>3578</v>
      </c>
      <c r="B751" s="147">
        <v>45961</v>
      </c>
      <c r="C751" s="5" t="s">
        <v>3579</v>
      </c>
      <c r="D751" s="5" t="s">
        <v>3580</v>
      </c>
      <c r="E751" s="5" t="s">
        <v>1195</v>
      </c>
      <c r="F751" s="5" t="s">
        <v>988</v>
      </c>
      <c r="G751" s="5" t="s">
        <v>1336</v>
      </c>
      <c r="H751" s="148">
        <v>5</v>
      </c>
      <c r="I751" s="149">
        <v>4066</v>
      </c>
      <c r="J751" s="150">
        <v>0</v>
      </c>
      <c r="K751" s="149">
        <v>20330</v>
      </c>
      <c r="L751" s="149">
        <v>2672.59</v>
      </c>
      <c r="M751" s="5" t="s">
        <v>1313</v>
      </c>
      <c r="N751" s="5" t="s">
        <v>1337</v>
      </c>
      <c r="O751" s="5" t="s">
        <v>1338</v>
      </c>
      <c r="P751" s="5" t="s">
        <v>1323</v>
      </c>
      <c r="Q751" s="5" t="s">
        <v>1184</v>
      </c>
      <c r="R751" s="151">
        <v>3</v>
      </c>
      <c r="S751" s="143"/>
    </row>
    <row r="752" spans="1:19" x14ac:dyDescent="0.25">
      <c r="A752" s="5" t="s">
        <v>3581</v>
      </c>
      <c r="B752" s="147">
        <v>45703</v>
      </c>
      <c r="C752" s="5" t="s">
        <v>3582</v>
      </c>
      <c r="D752" s="5" t="s">
        <v>3583</v>
      </c>
      <c r="E752" s="5" t="s">
        <v>1359</v>
      </c>
      <c r="F752" s="5" t="s">
        <v>1360</v>
      </c>
      <c r="G752" s="5" t="s">
        <v>1361</v>
      </c>
      <c r="H752" s="148">
        <v>2</v>
      </c>
      <c r="I752" s="149">
        <v>3589</v>
      </c>
      <c r="J752" s="150">
        <v>0.1</v>
      </c>
      <c r="K752" s="149">
        <v>6460.2</v>
      </c>
      <c r="L752" s="149">
        <v>865.3</v>
      </c>
      <c r="M752" s="5" t="s">
        <v>1130</v>
      </c>
      <c r="N752" s="5" t="s">
        <v>1304</v>
      </c>
      <c r="O752" s="5" t="s">
        <v>1305</v>
      </c>
      <c r="P752" s="5" t="s">
        <v>1348</v>
      </c>
      <c r="Q752" s="5" t="s">
        <v>1204</v>
      </c>
      <c r="R752" s="151">
        <v>3</v>
      </c>
      <c r="S752" s="143"/>
    </row>
    <row r="753" spans="1:19" x14ac:dyDescent="0.25">
      <c r="A753" s="5" t="s">
        <v>3584</v>
      </c>
      <c r="B753" s="147">
        <v>46022</v>
      </c>
      <c r="C753" s="5" t="s">
        <v>3585</v>
      </c>
      <c r="D753" s="5" t="s">
        <v>3586</v>
      </c>
      <c r="E753" s="5" t="s">
        <v>1295</v>
      </c>
      <c r="F753" s="5" t="s">
        <v>985</v>
      </c>
      <c r="G753" s="5" t="s">
        <v>1296</v>
      </c>
      <c r="H753" s="148">
        <v>3</v>
      </c>
      <c r="I753" s="149">
        <v>13360</v>
      </c>
      <c r="J753" s="150">
        <v>0.15</v>
      </c>
      <c r="K753" s="149">
        <v>34068</v>
      </c>
      <c r="L753" s="149">
        <v>8987.2099999999991</v>
      </c>
      <c r="M753" s="5" t="s">
        <v>1313</v>
      </c>
      <c r="N753" s="5" t="s">
        <v>1352</v>
      </c>
      <c r="O753" s="5" t="s">
        <v>1352</v>
      </c>
      <c r="P753" s="5" t="s">
        <v>1348</v>
      </c>
      <c r="Q753" s="5" t="s">
        <v>1300</v>
      </c>
      <c r="R753" s="151">
        <v>5</v>
      </c>
      <c r="S753" s="143"/>
    </row>
    <row r="754" spans="1:19" x14ac:dyDescent="0.25">
      <c r="A754" s="5" t="s">
        <v>3587</v>
      </c>
      <c r="B754" s="147">
        <v>45989</v>
      </c>
      <c r="C754" s="5" t="s">
        <v>3588</v>
      </c>
      <c r="D754" s="5" t="s">
        <v>3589</v>
      </c>
      <c r="E754" s="5" t="s">
        <v>1359</v>
      </c>
      <c r="F754" s="5" t="s">
        <v>1360</v>
      </c>
      <c r="G754" s="5" t="s">
        <v>1361</v>
      </c>
      <c r="H754" s="148">
        <v>5</v>
      </c>
      <c r="I754" s="149">
        <v>3938</v>
      </c>
      <c r="J754" s="150">
        <v>0</v>
      </c>
      <c r="K754" s="149">
        <v>19690</v>
      </c>
      <c r="L754" s="149">
        <v>5181.91</v>
      </c>
      <c r="M754" s="5" t="s">
        <v>1126</v>
      </c>
      <c r="N754" s="5" t="s">
        <v>1304</v>
      </c>
      <c r="O754" s="5" t="s">
        <v>1305</v>
      </c>
      <c r="P754" s="5" t="s">
        <v>1323</v>
      </c>
      <c r="Q754" s="5" t="s">
        <v>1306</v>
      </c>
      <c r="R754" s="151">
        <v>4</v>
      </c>
      <c r="S754" s="143"/>
    </row>
    <row r="755" spans="1:19" x14ac:dyDescent="0.25">
      <c r="A755" s="5" t="s">
        <v>3590</v>
      </c>
      <c r="B755" s="147">
        <v>45975</v>
      </c>
      <c r="C755" s="5" t="s">
        <v>3591</v>
      </c>
      <c r="D755" s="5" t="s">
        <v>3592</v>
      </c>
      <c r="E755" s="5" t="s">
        <v>1342</v>
      </c>
      <c r="F755" s="5" t="s">
        <v>988</v>
      </c>
      <c r="G755" s="5" t="s">
        <v>1343</v>
      </c>
      <c r="H755" s="148">
        <v>2</v>
      </c>
      <c r="I755" s="149">
        <v>13529</v>
      </c>
      <c r="J755" s="150">
        <v>0.15</v>
      </c>
      <c r="K755" s="149">
        <v>22999.3</v>
      </c>
      <c r="L755" s="149">
        <v>2463.0500000000002</v>
      </c>
      <c r="M755" s="5" t="s">
        <v>1313</v>
      </c>
      <c r="N755" s="5" t="s">
        <v>1321</v>
      </c>
      <c r="O755" s="5" t="s">
        <v>1322</v>
      </c>
      <c r="P755" s="5" t="s">
        <v>1299</v>
      </c>
      <c r="Q755" s="5" t="s">
        <v>1204</v>
      </c>
      <c r="R755" s="151">
        <v>3</v>
      </c>
      <c r="S755" s="143"/>
    </row>
    <row r="756" spans="1:19" x14ac:dyDescent="0.25">
      <c r="A756" s="5" t="s">
        <v>3593</v>
      </c>
      <c r="B756" s="147">
        <v>45723</v>
      </c>
      <c r="C756" s="5" t="s">
        <v>3594</v>
      </c>
      <c r="D756" s="5" t="s">
        <v>3595</v>
      </c>
      <c r="E756" s="5" t="s">
        <v>1342</v>
      </c>
      <c r="F756" s="5" t="s">
        <v>988</v>
      </c>
      <c r="G756" s="5" t="s">
        <v>1343</v>
      </c>
      <c r="H756" s="148">
        <v>1</v>
      </c>
      <c r="I756" s="149">
        <v>11577</v>
      </c>
      <c r="J756" s="150">
        <v>0.15</v>
      </c>
      <c r="K756" s="149">
        <v>9840.4500000000007</v>
      </c>
      <c r="L756" s="149">
        <v>1872.05</v>
      </c>
      <c r="M756" s="5" t="s">
        <v>1130</v>
      </c>
      <c r="N756" s="5" t="s">
        <v>1337</v>
      </c>
      <c r="O756" s="5" t="s">
        <v>1338</v>
      </c>
      <c r="P756" s="5" t="s">
        <v>1314</v>
      </c>
      <c r="Q756" s="5" t="s">
        <v>1184</v>
      </c>
      <c r="R756" s="151">
        <v>5</v>
      </c>
      <c r="S756" s="143"/>
    </row>
    <row r="757" spans="1:19" x14ac:dyDescent="0.25">
      <c r="A757" s="5" t="s">
        <v>3596</v>
      </c>
      <c r="B757" s="147">
        <v>45950</v>
      </c>
      <c r="C757" s="5" t="s">
        <v>3597</v>
      </c>
      <c r="D757" s="5" t="s">
        <v>3598</v>
      </c>
      <c r="E757" s="5" t="s">
        <v>1310</v>
      </c>
      <c r="F757" s="5" t="s">
        <v>1311</v>
      </c>
      <c r="G757" s="5" t="s">
        <v>1312</v>
      </c>
      <c r="H757" s="148">
        <v>3</v>
      </c>
      <c r="I757" s="149">
        <v>7990</v>
      </c>
      <c r="J757" s="150">
        <v>0.1</v>
      </c>
      <c r="K757" s="149">
        <v>21573</v>
      </c>
      <c r="L757" s="149">
        <v>3487.62</v>
      </c>
      <c r="M757" s="5" t="s">
        <v>1344</v>
      </c>
      <c r="N757" s="5" t="s">
        <v>1321</v>
      </c>
      <c r="O757" s="5" t="s">
        <v>1322</v>
      </c>
      <c r="P757" s="5" t="s">
        <v>1323</v>
      </c>
      <c r="Q757" s="5" t="s">
        <v>1204</v>
      </c>
      <c r="R757" s="151">
        <v>1</v>
      </c>
      <c r="S757" s="143"/>
    </row>
    <row r="758" spans="1:19" x14ac:dyDescent="0.25">
      <c r="A758" s="5" t="s">
        <v>3599</v>
      </c>
      <c r="B758" s="147">
        <v>45868</v>
      </c>
      <c r="C758" s="5" t="s">
        <v>3600</v>
      </c>
      <c r="D758" s="5" t="s">
        <v>3601</v>
      </c>
      <c r="E758" s="5" t="s">
        <v>1370</v>
      </c>
      <c r="F758" s="5" t="s">
        <v>1160</v>
      </c>
      <c r="G758" s="5" t="s">
        <v>1371</v>
      </c>
      <c r="H758" s="148">
        <v>3</v>
      </c>
      <c r="I758" s="149">
        <v>727</v>
      </c>
      <c r="J758" s="150">
        <v>0.15</v>
      </c>
      <c r="K758" s="149">
        <v>1853.85</v>
      </c>
      <c r="L758" s="149">
        <v>261.01</v>
      </c>
      <c r="M758" s="5" t="s">
        <v>1381</v>
      </c>
      <c r="N758" s="5" t="s">
        <v>1337</v>
      </c>
      <c r="O758" s="5" t="s">
        <v>1338</v>
      </c>
      <c r="P758" s="5" t="s">
        <v>1299</v>
      </c>
      <c r="Q758" s="5" t="s">
        <v>1204</v>
      </c>
      <c r="R758" s="151">
        <v>3</v>
      </c>
      <c r="S758" s="143"/>
    </row>
    <row r="759" spans="1:19" x14ac:dyDescent="0.25">
      <c r="A759" s="5" t="s">
        <v>3602</v>
      </c>
      <c r="B759" s="147">
        <v>45786</v>
      </c>
      <c r="C759" s="5" t="s">
        <v>3603</v>
      </c>
      <c r="D759" s="5" t="s">
        <v>3604</v>
      </c>
      <c r="E759" s="5" t="s">
        <v>1318</v>
      </c>
      <c r="F759" s="5" t="s">
        <v>1319</v>
      </c>
      <c r="G759" s="5" t="s">
        <v>1320</v>
      </c>
      <c r="H759" s="148">
        <v>3</v>
      </c>
      <c r="I759" s="149">
        <v>11897</v>
      </c>
      <c r="J759" s="150">
        <v>0.05</v>
      </c>
      <c r="K759" s="149">
        <v>33906.449999999997</v>
      </c>
      <c r="L759" s="149">
        <v>5158.8</v>
      </c>
      <c r="M759" s="5" t="s">
        <v>1344</v>
      </c>
      <c r="N759" s="5" t="s">
        <v>1321</v>
      </c>
      <c r="O759" s="5" t="s">
        <v>1322</v>
      </c>
      <c r="P759" s="5" t="s">
        <v>1314</v>
      </c>
      <c r="Q759" s="5" t="s">
        <v>1300</v>
      </c>
      <c r="R759" s="151">
        <v>3</v>
      </c>
      <c r="S759" s="143"/>
    </row>
    <row r="760" spans="1:19" x14ac:dyDescent="0.25">
      <c r="A760" s="5" t="s">
        <v>3605</v>
      </c>
      <c r="B760" s="147">
        <v>45978</v>
      </c>
      <c r="C760" s="5" t="s">
        <v>3606</v>
      </c>
      <c r="D760" s="5" t="s">
        <v>3607</v>
      </c>
      <c r="E760" s="5" t="s">
        <v>1370</v>
      </c>
      <c r="F760" s="5" t="s">
        <v>1160</v>
      </c>
      <c r="G760" s="5" t="s">
        <v>1371</v>
      </c>
      <c r="H760" s="148">
        <v>3</v>
      </c>
      <c r="I760" s="149">
        <v>9235</v>
      </c>
      <c r="J760" s="150">
        <v>0.05</v>
      </c>
      <c r="K760" s="149">
        <v>26319.75</v>
      </c>
      <c r="L760" s="149">
        <v>2628.19</v>
      </c>
      <c r="M760" s="5" t="s">
        <v>1130</v>
      </c>
      <c r="N760" s="5" t="s">
        <v>1362</v>
      </c>
      <c r="O760" s="5" t="s">
        <v>1363</v>
      </c>
      <c r="P760" s="5" t="s">
        <v>1327</v>
      </c>
      <c r="Q760" s="5" t="s">
        <v>1204</v>
      </c>
      <c r="R760" s="151">
        <v>4</v>
      </c>
      <c r="S760" s="143"/>
    </row>
    <row r="761" spans="1:19" x14ac:dyDescent="0.25">
      <c r="A761" s="5" t="s">
        <v>3608</v>
      </c>
      <c r="B761" s="147">
        <v>45669</v>
      </c>
      <c r="C761" s="5" t="s">
        <v>3609</v>
      </c>
      <c r="D761" s="5" t="s">
        <v>3610</v>
      </c>
      <c r="E761" s="5" t="s">
        <v>1342</v>
      </c>
      <c r="F761" s="5" t="s">
        <v>988</v>
      </c>
      <c r="G761" s="5" t="s">
        <v>1343</v>
      </c>
      <c r="H761" s="148">
        <v>5</v>
      </c>
      <c r="I761" s="149">
        <v>8777</v>
      </c>
      <c r="J761" s="150">
        <v>0.2</v>
      </c>
      <c r="K761" s="149">
        <v>35108</v>
      </c>
      <c r="L761" s="149">
        <v>9298.02</v>
      </c>
      <c r="M761" s="5" t="s">
        <v>1126</v>
      </c>
      <c r="N761" s="5" t="s">
        <v>1297</v>
      </c>
      <c r="O761" s="5" t="s">
        <v>1298</v>
      </c>
      <c r="P761" s="5" t="s">
        <v>1348</v>
      </c>
      <c r="Q761" s="5" t="s">
        <v>1204</v>
      </c>
      <c r="R761" s="151">
        <v>4</v>
      </c>
      <c r="S761" s="143"/>
    </row>
    <row r="762" spans="1:19" x14ac:dyDescent="0.25">
      <c r="A762" s="5" t="s">
        <v>3611</v>
      </c>
      <c r="B762" s="147">
        <v>45861</v>
      </c>
      <c r="C762" s="5" t="s">
        <v>3612</v>
      </c>
      <c r="D762" s="5" t="s">
        <v>3613</v>
      </c>
      <c r="E762" s="5" t="s">
        <v>1295</v>
      </c>
      <c r="F762" s="5" t="s">
        <v>985</v>
      </c>
      <c r="G762" s="5" t="s">
        <v>1296</v>
      </c>
      <c r="H762" s="148">
        <v>3</v>
      </c>
      <c r="I762" s="149">
        <v>14489</v>
      </c>
      <c r="J762" s="150">
        <v>0.1</v>
      </c>
      <c r="K762" s="149">
        <v>39120.300000000003</v>
      </c>
      <c r="L762" s="149">
        <v>5912.87</v>
      </c>
      <c r="M762" s="5" t="s">
        <v>1381</v>
      </c>
      <c r="N762" s="5" t="s">
        <v>1321</v>
      </c>
      <c r="O762" s="5" t="s">
        <v>1322</v>
      </c>
      <c r="P762" s="5" t="s">
        <v>1323</v>
      </c>
      <c r="Q762" s="5" t="s">
        <v>1306</v>
      </c>
      <c r="R762" s="151">
        <v>1</v>
      </c>
      <c r="S762" s="143"/>
    </row>
    <row r="763" spans="1:19" x14ac:dyDescent="0.25">
      <c r="A763" s="5" t="s">
        <v>3614</v>
      </c>
      <c r="B763" s="147">
        <v>45964</v>
      </c>
      <c r="C763" s="5" t="s">
        <v>3615</v>
      </c>
      <c r="D763" s="5" t="s">
        <v>3616</v>
      </c>
      <c r="E763" s="5" t="s">
        <v>1310</v>
      </c>
      <c r="F763" s="5" t="s">
        <v>1311</v>
      </c>
      <c r="G763" s="5" t="s">
        <v>1312</v>
      </c>
      <c r="H763" s="148">
        <v>1</v>
      </c>
      <c r="I763" s="149">
        <v>315</v>
      </c>
      <c r="J763" s="150">
        <v>0.1</v>
      </c>
      <c r="K763" s="149">
        <v>283.5</v>
      </c>
      <c r="L763" s="149">
        <v>24.44</v>
      </c>
      <c r="M763" s="5" t="s">
        <v>1313</v>
      </c>
      <c r="N763" s="5" t="s">
        <v>1337</v>
      </c>
      <c r="O763" s="5" t="s">
        <v>1338</v>
      </c>
      <c r="P763" s="5" t="s">
        <v>1323</v>
      </c>
      <c r="Q763" s="5" t="s">
        <v>1300</v>
      </c>
      <c r="R763" s="151">
        <v>5</v>
      </c>
      <c r="S763" s="143"/>
    </row>
    <row r="764" spans="1:19" x14ac:dyDescent="0.25">
      <c r="A764" s="5" t="s">
        <v>3617</v>
      </c>
      <c r="B764" s="147">
        <v>45716</v>
      </c>
      <c r="C764" s="5" t="s">
        <v>3618</v>
      </c>
      <c r="D764" s="5" t="s">
        <v>3619</v>
      </c>
      <c r="E764" s="5" t="s">
        <v>1359</v>
      </c>
      <c r="F764" s="5" t="s">
        <v>1360</v>
      </c>
      <c r="G764" s="5" t="s">
        <v>1361</v>
      </c>
      <c r="H764" s="148">
        <v>1</v>
      </c>
      <c r="I764" s="149">
        <v>5614</v>
      </c>
      <c r="J764" s="150">
        <v>0.15</v>
      </c>
      <c r="K764" s="149">
        <v>4771.8999999999996</v>
      </c>
      <c r="L764" s="149">
        <v>542.54999999999995</v>
      </c>
      <c r="M764" s="5" t="s">
        <v>1130</v>
      </c>
      <c r="N764" s="5" t="s">
        <v>1352</v>
      </c>
      <c r="O764" s="5" t="s">
        <v>1352</v>
      </c>
      <c r="P764" s="5" t="s">
        <v>1299</v>
      </c>
      <c r="Q764" s="5" t="s">
        <v>1300</v>
      </c>
      <c r="R764" s="151">
        <v>4</v>
      </c>
      <c r="S764" s="143"/>
    </row>
    <row r="765" spans="1:19" x14ac:dyDescent="0.25">
      <c r="A765" s="5" t="s">
        <v>3620</v>
      </c>
      <c r="B765" s="147">
        <v>45891</v>
      </c>
      <c r="C765" s="5" t="s">
        <v>3621</v>
      </c>
      <c r="D765" s="5" t="s">
        <v>3622</v>
      </c>
      <c r="E765" s="5" t="s">
        <v>1195</v>
      </c>
      <c r="F765" s="5" t="s">
        <v>988</v>
      </c>
      <c r="G765" s="5" t="s">
        <v>1336</v>
      </c>
      <c r="H765" s="148">
        <v>2</v>
      </c>
      <c r="I765" s="149">
        <v>13328</v>
      </c>
      <c r="J765" s="150">
        <v>0.1</v>
      </c>
      <c r="K765" s="149">
        <v>23990.400000000001</v>
      </c>
      <c r="L765" s="149">
        <v>4021.49</v>
      </c>
      <c r="M765" s="5" t="s">
        <v>1344</v>
      </c>
      <c r="N765" s="5" t="s">
        <v>1297</v>
      </c>
      <c r="O765" s="5" t="s">
        <v>1298</v>
      </c>
      <c r="P765" s="5" t="s">
        <v>1299</v>
      </c>
      <c r="Q765" s="5" t="s">
        <v>1204</v>
      </c>
      <c r="R765" s="151">
        <v>3</v>
      </c>
      <c r="S765" s="143"/>
    </row>
    <row r="766" spans="1:19" x14ac:dyDescent="0.25">
      <c r="A766" s="5" t="s">
        <v>3623</v>
      </c>
      <c r="B766" s="147">
        <v>46011</v>
      </c>
      <c r="C766" s="5" t="s">
        <v>3624</v>
      </c>
      <c r="D766" s="5" t="s">
        <v>3625</v>
      </c>
      <c r="E766" s="5" t="s">
        <v>1295</v>
      </c>
      <c r="F766" s="5" t="s">
        <v>985</v>
      </c>
      <c r="G766" s="5" t="s">
        <v>1296</v>
      </c>
      <c r="H766" s="148">
        <v>2</v>
      </c>
      <c r="I766" s="149">
        <v>3971</v>
      </c>
      <c r="J766" s="150">
        <v>0.15</v>
      </c>
      <c r="K766" s="149">
        <v>6750.7</v>
      </c>
      <c r="L766" s="149">
        <v>1219.3499999999999</v>
      </c>
      <c r="M766" s="5" t="s">
        <v>1313</v>
      </c>
      <c r="N766" s="5" t="s">
        <v>1362</v>
      </c>
      <c r="O766" s="5" t="s">
        <v>1363</v>
      </c>
      <c r="P766" s="5" t="s">
        <v>1348</v>
      </c>
      <c r="Q766" s="5" t="s">
        <v>1306</v>
      </c>
      <c r="R766" s="151">
        <v>5</v>
      </c>
      <c r="S766" s="143"/>
    </row>
    <row r="767" spans="1:19" x14ac:dyDescent="0.25">
      <c r="A767" s="5" t="s">
        <v>3626</v>
      </c>
      <c r="B767" s="147">
        <v>45788</v>
      </c>
      <c r="C767" s="5" t="s">
        <v>3627</v>
      </c>
      <c r="D767" s="5" t="s">
        <v>3628</v>
      </c>
      <c r="E767" s="5" t="s">
        <v>1359</v>
      </c>
      <c r="F767" s="5" t="s">
        <v>1360</v>
      </c>
      <c r="G767" s="5" t="s">
        <v>1361</v>
      </c>
      <c r="H767" s="148">
        <v>5</v>
      </c>
      <c r="I767" s="149">
        <v>13311</v>
      </c>
      <c r="J767" s="150">
        <v>0.2</v>
      </c>
      <c r="K767" s="149">
        <v>53244</v>
      </c>
      <c r="L767" s="149">
        <v>10620.38</v>
      </c>
      <c r="M767" s="5" t="s">
        <v>1313</v>
      </c>
      <c r="N767" s="5" t="s">
        <v>1362</v>
      </c>
      <c r="O767" s="5" t="s">
        <v>1363</v>
      </c>
      <c r="P767" s="5" t="s">
        <v>1348</v>
      </c>
      <c r="Q767" s="5" t="s">
        <v>1184</v>
      </c>
      <c r="R767" s="151">
        <v>4</v>
      </c>
      <c r="S767" s="143"/>
    </row>
    <row r="768" spans="1:19" x14ac:dyDescent="0.25">
      <c r="A768" s="5" t="s">
        <v>3629</v>
      </c>
      <c r="B768" s="147">
        <v>45747</v>
      </c>
      <c r="C768" s="5" t="s">
        <v>3630</v>
      </c>
      <c r="D768" s="5" t="s">
        <v>3631</v>
      </c>
      <c r="E768" s="5" t="s">
        <v>1318</v>
      </c>
      <c r="F768" s="5" t="s">
        <v>1319</v>
      </c>
      <c r="G768" s="5" t="s">
        <v>1320</v>
      </c>
      <c r="H768" s="148">
        <v>3</v>
      </c>
      <c r="I768" s="149">
        <v>7923</v>
      </c>
      <c r="J768" s="150">
        <v>0.1</v>
      </c>
      <c r="K768" s="149">
        <v>21392.1</v>
      </c>
      <c r="L768" s="149">
        <v>5378.61</v>
      </c>
      <c r="M768" s="5" t="s">
        <v>1126</v>
      </c>
      <c r="N768" s="5" t="s">
        <v>1321</v>
      </c>
      <c r="O768" s="5" t="s">
        <v>1322</v>
      </c>
      <c r="P768" s="5" t="s">
        <v>1299</v>
      </c>
      <c r="Q768" s="5" t="s">
        <v>1300</v>
      </c>
      <c r="R768" s="151">
        <v>3</v>
      </c>
      <c r="S768" s="143"/>
    </row>
    <row r="769" spans="1:19" x14ac:dyDescent="0.25">
      <c r="A769" s="5" t="s">
        <v>3632</v>
      </c>
      <c r="B769" s="147">
        <v>45864</v>
      </c>
      <c r="C769" s="5" t="s">
        <v>3633</v>
      </c>
      <c r="D769" s="5" t="s">
        <v>3634</v>
      </c>
      <c r="E769" s="5" t="s">
        <v>1331</v>
      </c>
      <c r="F769" s="5" t="s">
        <v>988</v>
      </c>
      <c r="G769" s="5" t="s">
        <v>1332</v>
      </c>
      <c r="H769" s="148">
        <v>2</v>
      </c>
      <c r="I769" s="149">
        <v>11665</v>
      </c>
      <c r="J769" s="150">
        <v>0.1</v>
      </c>
      <c r="K769" s="149">
        <v>20997</v>
      </c>
      <c r="L769" s="149">
        <v>5895.05</v>
      </c>
      <c r="M769" s="5" t="s">
        <v>1130</v>
      </c>
      <c r="N769" s="5" t="s">
        <v>1352</v>
      </c>
      <c r="O769" s="5" t="s">
        <v>1352</v>
      </c>
      <c r="P769" s="5" t="s">
        <v>1299</v>
      </c>
      <c r="Q769" s="5" t="s">
        <v>1300</v>
      </c>
      <c r="R769" s="151">
        <v>5</v>
      </c>
      <c r="S769" s="143"/>
    </row>
    <row r="770" spans="1:19" x14ac:dyDescent="0.25">
      <c r="A770" s="5" t="s">
        <v>3635</v>
      </c>
      <c r="B770" s="147">
        <v>45920</v>
      </c>
      <c r="C770" s="5" t="s">
        <v>3636</v>
      </c>
      <c r="D770" s="5" t="s">
        <v>3637</v>
      </c>
      <c r="E770" s="5" t="s">
        <v>1370</v>
      </c>
      <c r="F770" s="5" t="s">
        <v>1160</v>
      </c>
      <c r="G770" s="5" t="s">
        <v>1371</v>
      </c>
      <c r="H770" s="148">
        <v>4</v>
      </c>
      <c r="I770" s="149">
        <v>5811</v>
      </c>
      <c r="J770" s="150">
        <v>0.05</v>
      </c>
      <c r="K770" s="149">
        <v>22081.8</v>
      </c>
      <c r="L770" s="149">
        <v>4479.3100000000004</v>
      </c>
      <c r="M770" s="5" t="s">
        <v>1126</v>
      </c>
      <c r="N770" s="5" t="s">
        <v>1337</v>
      </c>
      <c r="O770" s="5" t="s">
        <v>1338</v>
      </c>
      <c r="P770" s="5" t="s">
        <v>1348</v>
      </c>
      <c r="Q770" s="5" t="s">
        <v>1300</v>
      </c>
      <c r="R770" s="151">
        <v>4</v>
      </c>
      <c r="S770" s="143"/>
    </row>
    <row r="771" spans="1:19" x14ac:dyDescent="0.25">
      <c r="A771" s="5" t="s">
        <v>3638</v>
      </c>
      <c r="B771" s="147">
        <v>45927</v>
      </c>
      <c r="C771" s="5" t="s">
        <v>3639</v>
      </c>
      <c r="D771" s="5" t="s">
        <v>3640</v>
      </c>
      <c r="E771" s="5" t="s">
        <v>1370</v>
      </c>
      <c r="F771" s="5" t="s">
        <v>1160</v>
      </c>
      <c r="G771" s="5" t="s">
        <v>1371</v>
      </c>
      <c r="H771" s="148">
        <v>4</v>
      </c>
      <c r="I771" s="149">
        <v>7474</v>
      </c>
      <c r="J771" s="150">
        <v>0.1</v>
      </c>
      <c r="K771" s="149">
        <v>26906.400000000001</v>
      </c>
      <c r="L771" s="149">
        <v>2387.54</v>
      </c>
      <c r="M771" s="5" t="s">
        <v>1313</v>
      </c>
      <c r="N771" s="5" t="s">
        <v>1352</v>
      </c>
      <c r="O771" s="5" t="s">
        <v>1352</v>
      </c>
      <c r="P771" s="5" t="s">
        <v>1314</v>
      </c>
      <c r="Q771" s="5" t="s">
        <v>1300</v>
      </c>
      <c r="R771" s="151">
        <v>2</v>
      </c>
      <c r="S771" s="143"/>
    </row>
    <row r="772" spans="1:19" x14ac:dyDescent="0.25">
      <c r="A772" s="5" t="s">
        <v>3641</v>
      </c>
      <c r="B772" s="147">
        <v>45761</v>
      </c>
      <c r="C772" s="5" t="s">
        <v>3642</v>
      </c>
      <c r="D772" s="5" t="s">
        <v>3643</v>
      </c>
      <c r="E772" s="5" t="s">
        <v>1318</v>
      </c>
      <c r="F772" s="5" t="s">
        <v>1319</v>
      </c>
      <c r="G772" s="5" t="s">
        <v>1320</v>
      </c>
      <c r="H772" s="148">
        <v>3</v>
      </c>
      <c r="I772" s="149">
        <v>4166</v>
      </c>
      <c r="J772" s="150">
        <v>0</v>
      </c>
      <c r="K772" s="149">
        <v>12498</v>
      </c>
      <c r="L772" s="149">
        <v>1966.44</v>
      </c>
      <c r="M772" s="5" t="s">
        <v>1126</v>
      </c>
      <c r="N772" s="5" t="s">
        <v>1352</v>
      </c>
      <c r="O772" s="5" t="s">
        <v>1352</v>
      </c>
      <c r="P772" s="5" t="s">
        <v>1327</v>
      </c>
      <c r="Q772" s="5" t="s">
        <v>1306</v>
      </c>
      <c r="R772" s="151">
        <v>1</v>
      </c>
      <c r="S772" s="143"/>
    </row>
    <row r="773" spans="1:19" x14ac:dyDescent="0.25">
      <c r="A773" s="5" t="s">
        <v>3644</v>
      </c>
      <c r="B773" s="147">
        <v>45670</v>
      </c>
      <c r="C773" s="5" t="s">
        <v>3645</v>
      </c>
      <c r="D773" s="5" t="s">
        <v>3646</v>
      </c>
      <c r="E773" s="5" t="s">
        <v>1295</v>
      </c>
      <c r="F773" s="5" t="s">
        <v>985</v>
      </c>
      <c r="G773" s="5" t="s">
        <v>1296</v>
      </c>
      <c r="H773" s="148">
        <v>5</v>
      </c>
      <c r="I773" s="149">
        <v>3041</v>
      </c>
      <c r="J773" s="150">
        <v>0.1</v>
      </c>
      <c r="K773" s="149">
        <v>13684.5</v>
      </c>
      <c r="L773" s="149">
        <v>1842.37</v>
      </c>
      <c r="M773" s="5" t="s">
        <v>1130</v>
      </c>
      <c r="N773" s="5" t="s">
        <v>1304</v>
      </c>
      <c r="O773" s="5" t="s">
        <v>1305</v>
      </c>
      <c r="P773" s="5" t="s">
        <v>1348</v>
      </c>
      <c r="Q773" s="5" t="s">
        <v>1184</v>
      </c>
      <c r="R773" s="151">
        <v>5</v>
      </c>
      <c r="S773" s="143"/>
    </row>
    <row r="774" spans="1:19" x14ac:dyDescent="0.25">
      <c r="A774" s="5" t="s">
        <v>3647</v>
      </c>
      <c r="B774" s="147">
        <v>45881</v>
      </c>
      <c r="C774" s="5" t="s">
        <v>3648</v>
      </c>
      <c r="D774" s="5" t="s">
        <v>3649</v>
      </c>
      <c r="E774" s="5" t="s">
        <v>1331</v>
      </c>
      <c r="F774" s="5" t="s">
        <v>988</v>
      </c>
      <c r="G774" s="5" t="s">
        <v>1332</v>
      </c>
      <c r="H774" s="148">
        <v>5</v>
      </c>
      <c r="I774" s="149">
        <v>9956</v>
      </c>
      <c r="J774" s="150">
        <v>0.05</v>
      </c>
      <c r="K774" s="149">
        <v>47291</v>
      </c>
      <c r="L774" s="149">
        <v>5522.64</v>
      </c>
      <c r="M774" s="5" t="s">
        <v>1126</v>
      </c>
      <c r="N774" s="5" t="s">
        <v>1337</v>
      </c>
      <c r="O774" s="5" t="s">
        <v>1338</v>
      </c>
      <c r="P774" s="5" t="s">
        <v>1299</v>
      </c>
      <c r="Q774" s="5" t="s">
        <v>1300</v>
      </c>
      <c r="R774" s="151">
        <v>3</v>
      </c>
      <c r="S774" s="143"/>
    </row>
    <row r="775" spans="1:19" x14ac:dyDescent="0.25">
      <c r="A775" s="5" t="s">
        <v>3650</v>
      </c>
      <c r="B775" s="147">
        <v>45847</v>
      </c>
      <c r="C775" s="5" t="s">
        <v>3651</v>
      </c>
      <c r="D775" s="5" t="s">
        <v>3652</v>
      </c>
      <c r="E775" s="5" t="s">
        <v>1310</v>
      </c>
      <c r="F775" s="5" t="s">
        <v>1311</v>
      </c>
      <c r="G775" s="5" t="s">
        <v>1312</v>
      </c>
      <c r="H775" s="148">
        <v>3</v>
      </c>
      <c r="I775" s="149">
        <v>619</v>
      </c>
      <c r="J775" s="150">
        <v>0.15</v>
      </c>
      <c r="K775" s="149">
        <v>1578.45</v>
      </c>
      <c r="L775" s="149">
        <v>441.41</v>
      </c>
      <c r="M775" s="5" t="s">
        <v>1130</v>
      </c>
      <c r="N775" s="5" t="s">
        <v>1352</v>
      </c>
      <c r="O775" s="5" t="s">
        <v>1352</v>
      </c>
      <c r="P775" s="5" t="s">
        <v>1323</v>
      </c>
      <c r="Q775" s="5" t="s">
        <v>1204</v>
      </c>
      <c r="R775" s="151">
        <v>4</v>
      </c>
      <c r="S775" s="143"/>
    </row>
    <row r="776" spans="1:19" x14ac:dyDescent="0.25">
      <c r="A776" s="5" t="s">
        <v>3653</v>
      </c>
      <c r="B776" s="147">
        <v>45996</v>
      </c>
      <c r="C776" s="5" t="s">
        <v>3654</v>
      </c>
      <c r="D776" s="5" t="s">
        <v>3655</v>
      </c>
      <c r="E776" s="5" t="s">
        <v>1342</v>
      </c>
      <c r="F776" s="5" t="s">
        <v>988</v>
      </c>
      <c r="G776" s="5" t="s">
        <v>1343</v>
      </c>
      <c r="H776" s="148">
        <v>3</v>
      </c>
      <c r="I776" s="149">
        <v>4852</v>
      </c>
      <c r="J776" s="150">
        <v>0.05</v>
      </c>
      <c r="K776" s="149">
        <v>13828.2</v>
      </c>
      <c r="L776" s="149">
        <v>1574.45</v>
      </c>
      <c r="M776" s="5" t="s">
        <v>1313</v>
      </c>
      <c r="N776" s="5" t="s">
        <v>1297</v>
      </c>
      <c r="O776" s="5" t="s">
        <v>1298</v>
      </c>
      <c r="P776" s="5" t="s">
        <v>1314</v>
      </c>
      <c r="Q776" s="5" t="s">
        <v>1306</v>
      </c>
      <c r="R776" s="151">
        <v>3</v>
      </c>
      <c r="S776" s="143"/>
    </row>
    <row r="777" spans="1:19" x14ac:dyDescent="0.25">
      <c r="A777" s="5" t="s">
        <v>3656</v>
      </c>
      <c r="B777" s="147">
        <v>45776</v>
      </c>
      <c r="C777" s="5" t="s">
        <v>3657</v>
      </c>
      <c r="D777" s="5" t="s">
        <v>3658</v>
      </c>
      <c r="E777" s="5" t="s">
        <v>1310</v>
      </c>
      <c r="F777" s="5" t="s">
        <v>1311</v>
      </c>
      <c r="G777" s="5" t="s">
        <v>1312</v>
      </c>
      <c r="H777" s="148">
        <v>3</v>
      </c>
      <c r="I777" s="149">
        <v>10913</v>
      </c>
      <c r="J777" s="150">
        <v>0.05</v>
      </c>
      <c r="K777" s="149">
        <v>31102.05</v>
      </c>
      <c r="L777" s="149">
        <v>8398.24</v>
      </c>
      <c r="M777" s="5" t="s">
        <v>1130</v>
      </c>
      <c r="N777" s="5" t="s">
        <v>1321</v>
      </c>
      <c r="O777" s="5" t="s">
        <v>1322</v>
      </c>
      <c r="P777" s="5" t="s">
        <v>1314</v>
      </c>
      <c r="Q777" s="5" t="s">
        <v>1306</v>
      </c>
      <c r="R777" s="151">
        <v>3</v>
      </c>
      <c r="S777" s="143"/>
    </row>
    <row r="778" spans="1:19" x14ac:dyDescent="0.25">
      <c r="A778" s="5" t="s">
        <v>3659</v>
      </c>
      <c r="B778" s="147">
        <v>45761</v>
      </c>
      <c r="C778" s="5" t="s">
        <v>3660</v>
      </c>
      <c r="D778" s="5" t="s">
        <v>3661</v>
      </c>
      <c r="E778" s="5" t="s">
        <v>1195</v>
      </c>
      <c r="F778" s="5" t="s">
        <v>988</v>
      </c>
      <c r="G778" s="5" t="s">
        <v>1336</v>
      </c>
      <c r="H778" s="148">
        <v>5</v>
      </c>
      <c r="I778" s="149">
        <v>1628</v>
      </c>
      <c r="J778" s="150">
        <v>0.05</v>
      </c>
      <c r="K778" s="149">
        <v>7733</v>
      </c>
      <c r="L778" s="149">
        <v>1435.26</v>
      </c>
      <c r="M778" s="5" t="s">
        <v>1126</v>
      </c>
      <c r="N778" s="5" t="s">
        <v>1297</v>
      </c>
      <c r="O778" s="5" t="s">
        <v>1298</v>
      </c>
      <c r="P778" s="5" t="s">
        <v>1299</v>
      </c>
      <c r="Q778" s="5" t="s">
        <v>1306</v>
      </c>
      <c r="R778" s="151">
        <v>3</v>
      </c>
      <c r="S778" s="143"/>
    </row>
    <row r="779" spans="1:19" x14ac:dyDescent="0.25">
      <c r="A779" s="5" t="s">
        <v>3662</v>
      </c>
      <c r="B779" s="147">
        <v>45996</v>
      </c>
      <c r="C779" s="5" t="s">
        <v>3663</v>
      </c>
      <c r="D779" s="5" t="s">
        <v>3664</v>
      </c>
      <c r="E779" s="5" t="s">
        <v>1310</v>
      </c>
      <c r="F779" s="5" t="s">
        <v>1311</v>
      </c>
      <c r="G779" s="5" t="s">
        <v>1312</v>
      </c>
      <c r="H779" s="148">
        <v>3</v>
      </c>
      <c r="I779" s="149">
        <v>12555</v>
      </c>
      <c r="J779" s="150">
        <v>0.1</v>
      </c>
      <c r="K779" s="149">
        <v>33898.5</v>
      </c>
      <c r="L779" s="149">
        <v>4513.74</v>
      </c>
      <c r="M779" s="5" t="s">
        <v>1130</v>
      </c>
      <c r="N779" s="5" t="s">
        <v>1352</v>
      </c>
      <c r="O779" s="5" t="s">
        <v>1352</v>
      </c>
      <c r="P779" s="5" t="s">
        <v>1314</v>
      </c>
      <c r="Q779" s="5" t="s">
        <v>1306</v>
      </c>
      <c r="R779" s="151">
        <v>1</v>
      </c>
      <c r="S779" s="143"/>
    </row>
    <row r="780" spans="1:19" x14ac:dyDescent="0.25">
      <c r="A780" s="5" t="s">
        <v>3665</v>
      </c>
      <c r="B780" s="147">
        <v>45949</v>
      </c>
      <c r="C780" s="5" t="s">
        <v>3666</v>
      </c>
      <c r="D780" s="5" t="s">
        <v>3667</v>
      </c>
      <c r="E780" s="5" t="s">
        <v>1295</v>
      </c>
      <c r="F780" s="5" t="s">
        <v>985</v>
      </c>
      <c r="G780" s="5" t="s">
        <v>1296</v>
      </c>
      <c r="H780" s="148">
        <v>4</v>
      </c>
      <c r="I780" s="149">
        <v>5120</v>
      </c>
      <c r="J780" s="150">
        <v>0.15</v>
      </c>
      <c r="K780" s="149">
        <v>17408</v>
      </c>
      <c r="L780" s="149">
        <v>4101.03</v>
      </c>
      <c r="M780" s="5" t="s">
        <v>1344</v>
      </c>
      <c r="N780" s="5" t="s">
        <v>1337</v>
      </c>
      <c r="O780" s="5" t="s">
        <v>1338</v>
      </c>
      <c r="P780" s="5" t="s">
        <v>1314</v>
      </c>
      <c r="Q780" s="5" t="s">
        <v>1300</v>
      </c>
      <c r="R780" s="151">
        <v>1</v>
      </c>
      <c r="S780" s="143"/>
    </row>
    <row r="781" spans="1:19" x14ac:dyDescent="0.25">
      <c r="A781" s="5" t="s">
        <v>3668</v>
      </c>
      <c r="B781" s="147">
        <v>45901</v>
      </c>
      <c r="C781" s="5" t="s">
        <v>3669</v>
      </c>
      <c r="D781" s="5" t="s">
        <v>3670</v>
      </c>
      <c r="E781" s="5" t="s">
        <v>1318</v>
      </c>
      <c r="F781" s="5" t="s">
        <v>1319</v>
      </c>
      <c r="G781" s="5" t="s">
        <v>1320</v>
      </c>
      <c r="H781" s="148">
        <v>1</v>
      </c>
      <c r="I781" s="149">
        <v>10105</v>
      </c>
      <c r="J781" s="150">
        <v>0.1</v>
      </c>
      <c r="K781" s="149">
        <v>9094.5</v>
      </c>
      <c r="L781" s="149">
        <v>1790.66</v>
      </c>
      <c r="M781" s="5" t="s">
        <v>1313</v>
      </c>
      <c r="N781" s="5" t="s">
        <v>1337</v>
      </c>
      <c r="O781" s="5" t="s">
        <v>1338</v>
      </c>
      <c r="P781" s="5" t="s">
        <v>1323</v>
      </c>
      <c r="Q781" s="5" t="s">
        <v>1300</v>
      </c>
      <c r="R781" s="151">
        <v>3</v>
      </c>
      <c r="S781" s="143"/>
    </row>
    <row r="782" spans="1:19" x14ac:dyDescent="0.25">
      <c r="A782" s="5" t="s">
        <v>3671</v>
      </c>
      <c r="B782" s="147">
        <v>45861</v>
      </c>
      <c r="C782" s="5" t="s">
        <v>3672</v>
      </c>
      <c r="D782" s="5" t="s">
        <v>3673</v>
      </c>
      <c r="E782" s="5" t="s">
        <v>1310</v>
      </c>
      <c r="F782" s="5" t="s">
        <v>1311</v>
      </c>
      <c r="G782" s="5" t="s">
        <v>1312</v>
      </c>
      <c r="H782" s="148">
        <v>4</v>
      </c>
      <c r="I782" s="149">
        <v>3114</v>
      </c>
      <c r="J782" s="150">
        <v>0.15</v>
      </c>
      <c r="K782" s="149">
        <v>10587.6</v>
      </c>
      <c r="L782" s="149">
        <v>1832.54</v>
      </c>
      <c r="M782" s="5" t="s">
        <v>1126</v>
      </c>
      <c r="N782" s="5" t="s">
        <v>1352</v>
      </c>
      <c r="O782" s="5" t="s">
        <v>1352</v>
      </c>
      <c r="P782" s="5" t="s">
        <v>1327</v>
      </c>
      <c r="Q782" s="5" t="s">
        <v>1204</v>
      </c>
      <c r="R782" s="151">
        <v>1</v>
      </c>
      <c r="S782" s="143"/>
    </row>
    <row r="783" spans="1:19" x14ac:dyDescent="0.25">
      <c r="A783" s="5" t="s">
        <v>3674</v>
      </c>
      <c r="B783" s="147">
        <v>45909</v>
      </c>
      <c r="C783" s="5" t="s">
        <v>3675</v>
      </c>
      <c r="D783" s="5" t="s">
        <v>3676</v>
      </c>
      <c r="E783" s="5" t="s">
        <v>1195</v>
      </c>
      <c r="F783" s="5" t="s">
        <v>988</v>
      </c>
      <c r="G783" s="5" t="s">
        <v>1336</v>
      </c>
      <c r="H783" s="148">
        <v>1</v>
      </c>
      <c r="I783" s="149">
        <v>4995</v>
      </c>
      <c r="J783" s="150">
        <v>0.15</v>
      </c>
      <c r="K783" s="149">
        <v>4245.75</v>
      </c>
      <c r="L783" s="149">
        <v>427.26</v>
      </c>
      <c r="M783" s="5" t="s">
        <v>1381</v>
      </c>
      <c r="N783" s="5" t="s">
        <v>1321</v>
      </c>
      <c r="O783" s="5" t="s">
        <v>1322</v>
      </c>
      <c r="P783" s="5" t="s">
        <v>1327</v>
      </c>
      <c r="Q783" s="5" t="s">
        <v>1184</v>
      </c>
      <c r="R783" s="151">
        <v>5</v>
      </c>
      <c r="S783" s="143"/>
    </row>
    <row r="784" spans="1:19" x14ac:dyDescent="0.25">
      <c r="A784" s="5" t="s">
        <v>3677</v>
      </c>
      <c r="B784" s="147">
        <v>45782</v>
      </c>
      <c r="C784" s="5" t="s">
        <v>3678</v>
      </c>
      <c r="D784" s="5" t="s">
        <v>3679</v>
      </c>
      <c r="E784" s="5" t="s">
        <v>1295</v>
      </c>
      <c r="F784" s="5" t="s">
        <v>985</v>
      </c>
      <c r="G784" s="5" t="s">
        <v>1296</v>
      </c>
      <c r="H784" s="148">
        <v>1</v>
      </c>
      <c r="I784" s="149">
        <v>10557</v>
      </c>
      <c r="J784" s="150">
        <v>0.1</v>
      </c>
      <c r="K784" s="149">
        <v>9501.2999999999993</v>
      </c>
      <c r="L784" s="149">
        <v>1954.8</v>
      </c>
      <c r="M784" s="5" t="s">
        <v>1126</v>
      </c>
      <c r="N784" s="5" t="s">
        <v>1337</v>
      </c>
      <c r="O784" s="5" t="s">
        <v>1338</v>
      </c>
      <c r="P784" s="5" t="s">
        <v>1314</v>
      </c>
      <c r="Q784" s="5" t="s">
        <v>1204</v>
      </c>
      <c r="R784" s="151">
        <v>5</v>
      </c>
      <c r="S784" s="143"/>
    </row>
    <row r="785" spans="1:19" x14ac:dyDescent="0.25">
      <c r="A785" s="5" t="s">
        <v>3680</v>
      </c>
      <c r="B785" s="147">
        <v>45717</v>
      </c>
      <c r="C785" s="5" t="s">
        <v>3681</v>
      </c>
      <c r="D785" s="5" t="s">
        <v>3682</v>
      </c>
      <c r="E785" s="5" t="s">
        <v>1310</v>
      </c>
      <c r="F785" s="5" t="s">
        <v>1311</v>
      </c>
      <c r="G785" s="5" t="s">
        <v>1312</v>
      </c>
      <c r="H785" s="148">
        <v>5</v>
      </c>
      <c r="I785" s="149">
        <v>1898</v>
      </c>
      <c r="J785" s="150">
        <v>0</v>
      </c>
      <c r="K785" s="149">
        <v>9490</v>
      </c>
      <c r="L785" s="149">
        <v>1861.7</v>
      </c>
      <c r="M785" s="5" t="s">
        <v>1344</v>
      </c>
      <c r="N785" s="5" t="s">
        <v>1337</v>
      </c>
      <c r="O785" s="5" t="s">
        <v>1338</v>
      </c>
      <c r="P785" s="5" t="s">
        <v>1323</v>
      </c>
      <c r="Q785" s="5" t="s">
        <v>1300</v>
      </c>
      <c r="R785" s="151">
        <v>1</v>
      </c>
      <c r="S785" s="143"/>
    </row>
    <row r="786" spans="1:19" x14ac:dyDescent="0.25">
      <c r="A786" s="5" t="s">
        <v>3683</v>
      </c>
      <c r="B786" s="147">
        <v>45978</v>
      </c>
      <c r="C786" s="5" t="s">
        <v>3684</v>
      </c>
      <c r="D786" s="5" t="s">
        <v>3685</v>
      </c>
      <c r="E786" s="5" t="s">
        <v>1370</v>
      </c>
      <c r="F786" s="5" t="s">
        <v>1160</v>
      </c>
      <c r="G786" s="5" t="s">
        <v>1371</v>
      </c>
      <c r="H786" s="148">
        <v>4</v>
      </c>
      <c r="I786" s="149">
        <v>5433</v>
      </c>
      <c r="J786" s="150">
        <v>0</v>
      </c>
      <c r="K786" s="149">
        <v>21732</v>
      </c>
      <c r="L786" s="149">
        <v>5121.5</v>
      </c>
      <c r="M786" s="5" t="s">
        <v>1126</v>
      </c>
      <c r="N786" s="5" t="s">
        <v>1321</v>
      </c>
      <c r="O786" s="5" t="s">
        <v>1322</v>
      </c>
      <c r="P786" s="5" t="s">
        <v>1348</v>
      </c>
      <c r="Q786" s="5" t="s">
        <v>1184</v>
      </c>
      <c r="R786" s="151">
        <v>2</v>
      </c>
      <c r="S786" s="143"/>
    </row>
    <row r="787" spans="1:19" x14ac:dyDescent="0.25">
      <c r="A787" s="5" t="s">
        <v>3686</v>
      </c>
      <c r="B787" s="147">
        <v>45942</v>
      </c>
      <c r="C787" s="5" t="s">
        <v>3687</v>
      </c>
      <c r="D787" s="5" t="s">
        <v>3688</v>
      </c>
      <c r="E787" s="5" t="s">
        <v>1359</v>
      </c>
      <c r="F787" s="5" t="s">
        <v>1360</v>
      </c>
      <c r="G787" s="5" t="s">
        <v>1361</v>
      </c>
      <c r="H787" s="148">
        <v>4</v>
      </c>
      <c r="I787" s="149">
        <v>5886</v>
      </c>
      <c r="J787" s="150">
        <v>0.2</v>
      </c>
      <c r="K787" s="149">
        <v>18835.2</v>
      </c>
      <c r="L787" s="149">
        <v>2005.6</v>
      </c>
      <c r="M787" s="5" t="s">
        <v>1313</v>
      </c>
      <c r="N787" s="5" t="s">
        <v>1321</v>
      </c>
      <c r="O787" s="5" t="s">
        <v>1322</v>
      </c>
      <c r="P787" s="5" t="s">
        <v>1299</v>
      </c>
      <c r="Q787" s="5" t="s">
        <v>1306</v>
      </c>
      <c r="R787" s="151">
        <v>2</v>
      </c>
      <c r="S787" s="143"/>
    </row>
    <row r="788" spans="1:19" x14ac:dyDescent="0.25">
      <c r="A788" s="5" t="s">
        <v>3689</v>
      </c>
      <c r="B788" s="147">
        <v>45676</v>
      </c>
      <c r="C788" s="5" t="s">
        <v>3690</v>
      </c>
      <c r="D788" s="5" t="s">
        <v>3691</v>
      </c>
      <c r="E788" s="5" t="s">
        <v>1318</v>
      </c>
      <c r="F788" s="5" t="s">
        <v>1319</v>
      </c>
      <c r="G788" s="5" t="s">
        <v>1320</v>
      </c>
      <c r="H788" s="148">
        <v>3</v>
      </c>
      <c r="I788" s="149">
        <v>3025</v>
      </c>
      <c r="J788" s="150">
        <v>0.1</v>
      </c>
      <c r="K788" s="149">
        <v>8167.5</v>
      </c>
      <c r="L788" s="149">
        <v>2231.81</v>
      </c>
      <c r="M788" s="5" t="s">
        <v>1130</v>
      </c>
      <c r="N788" s="5" t="s">
        <v>1304</v>
      </c>
      <c r="O788" s="5" t="s">
        <v>1305</v>
      </c>
      <c r="P788" s="5" t="s">
        <v>1348</v>
      </c>
      <c r="Q788" s="5" t="s">
        <v>1184</v>
      </c>
      <c r="R788" s="151">
        <v>5</v>
      </c>
      <c r="S788" s="143"/>
    </row>
    <row r="789" spans="1:19" x14ac:dyDescent="0.25">
      <c r="A789" s="5" t="s">
        <v>3692</v>
      </c>
      <c r="B789" s="147">
        <v>45989</v>
      </c>
      <c r="C789" s="5" t="s">
        <v>3693</v>
      </c>
      <c r="D789" s="5" t="s">
        <v>3694</v>
      </c>
      <c r="E789" s="5" t="s">
        <v>1318</v>
      </c>
      <c r="F789" s="5" t="s">
        <v>1319</v>
      </c>
      <c r="G789" s="5" t="s">
        <v>1320</v>
      </c>
      <c r="H789" s="148">
        <v>2</v>
      </c>
      <c r="I789" s="149">
        <v>6276</v>
      </c>
      <c r="J789" s="150">
        <v>0.1</v>
      </c>
      <c r="K789" s="149">
        <v>11296.8</v>
      </c>
      <c r="L789" s="149">
        <v>2440.1</v>
      </c>
      <c r="M789" s="5" t="s">
        <v>1381</v>
      </c>
      <c r="N789" s="5" t="s">
        <v>1362</v>
      </c>
      <c r="O789" s="5" t="s">
        <v>1363</v>
      </c>
      <c r="P789" s="5" t="s">
        <v>1299</v>
      </c>
      <c r="Q789" s="5" t="s">
        <v>1306</v>
      </c>
      <c r="R789" s="151">
        <v>4</v>
      </c>
      <c r="S789" s="143"/>
    </row>
    <row r="790" spans="1:19" x14ac:dyDescent="0.25">
      <c r="A790" s="5" t="s">
        <v>3695</v>
      </c>
      <c r="B790" s="147">
        <v>45684</v>
      </c>
      <c r="C790" s="5" t="s">
        <v>3696</v>
      </c>
      <c r="D790" s="5" t="s">
        <v>3697</v>
      </c>
      <c r="E790" s="5" t="s">
        <v>1310</v>
      </c>
      <c r="F790" s="5" t="s">
        <v>1311</v>
      </c>
      <c r="G790" s="5" t="s">
        <v>1312</v>
      </c>
      <c r="H790" s="148">
        <v>1</v>
      </c>
      <c r="I790" s="149">
        <v>11699</v>
      </c>
      <c r="J790" s="150">
        <v>0</v>
      </c>
      <c r="K790" s="149">
        <v>11699</v>
      </c>
      <c r="L790" s="149">
        <v>3290.91</v>
      </c>
      <c r="M790" s="5" t="s">
        <v>1313</v>
      </c>
      <c r="N790" s="5" t="s">
        <v>1304</v>
      </c>
      <c r="O790" s="5" t="s">
        <v>1305</v>
      </c>
      <c r="P790" s="5" t="s">
        <v>1299</v>
      </c>
      <c r="Q790" s="5" t="s">
        <v>1306</v>
      </c>
      <c r="R790" s="151">
        <v>2</v>
      </c>
      <c r="S790" s="143"/>
    </row>
    <row r="791" spans="1:19" x14ac:dyDescent="0.25">
      <c r="A791" s="5" t="s">
        <v>3698</v>
      </c>
      <c r="B791" s="147">
        <v>45885</v>
      </c>
      <c r="C791" s="5" t="s">
        <v>3699</v>
      </c>
      <c r="D791" s="5" t="s">
        <v>3700</v>
      </c>
      <c r="E791" s="5" t="s">
        <v>1295</v>
      </c>
      <c r="F791" s="5" t="s">
        <v>985</v>
      </c>
      <c r="G791" s="5" t="s">
        <v>1296</v>
      </c>
      <c r="H791" s="148">
        <v>5</v>
      </c>
      <c r="I791" s="149">
        <v>12780</v>
      </c>
      <c r="J791" s="150">
        <v>0.05</v>
      </c>
      <c r="K791" s="149">
        <v>60705</v>
      </c>
      <c r="L791" s="149">
        <v>9407.3799999999992</v>
      </c>
      <c r="M791" s="5" t="s">
        <v>1344</v>
      </c>
      <c r="N791" s="5" t="s">
        <v>1337</v>
      </c>
      <c r="O791" s="5" t="s">
        <v>1338</v>
      </c>
      <c r="P791" s="5" t="s">
        <v>1348</v>
      </c>
      <c r="Q791" s="5" t="s">
        <v>1300</v>
      </c>
      <c r="R791" s="151">
        <v>3</v>
      </c>
      <c r="S791" s="143"/>
    </row>
    <row r="792" spans="1:19" x14ac:dyDescent="0.25">
      <c r="A792" s="5" t="s">
        <v>3701</v>
      </c>
      <c r="B792" s="147">
        <v>45824</v>
      </c>
      <c r="C792" s="5" t="s">
        <v>3702</v>
      </c>
      <c r="D792" s="5" t="s">
        <v>3703</v>
      </c>
      <c r="E792" s="5" t="s">
        <v>1359</v>
      </c>
      <c r="F792" s="5" t="s">
        <v>1360</v>
      </c>
      <c r="G792" s="5" t="s">
        <v>1361</v>
      </c>
      <c r="H792" s="148">
        <v>3</v>
      </c>
      <c r="I792" s="149">
        <v>5290</v>
      </c>
      <c r="J792" s="150">
        <v>0.05</v>
      </c>
      <c r="K792" s="149">
        <v>15076.5</v>
      </c>
      <c r="L792" s="149">
        <v>2891.87</v>
      </c>
      <c r="M792" s="5" t="s">
        <v>1313</v>
      </c>
      <c r="N792" s="5" t="s">
        <v>1337</v>
      </c>
      <c r="O792" s="5" t="s">
        <v>1338</v>
      </c>
      <c r="P792" s="5" t="s">
        <v>1299</v>
      </c>
      <c r="Q792" s="5" t="s">
        <v>1184</v>
      </c>
      <c r="R792" s="151">
        <v>4</v>
      </c>
      <c r="S792" s="143"/>
    </row>
    <row r="793" spans="1:19" x14ac:dyDescent="0.25">
      <c r="A793" s="5" t="s">
        <v>3704</v>
      </c>
      <c r="B793" s="147">
        <v>45674</v>
      </c>
      <c r="C793" s="5" t="s">
        <v>3705</v>
      </c>
      <c r="D793" s="5" t="s">
        <v>3706</v>
      </c>
      <c r="E793" s="5" t="s">
        <v>1342</v>
      </c>
      <c r="F793" s="5" t="s">
        <v>988</v>
      </c>
      <c r="G793" s="5" t="s">
        <v>1343</v>
      </c>
      <c r="H793" s="148">
        <v>3</v>
      </c>
      <c r="I793" s="149">
        <v>13310</v>
      </c>
      <c r="J793" s="150">
        <v>0.05</v>
      </c>
      <c r="K793" s="149">
        <v>37933.5</v>
      </c>
      <c r="L793" s="149">
        <v>10742.63</v>
      </c>
      <c r="M793" s="5" t="s">
        <v>1344</v>
      </c>
      <c r="N793" s="5" t="s">
        <v>1297</v>
      </c>
      <c r="O793" s="5" t="s">
        <v>1298</v>
      </c>
      <c r="P793" s="5" t="s">
        <v>1327</v>
      </c>
      <c r="Q793" s="5" t="s">
        <v>1204</v>
      </c>
      <c r="R793" s="151">
        <v>4</v>
      </c>
      <c r="S793" s="143"/>
    </row>
    <row r="794" spans="1:19" x14ac:dyDescent="0.25">
      <c r="A794" s="5" t="s">
        <v>3707</v>
      </c>
      <c r="B794" s="147">
        <v>46004</v>
      </c>
      <c r="C794" s="5" t="s">
        <v>3708</v>
      </c>
      <c r="D794" s="5" t="s">
        <v>3709</v>
      </c>
      <c r="E794" s="5" t="s">
        <v>1318</v>
      </c>
      <c r="F794" s="5" t="s">
        <v>1319</v>
      </c>
      <c r="G794" s="5" t="s">
        <v>1320</v>
      </c>
      <c r="H794" s="148">
        <v>5</v>
      </c>
      <c r="I794" s="149">
        <v>6095</v>
      </c>
      <c r="J794" s="150">
        <v>0.15</v>
      </c>
      <c r="K794" s="149">
        <v>25903.75</v>
      </c>
      <c r="L794" s="149">
        <v>5018.2700000000004</v>
      </c>
      <c r="M794" s="5" t="s">
        <v>1126</v>
      </c>
      <c r="N794" s="5" t="s">
        <v>1337</v>
      </c>
      <c r="O794" s="5" t="s">
        <v>1338</v>
      </c>
      <c r="P794" s="5" t="s">
        <v>1323</v>
      </c>
      <c r="Q794" s="5" t="s">
        <v>1184</v>
      </c>
      <c r="R794" s="151">
        <v>5</v>
      </c>
      <c r="S794" s="143"/>
    </row>
    <row r="795" spans="1:19" x14ac:dyDescent="0.25">
      <c r="A795" s="5" t="s">
        <v>3710</v>
      </c>
      <c r="B795" s="147">
        <v>45659</v>
      </c>
      <c r="C795" s="5" t="s">
        <v>3711</v>
      </c>
      <c r="D795" s="5" t="s">
        <v>3712</v>
      </c>
      <c r="E795" s="5" t="s">
        <v>1342</v>
      </c>
      <c r="F795" s="5" t="s">
        <v>988</v>
      </c>
      <c r="G795" s="5" t="s">
        <v>1343</v>
      </c>
      <c r="H795" s="148">
        <v>2</v>
      </c>
      <c r="I795" s="149">
        <v>9859</v>
      </c>
      <c r="J795" s="150">
        <v>0</v>
      </c>
      <c r="K795" s="149">
        <v>19718</v>
      </c>
      <c r="L795" s="149">
        <v>2780.28</v>
      </c>
      <c r="M795" s="5" t="s">
        <v>1344</v>
      </c>
      <c r="N795" s="5" t="s">
        <v>1321</v>
      </c>
      <c r="O795" s="5" t="s">
        <v>1322</v>
      </c>
      <c r="P795" s="5" t="s">
        <v>1299</v>
      </c>
      <c r="Q795" s="5" t="s">
        <v>1306</v>
      </c>
      <c r="R795" s="151">
        <v>1</v>
      </c>
      <c r="S795" s="143"/>
    </row>
    <row r="796" spans="1:19" x14ac:dyDescent="0.25">
      <c r="A796" s="5" t="s">
        <v>3713</v>
      </c>
      <c r="B796" s="147">
        <v>45680</v>
      </c>
      <c r="C796" s="5" t="s">
        <v>3714</v>
      </c>
      <c r="D796" s="5" t="s">
        <v>3715</v>
      </c>
      <c r="E796" s="5" t="s">
        <v>1295</v>
      </c>
      <c r="F796" s="5" t="s">
        <v>985</v>
      </c>
      <c r="G796" s="5" t="s">
        <v>1296</v>
      </c>
      <c r="H796" s="148">
        <v>4</v>
      </c>
      <c r="I796" s="149">
        <v>12467</v>
      </c>
      <c r="J796" s="150">
        <v>0.05</v>
      </c>
      <c r="K796" s="149">
        <v>47374.6</v>
      </c>
      <c r="L796" s="149">
        <v>10462.93</v>
      </c>
      <c r="M796" s="5" t="s">
        <v>1381</v>
      </c>
      <c r="N796" s="5" t="s">
        <v>1362</v>
      </c>
      <c r="O796" s="5" t="s">
        <v>1363</v>
      </c>
      <c r="P796" s="5" t="s">
        <v>1327</v>
      </c>
      <c r="Q796" s="5" t="s">
        <v>1306</v>
      </c>
      <c r="R796" s="151">
        <v>5</v>
      </c>
      <c r="S796" s="143"/>
    </row>
    <row r="797" spans="1:19" x14ac:dyDescent="0.25">
      <c r="A797" s="5" t="s">
        <v>3716</v>
      </c>
      <c r="B797" s="147">
        <v>45961</v>
      </c>
      <c r="C797" s="5" t="s">
        <v>3717</v>
      </c>
      <c r="D797" s="5" t="s">
        <v>3718</v>
      </c>
      <c r="E797" s="5" t="s">
        <v>1331</v>
      </c>
      <c r="F797" s="5" t="s">
        <v>988</v>
      </c>
      <c r="G797" s="5" t="s">
        <v>1332</v>
      </c>
      <c r="H797" s="148">
        <v>5</v>
      </c>
      <c r="I797" s="149">
        <v>5080</v>
      </c>
      <c r="J797" s="150">
        <v>0.05</v>
      </c>
      <c r="K797" s="149">
        <v>24130</v>
      </c>
      <c r="L797" s="149">
        <v>6363.89</v>
      </c>
      <c r="M797" s="5" t="s">
        <v>1126</v>
      </c>
      <c r="N797" s="5" t="s">
        <v>1297</v>
      </c>
      <c r="O797" s="5" t="s">
        <v>1298</v>
      </c>
      <c r="P797" s="5" t="s">
        <v>1348</v>
      </c>
      <c r="Q797" s="5" t="s">
        <v>1204</v>
      </c>
      <c r="R797" s="151">
        <v>2</v>
      </c>
      <c r="S797" s="143"/>
    </row>
    <row r="798" spans="1:19" x14ac:dyDescent="0.25">
      <c r="A798" s="5" t="s">
        <v>3719</v>
      </c>
      <c r="B798" s="147">
        <v>45763</v>
      </c>
      <c r="C798" s="5" t="s">
        <v>3720</v>
      </c>
      <c r="D798" s="5" t="s">
        <v>3721</v>
      </c>
      <c r="E798" s="5" t="s">
        <v>1295</v>
      </c>
      <c r="F798" s="5" t="s">
        <v>985</v>
      </c>
      <c r="G798" s="5" t="s">
        <v>1296</v>
      </c>
      <c r="H798" s="148">
        <v>5</v>
      </c>
      <c r="I798" s="149">
        <v>10388</v>
      </c>
      <c r="J798" s="150">
        <v>0</v>
      </c>
      <c r="K798" s="149">
        <v>51940</v>
      </c>
      <c r="L798" s="149">
        <v>10615.92</v>
      </c>
      <c r="M798" s="5" t="s">
        <v>1126</v>
      </c>
      <c r="N798" s="5" t="s">
        <v>1321</v>
      </c>
      <c r="O798" s="5" t="s">
        <v>1322</v>
      </c>
      <c r="P798" s="5" t="s">
        <v>1348</v>
      </c>
      <c r="Q798" s="5" t="s">
        <v>1184</v>
      </c>
      <c r="R798" s="151">
        <v>5</v>
      </c>
      <c r="S798" s="143"/>
    </row>
    <row r="799" spans="1:19" x14ac:dyDescent="0.25">
      <c r="A799" s="5" t="s">
        <v>3722</v>
      </c>
      <c r="B799" s="147">
        <v>45995</v>
      </c>
      <c r="C799" s="5" t="s">
        <v>3723</v>
      </c>
      <c r="D799" s="5" t="s">
        <v>3724</v>
      </c>
      <c r="E799" s="5" t="s">
        <v>1370</v>
      </c>
      <c r="F799" s="5" t="s">
        <v>1160</v>
      </c>
      <c r="G799" s="5" t="s">
        <v>1371</v>
      </c>
      <c r="H799" s="148">
        <v>1</v>
      </c>
      <c r="I799" s="149">
        <v>6198</v>
      </c>
      <c r="J799" s="150">
        <v>0.1</v>
      </c>
      <c r="K799" s="149">
        <v>5578.2</v>
      </c>
      <c r="L799" s="149">
        <v>1026.45</v>
      </c>
      <c r="M799" s="5" t="s">
        <v>1344</v>
      </c>
      <c r="N799" s="5" t="s">
        <v>1304</v>
      </c>
      <c r="O799" s="5" t="s">
        <v>1305</v>
      </c>
      <c r="P799" s="5" t="s">
        <v>1327</v>
      </c>
      <c r="Q799" s="5" t="s">
        <v>1300</v>
      </c>
      <c r="R799" s="151">
        <v>2</v>
      </c>
      <c r="S799" s="143"/>
    </row>
    <row r="800" spans="1:19" x14ac:dyDescent="0.25">
      <c r="A800" s="5" t="s">
        <v>3725</v>
      </c>
      <c r="B800" s="147">
        <v>45994</v>
      </c>
      <c r="C800" s="5" t="s">
        <v>3726</v>
      </c>
      <c r="D800" s="5" t="s">
        <v>3727</v>
      </c>
      <c r="E800" s="5" t="s">
        <v>1310</v>
      </c>
      <c r="F800" s="5" t="s">
        <v>1311</v>
      </c>
      <c r="G800" s="5" t="s">
        <v>1312</v>
      </c>
      <c r="H800" s="148">
        <v>5</v>
      </c>
      <c r="I800" s="149">
        <v>12408</v>
      </c>
      <c r="J800" s="150">
        <v>0.1</v>
      </c>
      <c r="K800" s="149">
        <v>55836</v>
      </c>
      <c r="L800" s="149">
        <v>14108.3</v>
      </c>
      <c r="M800" s="5" t="s">
        <v>1381</v>
      </c>
      <c r="N800" s="5" t="s">
        <v>1362</v>
      </c>
      <c r="O800" s="5" t="s">
        <v>1363</v>
      </c>
      <c r="P800" s="5" t="s">
        <v>1327</v>
      </c>
      <c r="Q800" s="5" t="s">
        <v>1204</v>
      </c>
      <c r="R800" s="151">
        <v>1</v>
      </c>
      <c r="S800" s="143"/>
    </row>
    <row r="801" spans="1:19" x14ac:dyDescent="0.25">
      <c r="A801" s="5" t="s">
        <v>3728</v>
      </c>
      <c r="B801" s="147">
        <v>45782</v>
      </c>
      <c r="C801" s="5" t="s">
        <v>3729</v>
      </c>
      <c r="D801" s="5" t="s">
        <v>3730</v>
      </c>
      <c r="E801" s="5" t="s">
        <v>1318</v>
      </c>
      <c r="F801" s="5" t="s">
        <v>1319</v>
      </c>
      <c r="G801" s="5" t="s">
        <v>1320</v>
      </c>
      <c r="H801" s="148">
        <v>3</v>
      </c>
      <c r="I801" s="149">
        <v>11988</v>
      </c>
      <c r="J801" s="150">
        <v>0.15</v>
      </c>
      <c r="K801" s="149">
        <v>30569.4</v>
      </c>
      <c r="L801" s="149">
        <v>3599.22</v>
      </c>
      <c r="M801" s="5" t="s">
        <v>1130</v>
      </c>
      <c r="N801" s="5" t="s">
        <v>1321</v>
      </c>
      <c r="O801" s="5" t="s">
        <v>1322</v>
      </c>
      <c r="P801" s="5" t="s">
        <v>1323</v>
      </c>
      <c r="Q801" s="5" t="s">
        <v>1204</v>
      </c>
      <c r="R801" s="151">
        <v>5</v>
      </c>
      <c r="S801" s="143"/>
    </row>
    <row r="802" spans="1:19" x14ac:dyDescent="0.25">
      <c r="A802" s="5" t="s">
        <v>3731</v>
      </c>
      <c r="B802" s="147">
        <v>45926</v>
      </c>
      <c r="C802" s="5" t="s">
        <v>3732</v>
      </c>
      <c r="D802" s="5" t="s">
        <v>3733</v>
      </c>
      <c r="E802" s="5" t="s">
        <v>1310</v>
      </c>
      <c r="F802" s="5" t="s">
        <v>1311</v>
      </c>
      <c r="G802" s="5" t="s">
        <v>1312</v>
      </c>
      <c r="H802" s="148">
        <v>5</v>
      </c>
      <c r="I802" s="149">
        <v>12841</v>
      </c>
      <c r="J802" s="150">
        <v>0.15</v>
      </c>
      <c r="K802" s="149">
        <v>54574.25</v>
      </c>
      <c r="L802" s="149">
        <v>11056.6</v>
      </c>
      <c r="M802" s="5" t="s">
        <v>1344</v>
      </c>
      <c r="N802" s="5" t="s">
        <v>1304</v>
      </c>
      <c r="O802" s="5" t="s">
        <v>1305</v>
      </c>
      <c r="P802" s="5" t="s">
        <v>1314</v>
      </c>
      <c r="Q802" s="5" t="s">
        <v>1204</v>
      </c>
      <c r="R802" s="151">
        <v>3</v>
      </c>
      <c r="S802" s="143"/>
    </row>
    <row r="803" spans="1:19" x14ac:dyDescent="0.25">
      <c r="A803" s="5" t="s">
        <v>3734</v>
      </c>
      <c r="B803" s="147">
        <v>45822</v>
      </c>
      <c r="C803" s="5" t="s">
        <v>3735</v>
      </c>
      <c r="D803" s="5" t="s">
        <v>3736</v>
      </c>
      <c r="E803" s="5" t="s">
        <v>1370</v>
      </c>
      <c r="F803" s="5" t="s">
        <v>1160</v>
      </c>
      <c r="G803" s="5" t="s">
        <v>1371</v>
      </c>
      <c r="H803" s="148">
        <v>1</v>
      </c>
      <c r="I803" s="149">
        <v>7229</v>
      </c>
      <c r="J803" s="150">
        <v>0.05</v>
      </c>
      <c r="K803" s="149">
        <v>6867.55</v>
      </c>
      <c r="L803" s="149">
        <v>1333.31</v>
      </c>
      <c r="M803" s="5" t="s">
        <v>1344</v>
      </c>
      <c r="N803" s="5" t="s">
        <v>1304</v>
      </c>
      <c r="O803" s="5" t="s">
        <v>1305</v>
      </c>
      <c r="P803" s="5" t="s">
        <v>1327</v>
      </c>
      <c r="Q803" s="5" t="s">
        <v>1306</v>
      </c>
      <c r="R803" s="151">
        <v>3</v>
      </c>
      <c r="S803" s="143"/>
    </row>
    <row r="804" spans="1:19" x14ac:dyDescent="0.25">
      <c r="A804" s="5" t="s">
        <v>3737</v>
      </c>
      <c r="B804" s="147">
        <v>45955</v>
      </c>
      <c r="C804" s="5" t="s">
        <v>3738</v>
      </c>
      <c r="D804" s="5" t="s">
        <v>3739</v>
      </c>
      <c r="E804" s="5" t="s">
        <v>1342</v>
      </c>
      <c r="F804" s="5" t="s">
        <v>988</v>
      </c>
      <c r="G804" s="5" t="s">
        <v>1343</v>
      </c>
      <c r="H804" s="148">
        <v>3</v>
      </c>
      <c r="I804" s="149">
        <v>9031</v>
      </c>
      <c r="J804" s="150">
        <v>0</v>
      </c>
      <c r="K804" s="149">
        <v>27093</v>
      </c>
      <c r="L804" s="149">
        <v>2393.0300000000002</v>
      </c>
      <c r="M804" s="5" t="s">
        <v>1126</v>
      </c>
      <c r="N804" s="5" t="s">
        <v>1304</v>
      </c>
      <c r="O804" s="5" t="s">
        <v>1305</v>
      </c>
      <c r="P804" s="5" t="s">
        <v>1314</v>
      </c>
      <c r="Q804" s="5" t="s">
        <v>1300</v>
      </c>
      <c r="R804" s="151">
        <v>2</v>
      </c>
      <c r="S804" s="143"/>
    </row>
    <row r="805" spans="1:19" x14ac:dyDescent="0.25">
      <c r="A805" s="5" t="s">
        <v>3740</v>
      </c>
      <c r="B805" s="147">
        <v>45671</v>
      </c>
      <c r="C805" s="5" t="s">
        <v>3741</v>
      </c>
      <c r="D805" s="5" t="s">
        <v>3742</v>
      </c>
      <c r="E805" s="5" t="s">
        <v>1295</v>
      </c>
      <c r="F805" s="5" t="s">
        <v>985</v>
      </c>
      <c r="G805" s="5" t="s">
        <v>1296</v>
      </c>
      <c r="H805" s="148">
        <v>4</v>
      </c>
      <c r="I805" s="149">
        <v>3675</v>
      </c>
      <c r="J805" s="150">
        <v>0.2</v>
      </c>
      <c r="K805" s="149">
        <v>11760</v>
      </c>
      <c r="L805" s="149">
        <v>1669.28</v>
      </c>
      <c r="M805" s="5" t="s">
        <v>1313</v>
      </c>
      <c r="N805" s="5" t="s">
        <v>1337</v>
      </c>
      <c r="O805" s="5" t="s">
        <v>1338</v>
      </c>
      <c r="P805" s="5" t="s">
        <v>1299</v>
      </c>
      <c r="Q805" s="5" t="s">
        <v>1300</v>
      </c>
      <c r="R805" s="151">
        <v>4</v>
      </c>
      <c r="S805" s="143"/>
    </row>
    <row r="806" spans="1:19" x14ac:dyDescent="0.25">
      <c r="A806" s="5" t="s">
        <v>3743</v>
      </c>
      <c r="B806" s="147">
        <v>45859</v>
      </c>
      <c r="C806" s="5" t="s">
        <v>3744</v>
      </c>
      <c r="D806" s="5" t="s">
        <v>3745</v>
      </c>
      <c r="E806" s="5" t="s">
        <v>1295</v>
      </c>
      <c r="F806" s="5" t="s">
        <v>985</v>
      </c>
      <c r="G806" s="5" t="s">
        <v>1296</v>
      </c>
      <c r="H806" s="148">
        <v>4</v>
      </c>
      <c r="I806" s="149">
        <v>7041</v>
      </c>
      <c r="J806" s="150">
        <v>0.05</v>
      </c>
      <c r="K806" s="149">
        <v>26755.8</v>
      </c>
      <c r="L806" s="149">
        <v>6424.1</v>
      </c>
      <c r="M806" s="5" t="s">
        <v>1130</v>
      </c>
      <c r="N806" s="5" t="s">
        <v>1304</v>
      </c>
      <c r="O806" s="5" t="s">
        <v>1305</v>
      </c>
      <c r="P806" s="5" t="s">
        <v>1299</v>
      </c>
      <c r="Q806" s="5" t="s">
        <v>1184</v>
      </c>
      <c r="R806" s="151">
        <v>1</v>
      </c>
      <c r="S806" s="143"/>
    </row>
    <row r="807" spans="1:19" x14ac:dyDescent="0.25">
      <c r="A807" s="5" t="s">
        <v>3746</v>
      </c>
      <c r="B807" s="147">
        <v>45950</v>
      </c>
      <c r="C807" s="5" t="s">
        <v>3747</v>
      </c>
      <c r="D807" s="5" t="s">
        <v>3748</v>
      </c>
      <c r="E807" s="5" t="s">
        <v>1359</v>
      </c>
      <c r="F807" s="5" t="s">
        <v>1360</v>
      </c>
      <c r="G807" s="5" t="s">
        <v>1361</v>
      </c>
      <c r="H807" s="148">
        <v>5</v>
      </c>
      <c r="I807" s="149">
        <v>12094</v>
      </c>
      <c r="J807" s="150">
        <v>0.1</v>
      </c>
      <c r="K807" s="149">
        <v>54423</v>
      </c>
      <c r="L807" s="149">
        <v>14128.02</v>
      </c>
      <c r="M807" s="5" t="s">
        <v>1313</v>
      </c>
      <c r="N807" s="5" t="s">
        <v>1304</v>
      </c>
      <c r="O807" s="5" t="s">
        <v>1305</v>
      </c>
      <c r="P807" s="5" t="s">
        <v>1323</v>
      </c>
      <c r="Q807" s="5" t="s">
        <v>1204</v>
      </c>
      <c r="R807" s="151">
        <v>5</v>
      </c>
      <c r="S807" s="143"/>
    </row>
    <row r="808" spans="1:19" x14ac:dyDescent="0.25">
      <c r="A808" s="5" t="s">
        <v>3749</v>
      </c>
      <c r="B808" s="147">
        <v>45843</v>
      </c>
      <c r="C808" s="5" t="s">
        <v>3750</v>
      </c>
      <c r="D808" s="5" t="s">
        <v>3751</v>
      </c>
      <c r="E808" s="5" t="s">
        <v>1359</v>
      </c>
      <c r="F808" s="5" t="s">
        <v>1360</v>
      </c>
      <c r="G808" s="5" t="s">
        <v>1361</v>
      </c>
      <c r="H808" s="148">
        <v>3</v>
      </c>
      <c r="I808" s="149">
        <v>9101</v>
      </c>
      <c r="J808" s="150">
        <v>0.2</v>
      </c>
      <c r="K808" s="149">
        <v>21842.400000000001</v>
      </c>
      <c r="L808" s="149">
        <v>4055.03</v>
      </c>
      <c r="M808" s="5" t="s">
        <v>1126</v>
      </c>
      <c r="N808" s="5" t="s">
        <v>1337</v>
      </c>
      <c r="O808" s="5" t="s">
        <v>1338</v>
      </c>
      <c r="P808" s="5" t="s">
        <v>1299</v>
      </c>
      <c r="Q808" s="5" t="s">
        <v>1184</v>
      </c>
      <c r="R808" s="151">
        <v>4</v>
      </c>
      <c r="S808" s="143"/>
    </row>
    <row r="809" spans="1:19" x14ac:dyDescent="0.25">
      <c r="A809" s="5" t="s">
        <v>3752</v>
      </c>
      <c r="B809" s="147">
        <v>45912</v>
      </c>
      <c r="C809" s="5" t="s">
        <v>3753</v>
      </c>
      <c r="D809" s="5" t="s">
        <v>3754</v>
      </c>
      <c r="E809" s="5" t="s">
        <v>1310</v>
      </c>
      <c r="F809" s="5" t="s">
        <v>1311</v>
      </c>
      <c r="G809" s="5" t="s">
        <v>1312</v>
      </c>
      <c r="H809" s="148">
        <v>3</v>
      </c>
      <c r="I809" s="149">
        <v>11776</v>
      </c>
      <c r="J809" s="150">
        <v>0.05</v>
      </c>
      <c r="K809" s="149">
        <v>33561.599999999999</v>
      </c>
      <c r="L809" s="149">
        <v>3761.55</v>
      </c>
      <c r="M809" s="5" t="s">
        <v>1313</v>
      </c>
      <c r="N809" s="5" t="s">
        <v>1304</v>
      </c>
      <c r="O809" s="5" t="s">
        <v>1305</v>
      </c>
      <c r="P809" s="5" t="s">
        <v>1327</v>
      </c>
      <c r="Q809" s="5" t="s">
        <v>1184</v>
      </c>
      <c r="R809" s="151">
        <v>3</v>
      </c>
      <c r="S809" s="143"/>
    </row>
    <row r="810" spans="1:19" x14ac:dyDescent="0.25">
      <c r="A810" s="5" t="s">
        <v>3755</v>
      </c>
      <c r="B810" s="147">
        <v>45663</v>
      </c>
      <c r="C810" s="5" t="s">
        <v>3756</v>
      </c>
      <c r="D810" s="5" t="s">
        <v>3757</v>
      </c>
      <c r="E810" s="5" t="s">
        <v>1359</v>
      </c>
      <c r="F810" s="5" t="s">
        <v>1360</v>
      </c>
      <c r="G810" s="5" t="s">
        <v>1361</v>
      </c>
      <c r="H810" s="148">
        <v>3</v>
      </c>
      <c r="I810" s="149">
        <v>2716</v>
      </c>
      <c r="J810" s="150">
        <v>0.15</v>
      </c>
      <c r="K810" s="149">
        <v>6925.8</v>
      </c>
      <c r="L810" s="149">
        <v>1544.2</v>
      </c>
      <c r="M810" s="5" t="s">
        <v>1313</v>
      </c>
      <c r="N810" s="5" t="s">
        <v>1297</v>
      </c>
      <c r="O810" s="5" t="s">
        <v>1298</v>
      </c>
      <c r="P810" s="5" t="s">
        <v>1314</v>
      </c>
      <c r="Q810" s="5" t="s">
        <v>1204</v>
      </c>
      <c r="R810" s="151">
        <v>4</v>
      </c>
      <c r="S810" s="143"/>
    </row>
    <row r="811" spans="1:19" x14ac:dyDescent="0.25">
      <c r="A811" s="5" t="s">
        <v>3758</v>
      </c>
      <c r="B811" s="147">
        <v>45772</v>
      </c>
      <c r="C811" s="5" t="s">
        <v>3759</v>
      </c>
      <c r="D811" s="5" t="s">
        <v>3760</v>
      </c>
      <c r="E811" s="5" t="s">
        <v>1370</v>
      </c>
      <c r="F811" s="5" t="s">
        <v>1160</v>
      </c>
      <c r="G811" s="5" t="s">
        <v>1371</v>
      </c>
      <c r="H811" s="148">
        <v>2</v>
      </c>
      <c r="I811" s="149">
        <v>13428</v>
      </c>
      <c r="J811" s="150">
        <v>0</v>
      </c>
      <c r="K811" s="149">
        <v>26856</v>
      </c>
      <c r="L811" s="149">
        <v>5533.27</v>
      </c>
      <c r="M811" s="5" t="s">
        <v>1344</v>
      </c>
      <c r="N811" s="5" t="s">
        <v>1352</v>
      </c>
      <c r="O811" s="5" t="s">
        <v>1352</v>
      </c>
      <c r="P811" s="5" t="s">
        <v>1299</v>
      </c>
      <c r="Q811" s="5" t="s">
        <v>1300</v>
      </c>
      <c r="R811" s="151">
        <v>5</v>
      </c>
      <c r="S811" s="143"/>
    </row>
    <row r="812" spans="1:19" x14ac:dyDescent="0.25">
      <c r="A812" s="5" t="s">
        <v>3761</v>
      </c>
      <c r="B812" s="147">
        <v>45734</v>
      </c>
      <c r="C812" s="5" t="s">
        <v>3762</v>
      </c>
      <c r="D812" s="5" t="s">
        <v>3763</v>
      </c>
      <c r="E812" s="5" t="s">
        <v>1359</v>
      </c>
      <c r="F812" s="5" t="s">
        <v>1360</v>
      </c>
      <c r="G812" s="5" t="s">
        <v>1361</v>
      </c>
      <c r="H812" s="148">
        <v>5</v>
      </c>
      <c r="I812" s="149">
        <v>2675</v>
      </c>
      <c r="J812" s="150">
        <v>0</v>
      </c>
      <c r="K812" s="149">
        <v>13375</v>
      </c>
      <c r="L812" s="149">
        <v>2818.14</v>
      </c>
      <c r="M812" s="5" t="s">
        <v>1126</v>
      </c>
      <c r="N812" s="5" t="s">
        <v>1352</v>
      </c>
      <c r="O812" s="5" t="s">
        <v>1352</v>
      </c>
      <c r="P812" s="5" t="s">
        <v>1327</v>
      </c>
      <c r="Q812" s="5" t="s">
        <v>1306</v>
      </c>
      <c r="R812" s="151">
        <v>2</v>
      </c>
      <c r="S812" s="143"/>
    </row>
    <row r="813" spans="1:19" x14ac:dyDescent="0.25">
      <c r="A813" s="5" t="s">
        <v>3764</v>
      </c>
      <c r="B813" s="147">
        <v>45886</v>
      </c>
      <c r="C813" s="5" t="s">
        <v>3765</v>
      </c>
      <c r="D813" s="5" t="s">
        <v>3766</v>
      </c>
      <c r="E813" s="5" t="s">
        <v>1195</v>
      </c>
      <c r="F813" s="5" t="s">
        <v>988</v>
      </c>
      <c r="G813" s="5" t="s">
        <v>1336</v>
      </c>
      <c r="H813" s="148">
        <v>2</v>
      </c>
      <c r="I813" s="149">
        <v>8803</v>
      </c>
      <c r="J813" s="150">
        <v>0.1</v>
      </c>
      <c r="K813" s="149">
        <v>15845.4</v>
      </c>
      <c r="L813" s="149">
        <v>4564.76</v>
      </c>
      <c r="M813" s="5" t="s">
        <v>1126</v>
      </c>
      <c r="N813" s="5" t="s">
        <v>1352</v>
      </c>
      <c r="O813" s="5" t="s">
        <v>1352</v>
      </c>
      <c r="P813" s="5" t="s">
        <v>1327</v>
      </c>
      <c r="Q813" s="5" t="s">
        <v>1300</v>
      </c>
      <c r="R813" s="151">
        <v>5</v>
      </c>
      <c r="S813" s="143"/>
    </row>
    <row r="814" spans="1:19" x14ac:dyDescent="0.25">
      <c r="A814" s="5" t="s">
        <v>3767</v>
      </c>
      <c r="B814" s="147">
        <v>45866</v>
      </c>
      <c r="C814" s="5" t="s">
        <v>3768</v>
      </c>
      <c r="D814" s="5" t="s">
        <v>3769</v>
      </c>
      <c r="E814" s="5" t="s">
        <v>1370</v>
      </c>
      <c r="F814" s="5" t="s">
        <v>1160</v>
      </c>
      <c r="G814" s="5" t="s">
        <v>1371</v>
      </c>
      <c r="H814" s="148">
        <v>3</v>
      </c>
      <c r="I814" s="149">
        <v>10504</v>
      </c>
      <c r="J814" s="150">
        <v>0.05</v>
      </c>
      <c r="K814" s="149">
        <v>29936.400000000001</v>
      </c>
      <c r="L814" s="149">
        <v>5735.92</v>
      </c>
      <c r="M814" s="5" t="s">
        <v>1344</v>
      </c>
      <c r="N814" s="5" t="s">
        <v>1352</v>
      </c>
      <c r="O814" s="5" t="s">
        <v>1352</v>
      </c>
      <c r="P814" s="5" t="s">
        <v>1323</v>
      </c>
      <c r="Q814" s="5" t="s">
        <v>1306</v>
      </c>
      <c r="R814" s="151">
        <v>1</v>
      </c>
      <c r="S814" s="143"/>
    </row>
    <row r="815" spans="1:19" x14ac:dyDescent="0.25">
      <c r="A815" s="5" t="s">
        <v>3770</v>
      </c>
      <c r="B815" s="147">
        <v>45720</v>
      </c>
      <c r="C815" s="5" t="s">
        <v>3771</v>
      </c>
      <c r="D815" s="5" t="s">
        <v>3772</v>
      </c>
      <c r="E815" s="5" t="s">
        <v>1295</v>
      </c>
      <c r="F815" s="5" t="s">
        <v>985</v>
      </c>
      <c r="G815" s="5" t="s">
        <v>1296</v>
      </c>
      <c r="H815" s="148">
        <v>4</v>
      </c>
      <c r="I815" s="149">
        <v>4512</v>
      </c>
      <c r="J815" s="150">
        <v>0.15</v>
      </c>
      <c r="K815" s="149">
        <v>15340.8</v>
      </c>
      <c r="L815" s="149">
        <v>4564.29</v>
      </c>
      <c r="M815" s="5" t="s">
        <v>1381</v>
      </c>
      <c r="N815" s="5" t="s">
        <v>1304</v>
      </c>
      <c r="O815" s="5" t="s">
        <v>1305</v>
      </c>
      <c r="P815" s="5" t="s">
        <v>1348</v>
      </c>
      <c r="Q815" s="5" t="s">
        <v>1204</v>
      </c>
      <c r="R815" s="151">
        <v>1</v>
      </c>
      <c r="S815" s="143"/>
    </row>
    <row r="816" spans="1:19" x14ac:dyDescent="0.25">
      <c r="A816" s="5" t="s">
        <v>3773</v>
      </c>
      <c r="B816" s="147">
        <v>45682</v>
      </c>
      <c r="C816" s="5" t="s">
        <v>3774</v>
      </c>
      <c r="D816" s="5" t="s">
        <v>3775</v>
      </c>
      <c r="E816" s="5" t="s">
        <v>1195</v>
      </c>
      <c r="F816" s="5" t="s">
        <v>988</v>
      </c>
      <c r="G816" s="5" t="s">
        <v>1336</v>
      </c>
      <c r="H816" s="148">
        <v>1</v>
      </c>
      <c r="I816" s="149">
        <v>2920</v>
      </c>
      <c r="J816" s="150">
        <v>0.05</v>
      </c>
      <c r="K816" s="149">
        <v>2774</v>
      </c>
      <c r="L816" s="149">
        <v>563.14</v>
      </c>
      <c r="M816" s="5" t="s">
        <v>1126</v>
      </c>
      <c r="N816" s="5" t="s">
        <v>1362</v>
      </c>
      <c r="O816" s="5" t="s">
        <v>1363</v>
      </c>
      <c r="P816" s="5" t="s">
        <v>1323</v>
      </c>
      <c r="Q816" s="5" t="s">
        <v>1204</v>
      </c>
      <c r="R816" s="151">
        <v>3</v>
      </c>
      <c r="S816" s="143"/>
    </row>
    <row r="817" spans="1:19" x14ac:dyDescent="0.25">
      <c r="A817" s="5" t="s">
        <v>3776</v>
      </c>
      <c r="B817" s="147">
        <v>45804</v>
      </c>
      <c r="C817" s="5" t="s">
        <v>3777</v>
      </c>
      <c r="D817" s="5" t="s">
        <v>3778</v>
      </c>
      <c r="E817" s="5" t="s">
        <v>1342</v>
      </c>
      <c r="F817" s="5" t="s">
        <v>988</v>
      </c>
      <c r="G817" s="5" t="s">
        <v>1343</v>
      </c>
      <c r="H817" s="148">
        <v>5</v>
      </c>
      <c r="I817" s="149">
        <v>12319</v>
      </c>
      <c r="J817" s="150">
        <v>0.15</v>
      </c>
      <c r="K817" s="149">
        <v>52355.75</v>
      </c>
      <c r="L817" s="149">
        <v>7499.76</v>
      </c>
      <c r="M817" s="5" t="s">
        <v>1126</v>
      </c>
      <c r="N817" s="5" t="s">
        <v>1362</v>
      </c>
      <c r="O817" s="5" t="s">
        <v>1363</v>
      </c>
      <c r="P817" s="5" t="s">
        <v>1348</v>
      </c>
      <c r="Q817" s="5" t="s">
        <v>1306</v>
      </c>
      <c r="R817" s="151">
        <v>3</v>
      </c>
      <c r="S817" s="143"/>
    </row>
    <row r="818" spans="1:19" x14ac:dyDescent="0.25">
      <c r="A818" s="5" t="s">
        <v>3779</v>
      </c>
      <c r="B818" s="147">
        <v>45870</v>
      </c>
      <c r="C818" s="5" t="s">
        <v>3780</v>
      </c>
      <c r="D818" s="5" t="s">
        <v>3781</v>
      </c>
      <c r="E818" s="5" t="s">
        <v>1331</v>
      </c>
      <c r="F818" s="5" t="s">
        <v>988</v>
      </c>
      <c r="G818" s="5" t="s">
        <v>1332</v>
      </c>
      <c r="H818" s="148">
        <v>3</v>
      </c>
      <c r="I818" s="149">
        <v>4211</v>
      </c>
      <c r="J818" s="150">
        <v>0</v>
      </c>
      <c r="K818" s="149">
        <v>12633</v>
      </c>
      <c r="L818" s="149">
        <v>3301.48</v>
      </c>
      <c r="M818" s="5" t="s">
        <v>1126</v>
      </c>
      <c r="N818" s="5" t="s">
        <v>1362</v>
      </c>
      <c r="O818" s="5" t="s">
        <v>1363</v>
      </c>
      <c r="P818" s="5" t="s">
        <v>1327</v>
      </c>
      <c r="Q818" s="5" t="s">
        <v>1184</v>
      </c>
      <c r="R818" s="151">
        <v>1</v>
      </c>
      <c r="S818" s="143"/>
    </row>
    <row r="819" spans="1:19" x14ac:dyDescent="0.25">
      <c r="A819" s="5" t="s">
        <v>3782</v>
      </c>
      <c r="B819" s="147">
        <v>46012</v>
      </c>
      <c r="C819" s="5" t="s">
        <v>3783</v>
      </c>
      <c r="D819" s="5" t="s">
        <v>3784</v>
      </c>
      <c r="E819" s="5" t="s">
        <v>1359</v>
      </c>
      <c r="F819" s="5" t="s">
        <v>1360</v>
      </c>
      <c r="G819" s="5" t="s">
        <v>1361</v>
      </c>
      <c r="H819" s="148">
        <v>2</v>
      </c>
      <c r="I819" s="149">
        <v>9903</v>
      </c>
      <c r="J819" s="150">
        <v>0.05</v>
      </c>
      <c r="K819" s="149">
        <v>18815.7</v>
      </c>
      <c r="L819" s="149">
        <v>3969.72</v>
      </c>
      <c r="M819" s="5" t="s">
        <v>1130</v>
      </c>
      <c r="N819" s="5" t="s">
        <v>1337</v>
      </c>
      <c r="O819" s="5" t="s">
        <v>1338</v>
      </c>
      <c r="P819" s="5" t="s">
        <v>1314</v>
      </c>
      <c r="Q819" s="5" t="s">
        <v>1184</v>
      </c>
      <c r="R819" s="151">
        <v>4</v>
      </c>
      <c r="S819" s="143"/>
    </row>
    <row r="820" spans="1:19" x14ac:dyDescent="0.25">
      <c r="A820" s="5" t="s">
        <v>3785</v>
      </c>
      <c r="B820" s="147">
        <v>45670</v>
      </c>
      <c r="C820" s="5" t="s">
        <v>3786</v>
      </c>
      <c r="D820" s="5" t="s">
        <v>3787</v>
      </c>
      <c r="E820" s="5" t="s">
        <v>1331</v>
      </c>
      <c r="F820" s="5" t="s">
        <v>988</v>
      </c>
      <c r="G820" s="5" t="s">
        <v>1332</v>
      </c>
      <c r="H820" s="148">
        <v>1</v>
      </c>
      <c r="I820" s="149">
        <v>3730</v>
      </c>
      <c r="J820" s="150">
        <v>0.05</v>
      </c>
      <c r="K820" s="149">
        <v>3543.5</v>
      </c>
      <c r="L820" s="149">
        <v>322.07</v>
      </c>
      <c r="M820" s="5" t="s">
        <v>1130</v>
      </c>
      <c r="N820" s="5" t="s">
        <v>1304</v>
      </c>
      <c r="O820" s="5" t="s">
        <v>1305</v>
      </c>
      <c r="P820" s="5" t="s">
        <v>1348</v>
      </c>
      <c r="Q820" s="5" t="s">
        <v>1204</v>
      </c>
      <c r="R820" s="151">
        <v>3</v>
      </c>
      <c r="S820" s="143"/>
    </row>
    <row r="821" spans="1:19" x14ac:dyDescent="0.25">
      <c r="A821" s="5" t="s">
        <v>3788</v>
      </c>
      <c r="B821" s="147">
        <v>45966</v>
      </c>
      <c r="C821" s="5" t="s">
        <v>3789</v>
      </c>
      <c r="D821" s="5" t="s">
        <v>3790</v>
      </c>
      <c r="E821" s="5" t="s">
        <v>1310</v>
      </c>
      <c r="F821" s="5" t="s">
        <v>1311</v>
      </c>
      <c r="G821" s="5" t="s">
        <v>1312</v>
      </c>
      <c r="H821" s="148">
        <v>2</v>
      </c>
      <c r="I821" s="149">
        <v>8494</v>
      </c>
      <c r="J821" s="150">
        <v>0</v>
      </c>
      <c r="K821" s="149">
        <v>16988</v>
      </c>
      <c r="L821" s="149">
        <v>4248.05</v>
      </c>
      <c r="M821" s="5" t="s">
        <v>1313</v>
      </c>
      <c r="N821" s="5" t="s">
        <v>1362</v>
      </c>
      <c r="O821" s="5" t="s">
        <v>1363</v>
      </c>
      <c r="P821" s="5" t="s">
        <v>1299</v>
      </c>
      <c r="Q821" s="5" t="s">
        <v>1300</v>
      </c>
      <c r="R821" s="151">
        <v>5</v>
      </c>
      <c r="S821" s="143"/>
    </row>
    <row r="822" spans="1:19" x14ac:dyDescent="0.25">
      <c r="A822" s="5" t="s">
        <v>3791</v>
      </c>
      <c r="B822" s="147">
        <v>45900</v>
      </c>
      <c r="C822" s="5" t="s">
        <v>3792</v>
      </c>
      <c r="D822" s="5" t="s">
        <v>3793</v>
      </c>
      <c r="E822" s="5" t="s">
        <v>1295</v>
      </c>
      <c r="F822" s="5" t="s">
        <v>985</v>
      </c>
      <c r="G822" s="5" t="s">
        <v>1296</v>
      </c>
      <c r="H822" s="148">
        <v>1</v>
      </c>
      <c r="I822" s="149">
        <v>1855</v>
      </c>
      <c r="J822" s="150">
        <v>0.15</v>
      </c>
      <c r="K822" s="149">
        <v>1576.75</v>
      </c>
      <c r="L822" s="149">
        <v>271.29000000000002</v>
      </c>
      <c r="M822" s="5" t="s">
        <v>1381</v>
      </c>
      <c r="N822" s="5" t="s">
        <v>1362</v>
      </c>
      <c r="O822" s="5" t="s">
        <v>1363</v>
      </c>
      <c r="P822" s="5" t="s">
        <v>1314</v>
      </c>
      <c r="Q822" s="5" t="s">
        <v>1300</v>
      </c>
      <c r="R822" s="151">
        <v>3</v>
      </c>
      <c r="S822" s="143"/>
    </row>
    <row r="823" spans="1:19" x14ac:dyDescent="0.25">
      <c r="A823" s="5" t="s">
        <v>3794</v>
      </c>
      <c r="B823" s="147">
        <v>45779</v>
      </c>
      <c r="C823" s="5" t="s">
        <v>3795</v>
      </c>
      <c r="D823" s="5" t="s">
        <v>3796</v>
      </c>
      <c r="E823" s="5" t="s">
        <v>1370</v>
      </c>
      <c r="F823" s="5" t="s">
        <v>1160</v>
      </c>
      <c r="G823" s="5" t="s">
        <v>1371</v>
      </c>
      <c r="H823" s="148">
        <v>3</v>
      </c>
      <c r="I823" s="149">
        <v>8864</v>
      </c>
      <c r="J823" s="150">
        <v>0.2</v>
      </c>
      <c r="K823" s="149">
        <v>21273.599999999999</v>
      </c>
      <c r="L823" s="149">
        <v>2894.53</v>
      </c>
      <c r="M823" s="5" t="s">
        <v>1344</v>
      </c>
      <c r="N823" s="5" t="s">
        <v>1321</v>
      </c>
      <c r="O823" s="5" t="s">
        <v>1322</v>
      </c>
      <c r="P823" s="5" t="s">
        <v>1299</v>
      </c>
      <c r="Q823" s="5" t="s">
        <v>1204</v>
      </c>
      <c r="R823" s="151">
        <v>2</v>
      </c>
      <c r="S823" s="143"/>
    </row>
    <row r="824" spans="1:19" x14ac:dyDescent="0.25">
      <c r="A824" s="5" t="s">
        <v>3797</v>
      </c>
      <c r="B824" s="147">
        <v>45838</v>
      </c>
      <c r="C824" s="5" t="s">
        <v>3798</v>
      </c>
      <c r="D824" s="5" t="s">
        <v>3799</v>
      </c>
      <c r="E824" s="5" t="s">
        <v>1331</v>
      </c>
      <c r="F824" s="5" t="s">
        <v>988</v>
      </c>
      <c r="G824" s="5" t="s">
        <v>1332</v>
      </c>
      <c r="H824" s="148">
        <v>4</v>
      </c>
      <c r="I824" s="149">
        <v>1001</v>
      </c>
      <c r="J824" s="150">
        <v>0.05</v>
      </c>
      <c r="K824" s="149">
        <v>3803.8</v>
      </c>
      <c r="L824" s="149">
        <v>632.66999999999996</v>
      </c>
      <c r="M824" s="5" t="s">
        <v>1313</v>
      </c>
      <c r="N824" s="5" t="s">
        <v>1337</v>
      </c>
      <c r="O824" s="5" t="s">
        <v>1338</v>
      </c>
      <c r="P824" s="5" t="s">
        <v>1327</v>
      </c>
      <c r="Q824" s="5" t="s">
        <v>1306</v>
      </c>
      <c r="R824" s="151">
        <v>1</v>
      </c>
      <c r="S824" s="143"/>
    </row>
    <row r="825" spans="1:19" x14ac:dyDescent="0.25">
      <c r="A825" s="5" t="s">
        <v>3800</v>
      </c>
      <c r="B825" s="147">
        <v>45714</v>
      </c>
      <c r="C825" s="5" t="s">
        <v>3801</v>
      </c>
      <c r="D825" s="5" t="s">
        <v>3802</v>
      </c>
      <c r="E825" s="5" t="s">
        <v>1370</v>
      </c>
      <c r="F825" s="5" t="s">
        <v>1160</v>
      </c>
      <c r="G825" s="5" t="s">
        <v>1371</v>
      </c>
      <c r="H825" s="148">
        <v>2</v>
      </c>
      <c r="I825" s="149">
        <v>10481</v>
      </c>
      <c r="J825" s="150">
        <v>0.15</v>
      </c>
      <c r="K825" s="149">
        <v>17817.7</v>
      </c>
      <c r="L825" s="149">
        <v>3725.56</v>
      </c>
      <c r="M825" s="5" t="s">
        <v>1344</v>
      </c>
      <c r="N825" s="5" t="s">
        <v>1321</v>
      </c>
      <c r="O825" s="5" t="s">
        <v>1322</v>
      </c>
      <c r="P825" s="5" t="s">
        <v>1348</v>
      </c>
      <c r="Q825" s="5" t="s">
        <v>1184</v>
      </c>
      <c r="R825" s="151">
        <v>1</v>
      </c>
      <c r="S825" s="143"/>
    </row>
    <row r="826" spans="1:19" x14ac:dyDescent="0.25">
      <c r="A826" s="5" t="s">
        <v>3803</v>
      </c>
      <c r="B826" s="147">
        <v>45856</v>
      </c>
      <c r="C826" s="5" t="s">
        <v>3804</v>
      </c>
      <c r="D826" s="5" t="s">
        <v>3805</v>
      </c>
      <c r="E826" s="5" t="s">
        <v>1295</v>
      </c>
      <c r="F826" s="5" t="s">
        <v>985</v>
      </c>
      <c r="G826" s="5" t="s">
        <v>1296</v>
      </c>
      <c r="H826" s="148">
        <v>5</v>
      </c>
      <c r="I826" s="149">
        <v>11828</v>
      </c>
      <c r="J826" s="150">
        <v>0</v>
      </c>
      <c r="K826" s="149">
        <v>59140</v>
      </c>
      <c r="L826" s="149">
        <v>5036.99</v>
      </c>
      <c r="M826" s="5" t="s">
        <v>1313</v>
      </c>
      <c r="N826" s="5" t="s">
        <v>1297</v>
      </c>
      <c r="O826" s="5" t="s">
        <v>1298</v>
      </c>
      <c r="P826" s="5" t="s">
        <v>1299</v>
      </c>
      <c r="Q826" s="5" t="s">
        <v>1204</v>
      </c>
      <c r="R826" s="151">
        <v>4</v>
      </c>
      <c r="S826" s="143"/>
    </row>
    <row r="827" spans="1:19" x14ac:dyDescent="0.25">
      <c r="A827" s="5" t="s">
        <v>3806</v>
      </c>
      <c r="B827" s="147">
        <v>45747</v>
      </c>
      <c r="C827" s="5" t="s">
        <v>3807</v>
      </c>
      <c r="D827" s="5" t="s">
        <v>3808</v>
      </c>
      <c r="E827" s="5" t="s">
        <v>1318</v>
      </c>
      <c r="F827" s="5" t="s">
        <v>1319</v>
      </c>
      <c r="G827" s="5" t="s">
        <v>1320</v>
      </c>
      <c r="H827" s="148">
        <v>3</v>
      </c>
      <c r="I827" s="149">
        <v>12383</v>
      </c>
      <c r="J827" s="150">
        <v>0</v>
      </c>
      <c r="K827" s="149">
        <v>37149</v>
      </c>
      <c r="L827" s="149">
        <v>3502.31</v>
      </c>
      <c r="M827" s="5" t="s">
        <v>1344</v>
      </c>
      <c r="N827" s="5" t="s">
        <v>1337</v>
      </c>
      <c r="O827" s="5" t="s">
        <v>1338</v>
      </c>
      <c r="P827" s="5" t="s">
        <v>1327</v>
      </c>
      <c r="Q827" s="5" t="s">
        <v>1300</v>
      </c>
      <c r="R827" s="151">
        <v>3</v>
      </c>
      <c r="S827" s="143"/>
    </row>
    <row r="828" spans="1:19" x14ac:dyDescent="0.25">
      <c r="A828" s="5" t="s">
        <v>3809</v>
      </c>
      <c r="B828" s="147">
        <v>45985</v>
      </c>
      <c r="C828" s="5" t="s">
        <v>3810</v>
      </c>
      <c r="D828" s="5" t="s">
        <v>3811</v>
      </c>
      <c r="E828" s="5" t="s">
        <v>1318</v>
      </c>
      <c r="F828" s="5" t="s">
        <v>1319</v>
      </c>
      <c r="G828" s="5" t="s">
        <v>1320</v>
      </c>
      <c r="H828" s="148">
        <v>1</v>
      </c>
      <c r="I828" s="149">
        <v>11177</v>
      </c>
      <c r="J828" s="150">
        <v>0.1</v>
      </c>
      <c r="K828" s="149">
        <v>10059.299999999999</v>
      </c>
      <c r="L828" s="149">
        <v>2333.71</v>
      </c>
      <c r="M828" s="5" t="s">
        <v>1381</v>
      </c>
      <c r="N828" s="5" t="s">
        <v>1297</v>
      </c>
      <c r="O828" s="5" t="s">
        <v>1298</v>
      </c>
      <c r="P828" s="5" t="s">
        <v>1327</v>
      </c>
      <c r="Q828" s="5" t="s">
        <v>1204</v>
      </c>
      <c r="R828" s="151">
        <v>2</v>
      </c>
      <c r="S828" s="143"/>
    </row>
    <row r="829" spans="1:19" x14ac:dyDescent="0.25">
      <c r="A829" s="5" t="s">
        <v>3812</v>
      </c>
      <c r="B829" s="147">
        <v>45826</v>
      </c>
      <c r="C829" s="5" t="s">
        <v>3813</v>
      </c>
      <c r="D829" s="5" t="s">
        <v>3814</v>
      </c>
      <c r="E829" s="5" t="s">
        <v>1195</v>
      </c>
      <c r="F829" s="5" t="s">
        <v>988</v>
      </c>
      <c r="G829" s="5" t="s">
        <v>1336</v>
      </c>
      <c r="H829" s="148">
        <v>2</v>
      </c>
      <c r="I829" s="149">
        <v>9172</v>
      </c>
      <c r="J829" s="150">
        <v>0</v>
      </c>
      <c r="K829" s="149">
        <v>18344</v>
      </c>
      <c r="L829" s="149">
        <v>3305.26</v>
      </c>
      <c r="M829" s="5" t="s">
        <v>1126</v>
      </c>
      <c r="N829" s="5" t="s">
        <v>1304</v>
      </c>
      <c r="O829" s="5" t="s">
        <v>1305</v>
      </c>
      <c r="P829" s="5" t="s">
        <v>1327</v>
      </c>
      <c r="Q829" s="5" t="s">
        <v>1300</v>
      </c>
      <c r="R829" s="151">
        <v>3</v>
      </c>
      <c r="S829" s="143"/>
    </row>
    <row r="830" spans="1:19" x14ac:dyDescent="0.25">
      <c r="A830" s="5" t="s">
        <v>3815</v>
      </c>
      <c r="B830" s="147">
        <v>46017</v>
      </c>
      <c r="C830" s="5" t="s">
        <v>3816</v>
      </c>
      <c r="D830" s="5" t="s">
        <v>3817</v>
      </c>
      <c r="E830" s="5" t="s">
        <v>1370</v>
      </c>
      <c r="F830" s="5" t="s">
        <v>1160</v>
      </c>
      <c r="G830" s="5" t="s">
        <v>1371</v>
      </c>
      <c r="H830" s="148">
        <v>3</v>
      </c>
      <c r="I830" s="149">
        <v>13664</v>
      </c>
      <c r="J830" s="150">
        <v>0.2</v>
      </c>
      <c r="K830" s="149">
        <v>32793.599999999999</v>
      </c>
      <c r="L830" s="149">
        <v>8293.77</v>
      </c>
      <c r="M830" s="5" t="s">
        <v>1344</v>
      </c>
      <c r="N830" s="5" t="s">
        <v>1321</v>
      </c>
      <c r="O830" s="5" t="s">
        <v>1322</v>
      </c>
      <c r="P830" s="5" t="s">
        <v>1299</v>
      </c>
      <c r="Q830" s="5" t="s">
        <v>1306</v>
      </c>
      <c r="R830" s="151">
        <v>4</v>
      </c>
      <c r="S830" s="143"/>
    </row>
    <row r="831" spans="1:19" x14ac:dyDescent="0.25">
      <c r="A831" s="5" t="s">
        <v>3818</v>
      </c>
      <c r="B831" s="147">
        <v>45880</v>
      </c>
      <c r="C831" s="5" t="s">
        <v>3819</v>
      </c>
      <c r="D831" s="5" t="s">
        <v>3820</v>
      </c>
      <c r="E831" s="5" t="s">
        <v>1359</v>
      </c>
      <c r="F831" s="5" t="s">
        <v>1360</v>
      </c>
      <c r="G831" s="5" t="s">
        <v>1361</v>
      </c>
      <c r="H831" s="148">
        <v>4</v>
      </c>
      <c r="I831" s="149">
        <v>4465</v>
      </c>
      <c r="J831" s="150">
        <v>0.2</v>
      </c>
      <c r="K831" s="149">
        <v>14288</v>
      </c>
      <c r="L831" s="149">
        <v>2242.88</v>
      </c>
      <c r="M831" s="5" t="s">
        <v>1344</v>
      </c>
      <c r="N831" s="5" t="s">
        <v>1304</v>
      </c>
      <c r="O831" s="5" t="s">
        <v>1305</v>
      </c>
      <c r="P831" s="5" t="s">
        <v>1327</v>
      </c>
      <c r="Q831" s="5" t="s">
        <v>1184</v>
      </c>
      <c r="R831" s="151">
        <v>1</v>
      </c>
      <c r="S831" s="143"/>
    </row>
    <row r="832" spans="1:19" x14ac:dyDescent="0.25">
      <c r="A832" s="5" t="s">
        <v>3821</v>
      </c>
      <c r="B832" s="147">
        <v>45677</v>
      </c>
      <c r="C832" s="5" t="s">
        <v>3822</v>
      </c>
      <c r="D832" s="5" t="s">
        <v>3823</v>
      </c>
      <c r="E832" s="5" t="s">
        <v>1331</v>
      </c>
      <c r="F832" s="5" t="s">
        <v>988</v>
      </c>
      <c r="G832" s="5" t="s">
        <v>1332</v>
      </c>
      <c r="H832" s="148">
        <v>1</v>
      </c>
      <c r="I832" s="149">
        <v>2264</v>
      </c>
      <c r="J832" s="150">
        <v>0.15</v>
      </c>
      <c r="K832" s="149">
        <v>1924.4</v>
      </c>
      <c r="L832" s="149">
        <v>408.01</v>
      </c>
      <c r="M832" s="5" t="s">
        <v>1313</v>
      </c>
      <c r="N832" s="5" t="s">
        <v>1297</v>
      </c>
      <c r="O832" s="5" t="s">
        <v>1298</v>
      </c>
      <c r="P832" s="5" t="s">
        <v>1327</v>
      </c>
      <c r="Q832" s="5" t="s">
        <v>1204</v>
      </c>
      <c r="R832" s="151">
        <v>5</v>
      </c>
      <c r="S832" s="143"/>
    </row>
    <row r="833" spans="1:19" x14ac:dyDescent="0.25">
      <c r="A833" s="5" t="s">
        <v>3824</v>
      </c>
      <c r="B833" s="147">
        <v>45771</v>
      </c>
      <c r="C833" s="5" t="s">
        <v>3825</v>
      </c>
      <c r="D833" s="5" t="s">
        <v>3826</v>
      </c>
      <c r="E833" s="5" t="s">
        <v>1342</v>
      </c>
      <c r="F833" s="5" t="s">
        <v>988</v>
      </c>
      <c r="G833" s="5" t="s">
        <v>1343</v>
      </c>
      <c r="H833" s="148">
        <v>3</v>
      </c>
      <c r="I833" s="149">
        <v>12765</v>
      </c>
      <c r="J833" s="150">
        <v>0.1</v>
      </c>
      <c r="K833" s="149">
        <v>34465.5</v>
      </c>
      <c r="L833" s="149">
        <v>9677.5300000000007</v>
      </c>
      <c r="M833" s="5" t="s">
        <v>1381</v>
      </c>
      <c r="N833" s="5" t="s">
        <v>1337</v>
      </c>
      <c r="O833" s="5" t="s">
        <v>1338</v>
      </c>
      <c r="P833" s="5" t="s">
        <v>1327</v>
      </c>
      <c r="Q833" s="5" t="s">
        <v>1300</v>
      </c>
      <c r="R833" s="151">
        <v>2</v>
      </c>
      <c r="S833" s="143"/>
    </row>
    <row r="834" spans="1:19" x14ac:dyDescent="0.25">
      <c r="A834" s="5" t="s">
        <v>3827</v>
      </c>
      <c r="B834" s="147">
        <v>45981</v>
      </c>
      <c r="C834" s="5" t="s">
        <v>3828</v>
      </c>
      <c r="D834" s="5" t="s">
        <v>3829</v>
      </c>
      <c r="E834" s="5" t="s">
        <v>1370</v>
      </c>
      <c r="F834" s="5" t="s">
        <v>1160</v>
      </c>
      <c r="G834" s="5" t="s">
        <v>1371</v>
      </c>
      <c r="H834" s="148">
        <v>5</v>
      </c>
      <c r="I834" s="149">
        <v>4581</v>
      </c>
      <c r="J834" s="150">
        <v>0.2</v>
      </c>
      <c r="K834" s="149">
        <v>18324</v>
      </c>
      <c r="L834" s="149">
        <v>4021.52</v>
      </c>
      <c r="M834" s="5" t="s">
        <v>1126</v>
      </c>
      <c r="N834" s="5" t="s">
        <v>1352</v>
      </c>
      <c r="O834" s="5" t="s">
        <v>1352</v>
      </c>
      <c r="P834" s="5" t="s">
        <v>1348</v>
      </c>
      <c r="Q834" s="5" t="s">
        <v>1306</v>
      </c>
      <c r="R834" s="151">
        <v>4</v>
      </c>
      <c r="S834" s="143"/>
    </row>
    <row r="835" spans="1:19" x14ac:dyDescent="0.25">
      <c r="A835" s="5" t="s">
        <v>3830</v>
      </c>
      <c r="B835" s="147">
        <v>45759</v>
      </c>
      <c r="C835" s="5" t="s">
        <v>3831</v>
      </c>
      <c r="D835" s="5" t="s">
        <v>3832</v>
      </c>
      <c r="E835" s="5" t="s">
        <v>1331</v>
      </c>
      <c r="F835" s="5" t="s">
        <v>988</v>
      </c>
      <c r="G835" s="5" t="s">
        <v>1332</v>
      </c>
      <c r="H835" s="148">
        <v>5</v>
      </c>
      <c r="I835" s="149">
        <v>321</v>
      </c>
      <c r="J835" s="150">
        <v>0</v>
      </c>
      <c r="K835" s="149">
        <v>1605</v>
      </c>
      <c r="L835" s="149">
        <v>295.29000000000002</v>
      </c>
      <c r="M835" s="5" t="s">
        <v>1130</v>
      </c>
      <c r="N835" s="5" t="s">
        <v>1297</v>
      </c>
      <c r="O835" s="5" t="s">
        <v>1298</v>
      </c>
      <c r="P835" s="5" t="s">
        <v>1314</v>
      </c>
      <c r="Q835" s="5" t="s">
        <v>1300</v>
      </c>
      <c r="R835" s="151">
        <v>3</v>
      </c>
      <c r="S835" s="143"/>
    </row>
    <row r="836" spans="1:19" x14ac:dyDescent="0.25">
      <c r="A836" s="5" t="s">
        <v>3833</v>
      </c>
      <c r="B836" s="147">
        <v>45879</v>
      </c>
      <c r="C836" s="5" t="s">
        <v>3834</v>
      </c>
      <c r="D836" s="5" t="s">
        <v>3835</v>
      </c>
      <c r="E836" s="5" t="s">
        <v>1370</v>
      </c>
      <c r="F836" s="5" t="s">
        <v>1160</v>
      </c>
      <c r="G836" s="5" t="s">
        <v>1371</v>
      </c>
      <c r="H836" s="148">
        <v>2</v>
      </c>
      <c r="I836" s="149">
        <v>4519</v>
      </c>
      <c r="J836" s="150">
        <v>0.15</v>
      </c>
      <c r="K836" s="149">
        <v>7682.3</v>
      </c>
      <c r="L836" s="149">
        <v>1808.17</v>
      </c>
      <c r="M836" s="5" t="s">
        <v>1130</v>
      </c>
      <c r="N836" s="5" t="s">
        <v>1352</v>
      </c>
      <c r="O836" s="5" t="s">
        <v>1352</v>
      </c>
      <c r="P836" s="5" t="s">
        <v>1314</v>
      </c>
      <c r="Q836" s="5" t="s">
        <v>1306</v>
      </c>
      <c r="R836" s="151">
        <v>2</v>
      </c>
      <c r="S836" s="143"/>
    </row>
    <row r="837" spans="1:19" x14ac:dyDescent="0.25">
      <c r="A837" s="5" t="s">
        <v>3836</v>
      </c>
      <c r="B837" s="147">
        <v>45816</v>
      </c>
      <c r="C837" s="5" t="s">
        <v>3837</v>
      </c>
      <c r="D837" s="5" t="s">
        <v>3838</v>
      </c>
      <c r="E837" s="5" t="s">
        <v>1331</v>
      </c>
      <c r="F837" s="5" t="s">
        <v>988</v>
      </c>
      <c r="G837" s="5" t="s">
        <v>1332</v>
      </c>
      <c r="H837" s="148">
        <v>5</v>
      </c>
      <c r="I837" s="149">
        <v>11881</v>
      </c>
      <c r="J837" s="150">
        <v>0</v>
      </c>
      <c r="K837" s="149">
        <v>59405</v>
      </c>
      <c r="L837" s="149">
        <v>8023.69</v>
      </c>
      <c r="M837" s="5" t="s">
        <v>1381</v>
      </c>
      <c r="N837" s="5" t="s">
        <v>1304</v>
      </c>
      <c r="O837" s="5" t="s">
        <v>1305</v>
      </c>
      <c r="P837" s="5" t="s">
        <v>1327</v>
      </c>
      <c r="Q837" s="5" t="s">
        <v>1204</v>
      </c>
      <c r="R837" s="151">
        <v>4</v>
      </c>
      <c r="S837" s="143"/>
    </row>
    <row r="838" spans="1:19" x14ac:dyDescent="0.25">
      <c r="A838" s="5" t="s">
        <v>3839</v>
      </c>
      <c r="B838" s="147">
        <v>46013</v>
      </c>
      <c r="C838" s="5" t="s">
        <v>3840</v>
      </c>
      <c r="D838" s="5" t="s">
        <v>3841</v>
      </c>
      <c r="E838" s="5" t="s">
        <v>1295</v>
      </c>
      <c r="F838" s="5" t="s">
        <v>985</v>
      </c>
      <c r="G838" s="5" t="s">
        <v>1296</v>
      </c>
      <c r="H838" s="148">
        <v>4</v>
      </c>
      <c r="I838" s="149">
        <v>1978</v>
      </c>
      <c r="J838" s="150">
        <v>0.1</v>
      </c>
      <c r="K838" s="149">
        <v>7120.8</v>
      </c>
      <c r="L838" s="149">
        <v>1302.6500000000001</v>
      </c>
      <c r="M838" s="5" t="s">
        <v>1130</v>
      </c>
      <c r="N838" s="5" t="s">
        <v>1352</v>
      </c>
      <c r="O838" s="5" t="s">
        <v>1352</v>
      </c>
      <c r="P838" s="5" t="s">
        <v>1348</v>
      </c>
      <c r="Q838" s="5" t="s">
        <v>1300</v>
      </c>
      <c r="R838" s="151">
        <v>5</v>
      </c>
      <c r="S838" s="143"/>
    </row>
    <row r="839" spans="1:19" x14ac:dyDescent="0.25">
      <c r="A839" s="5" t="s">
        <v>3842</v>
      </c>
      <c r="B839" s="147">
        <v>45976</v>
      </c>
      <c r="C839" s="5" t="s">
        <v>3843</v>
      </c>
      <c r="D839" s="5" t="s">
        <v>3844</v>
      </c>
      <c r="E839" s="5" t="s">
        <v>1295</v>
      </c>
      <c r="F839" s="5" t="s">
        <v>985</v>
      </c>
      <c r="G839" s="5" t="s">
        <v>1296</v>
      </c>
      <c r="H839" s="148">
        <v>2</v>
      </c>
      <c r="I839" s="149">
        <v>6000</v>
      </c>
      <c r="J839" s="150">
        <v>0.15</v>
      </c>
      <c r="K839" s="149">
        <v>10200</v>
      </c>
      <c r="L839" s="149">
        <v>2455.71</v>
      </c>
      <c r="M839" s="5" t="s">
        <v>1126</v>
      </c>
      <c r="N839" s="5" t="s">
        <v>1304</v>
      </c>
      <c r="O839" s="5" t="s">
        <v>1305</v>
      </c>
      <c r="P839" s="5" t="s">
        <v>1323</v>
      </c>
      <c r="Q839" s="5" t="s">
        <v>1300</v>
      </c>
      <c r="R839" s="151">
        <v>5</v>
      </c>
      <c r="S839" s="143"/>
    </row>
    <row r="840" spans="1:19" x14ac:dyDescent="0.25">
      <c r="A840" s="5" t="s">
        <v>3845</v>
      </c>
      <c r="B840" s="147">
        <v>45699</v>
      </c>
      <c r="C840" s="5" t="s">
        <v>3846</v>
      </c>
      <c r="D840" s="5" t="s">
        <v>3847</v>
      </c>
      <c r="E840" s="5" t="s">
        <v>1370</v>
      </c>
      <c r="F840" s="5" t="s">
        <v>1160</v>
      </c>
      <c r="G840" s="5" t="s">
        <v>1371</v>
      </c>
      <c r="H840" s="148">
        <v>5</v>
      </c>
      <c r="I840" s="149">
        <v>7091</v>
      </c>
      <c r="J840" s="150">
        <v>0.15</v>
      </c>
      <c r="K840" s="149">
        <v>30136.75</v>
      </c>
      <c r="L840" s="149">
        <v>5368.13</v>
      </c>
      <c r="M840" s="5" t="s">
        <v>1381</v>
      </c>
      <c r="N840" s="5" t="s">
        <v>1352</v>
      </c>
      <c r="O840" s="5" t="s">
        <v>1352</v>
      </c>
      <c r="P840" s="5" t="s">
        <v>1299</v>
      </c>
      <c r="Q840" s="5" t="s">
        <v>1204</v>
      </c>
      <c r="R840" s="151">
        <v>1</v>
      </c>
      <c r="S840" s="143"/>
    </row>
    <row r="841" spans="1:19" x14ac:dyDescent="0.25">
      <c r="A841" s="5" t="s">
        <v>3848</v>
      </c>
      <c r="B841" s="147">
        <v>45874</v>
      </c>
      <c r="C841" s="5" t="s">
        <v>3849</v>
      </c>
      <c r="D841" s="5" t="s">
        <v>3850</v>
      </c>
      <c r="E841" s="5" t="s">
        <v>1331</v>
      </c>
      <c r="F841" s="5" t="s">
        <v>988</v>
      </c>
      <c r="G841" s="5" t="s">
        <v>1332</v>
      </c>
      <c r="H841" s="148">
        <v>5</v>
      </c>
      <c r="I841" s="149">
        <v>5573</v>
      </c>
      <c r="J841" s="150">
        <v>0.1</v>
      </c>
      <c r="K841" s="149">
        <v>25078.5</v>
      </c>
      <c r="L841" s="149">
        <v>4494.24</v>
      </c>
      <c r="M841" s="5" t="s">
        <v>1313</v>
      </c>
      <c r="N841" s="5" t="s">
        <v>1352</v>
      </c>
      <c r="O841" s="5" t="s">
        <v>1352</v>
      </c>
      <c r="P841" s="5" t="s">
        <v>1323</v>
      </c>
      <c r="Q841" s="5" t="s">
        <v>1184</v>
      </c>
      <c r="R841" s="151">
        <v>1</v>
      </c>
      <c r="S841" s="143"/>
    </row>
    <row r="842" spans="1:19" x14ac:dyDescent="0.25">
      <c r="A842" s="5" t="s">
        <v>3851</v>
      </c>
      <c r="B842" s="147">
        <v>45907</v>
      </c>
      <c r="C842" s="5" t="s">
        <v>3852</v>
      </c>
      <c r="D842" s="5" t="s">
        <v>3853</v>
      </c>
      <c r="E842" s="5" t="s">
        <v>1195</v>
      </c>
      <c r="F842" s="5" t="s">
        <v>988</v>
      </c>
      <c r="G842" s="5" t="s">
        <v>1336</v>
      </c>
      <c r="H842" s="148">
        <v>3</v>
      </c>
      <c r="I842" s="149">
        <v>3301</v>
      </c>
      <c r="J842" s="150">
        <v>0.2</v>
      </c>
      <c r="K842" s="149">
        <v>7922.4</v>
      </c>
      <c r="L842" s="149">
        <v>2363</v>
      </c>
      <c r="M842" s="5" t="s">
        <v>1344</v>
      </c>
      <c r="N842" s="5" t="s">
        <v>1352</v>
      </c>
      <c r="O842" s="5" t="s">
        <v>1352</v>
      </c>
      <c r="P842" s="5" t="s">
        <v>1299</v>
      </c>
      <c r="Q842" s="5" t="s">
        <v>1306</v>
      </c>
      <c r="R842" s="151">
        <v>5</v>
      </c>
      <c r="S842" s="143"/>
    </row>
    <row r="843" spans="1:19" x14ac:dyDescent="0.25">
      <c r="A843" s="5" t="s">
        <v>3854</v>
      </c>
      <c r="B843" s="147">
        <v>45978</v>
      </c>
      <c r="C843" s="5" t="s">
        <v>3855</v>
      </c>
      <c r="D843" s="5" t="s">
        <v>3856</v>
      </c>
      <c r="E843" s="5" t="s">
        <v>1331</v>
      </c>
      <c r="F843" s="5" t="s">
        <v>988</v>
      </c>
      <c r="G843" s="5" t="s">
        <v>1332</v>
      </c>
      <c r="H843" s="148">
        <v>4</v>
      </c>
      <c r="I843" s="149">
        <v>8698</v>
      </c>
      <c r="J843" s="150">
        <v>0</v>
      </c>
      <c r="K843" s="149">
        <v>34792</v>
      </c>
      <c r="L843" s="149">
        <v>6066.85</v>
      </c>
      <c r="M843" s="5" t="s">
        <v>1344</v>
      </c>
      <c r="N843" s="5" t="s">
        <v>1337</v>
      </c>
      <c r="O843" s="5" t="s">
        <v>1338</v>
      </c>
      <c r="P843" s="5" t="s">
        <v>1348</v>
      </c>
      <c r="Q843" s="5" t="s">
        <v>1204</v>
      </c>
      <c r="R843" s="151">
        <v>3</v>
      </c>
      <c r="S843" s="143"/>
    </row>
    <row r="844" spans="1:19" x14ac:dyDescent="0.25">
      <c r="A844" s="5" t="s">
        <v>3857</v>
      </c>
      <c r="B844" s="147">
        <v>45953</v>
      </c>
      <c r="C844" s="5" t="s">
        <v>3858</v>
      </c>
      <c r="D844" s="5" t="s">
        <v>3859</v>
      </c>
      <c r="E844" s="5" t="s">
        <v>1359</v>
      </c>
      <c r="F844" s="5" t="s">
        <v>1360</v>
      </c>
      <c r="G844" s="5" t="s">
        <v>1361</v>
      </c>
      <c r="H844" s="148">
        <v>4</v>
      </c>
      <c r="I844" s="149">
        <v>2654</v>
      </c>
      <c r="J844" s="150">
        <v>0.2</v>
      </c>
      <c r="K844" s="149">
        <v>8492.7999999999993</v>
      </c>
      <c r="L844" s="149">
        <v>2244.83</v>
      </c>
      <c r="M844" s="5" t="s">
        <v>1126</v>
      </c>
      <c r="N844" s="5" t="s">
        <v>1304</v>
      </c>
      <c r="O844" s="5" t="s">
        <v>1305</v>
      </c>
      <c r="P844" s="5" t="s">
        <v>1299</v>
      </c>
      <c r="Q844" s="5" t="s">
        <v>1306</v>
      </c>
      <c r="R844" s="151">
        <v>4</v>
      </c>
      <c r="S844" s="143"/>
    </row>
    <row r="845" spans="1:19" x14ac:dyDescent="0.25">
      <c r="A845" s="5" t="s">
        <v>3860</v>
      </c>
      <c r="B845" s="147">
        <v>45739</v>
      </c>
      <c r="C845" s="5" t="s">
        <v>3861</v>
      </c>
      <c r="D845" s="5" t="s">
        <v>3862</v>
      </c>
      <c r="E845" s="5" t="s">
        <v>1359</v>
      </c>
      <c r="F845" s="5" t="s">
        <v>1360</v>
      </c>
      <c r="G845" s="5" t="s">
        <v>1361</v>
      </c>
      <c r="H845" s="148">
        <v>5</v>
      </c>
      <c r="I845" s="149">
        <v>8286</v>
      </c>
      <c r="J845" s="150">
        <v>0</v>
      </c>
      <c r="K845" s="149">
        <v>41430</v>
      </c>
      <c r="L845" s="149">
        <v>7647.06</v>
      </c>
      <c r="M845" s="5" t="s">
        <v>1344</v>
      </c>
      <c r="N845" s="5" t="s">
        <v>1337</v>
      </c>
      <c r="O845" s="5" t="s">
        <v>1338</v>
      </c>
      <c r="P845" s="5" t="s">
        <v>1327</v>
      </c>
      <c r="Q845" s="5" t="s">
        <v>1204</v>
      </c>
      <c r="R845" s="151">
        <v>2</v>
      </c>
      <c r="S845" s="143"/>
    </row>
    <row r="846" spans="1:19" x14ac:dyDescent="0.25">
      <c r="A846" s="5" t="s">
        <v>3863</v>
      </c>
      <c r="B846" s="147">
        <v>46017</v>
      </c>
      <c r="C846" s="5" t="s">
        <v>3864</v>
      </c>
      <c r="D846" s="5" t="s">
        <v>3865</v>
      </c>
      <c r="E846" s="5" t="s">
        <v>1310</v>
      </c>
      <c r="F846" s="5" t="s">
        <v>1311</v>
      </c>
      <c r="G846" s="5" t="s">
        <v>1312</v>
      </c>
      <c r="H846" s="148">
        <v>1</v>
      </c>
      <c r="I846" s="149">
        <v>9490</v>
      </c>
      <c r="J846" s="150">
        <v>0.2</v>
      </c>
      <c r="K846" s="149">
        <v>7592</v>
      </c>
      <c r="L846" s="149">
        <v>2016.93</v>
      </c>
      <c r="M846" s="5" t="s">
        <v>1130</v>
      </c>
      <c r="N846" s="5" t="s">
        <v>1297</v>
      </c>
      <c r="O846" s="5" t="s">
        <v>1298</v>
      </c>
      <c r="P846" s="5" t="s">
        <v>1314</v>
      </c>
      <c r="Q846" s="5" t="s">
        <v>1306</v>
      </c>
      <c r="R846" s="151">
        <v>1</v>
      </c>
      <c r="S846" s="143"/>
    </row>
    <row r="847" spans="1:19" x14ac:dyDescent="0.25">
      <c r="A847" s="5" t="s">
        <v>3866</v>
      </c>
      <c r="B847" s="147">
        <v>45751</v>
      </c>
      <c r="C847" s="5" t="s">
        <v>3867</v>
      </c>
      <c r="D847" s="5" t="s">
        <v>3868</v>
      </c>
      <c r="E847" s="5" t="s">
        <v>1310</v>
      </c>
      <c r="F847" s="5" t="s">
        <v>1311</v>
      </c>
      <c r="G847" s="5" t="s">
        <v>1312</v>
      </c>
      <c r="H847" s="148">
        <v>3</v>
      </c>
      <c r="I847" s="149">
        <v>2148</v>
      </c>
      <c r="J847" s="150">
        <v>0.2</v>
      </c>
      <c r="K847" s="149">
        <v>5155.2</v>
      </c>
      <c r="L847" s="149">
        <v>989.75</v>
      </c>
      <c r="M847" s="5" t="s">
        <v>1344</v>
      </c>
      <c r="N847" s="5" t="s">
        <v>1362</v>
      </c>
      <c r="O847" s="5" t="s">
        <v>1363</v>
      </c>
      <c r="P847" s="5" t="s">
        <v>1299</v>
      </c>
      <c r="Q847" s="5" t="s">
        <v>1184</v>
      </c>
      <c r="R847" s="151">
        <v>1</v>
      </c>
      <c r="S847" s="143"/>
    </row>
    <row r="848" spans="1:19" x14ac:dyDescent="0.25">
      <c r="A848" s="5" t="s">
        <v>3869</v>
      </c>
      <c r="B848" s="147">
        <v>45674</v>
      </c>
      <c r="C848" s="5" t="s">
        <v>3870</v>
      </c>
      <c r="D848" s="5" t="s">
        <v>3871</v>
      </c>
      <c r="E848" s="5" t="s">
        <v>1195</v>
      </c>
      <c r="F848" s="5" t="s">
        <v>988</v>
      </c>
      <c r="G848" s="5" t="s">
        <v>1336</v>
      </c>
      <c r="H848" s="148">
        <v>1</v>
      </c>
      <c r="I848" s="149">
        <v>6786</v>
      </c>
      <c r="J848" s="150">
        <v>0</v>
      </c>
      <c r="K848" s="149">
        <v>6786</v>
      </c>
      <c r="L848" s="149">
        <v>863.18</v>
      </c>
      <c r="M848" s="5" t="s">
        <v>1313</v>
      </c>
      <c r="N848" s="5" t="s">
        <v>1304</v>
      </c>
      <c r="O848" s="5" t="s">
        <v>1305</v>
      </c>
      <c r="P848" s="5" t="s">
        <v>1314</v>
      </c>
      <c r="Q848" s="5" t="s">
        <v>1306</v>
      </c>
      <c r="R848" s="151">
        <v>5</v>
      </c>
      <c r="S848" s="143"/>
    </row>
    <row r="849" spans="1:19" x14ac:dyDescent="0.25">
      <c r="A849" s="5" t="s">
        <v>3872</v>
      </c>
      <c r="B849" s="147">
        <v>45663</v>
      </c>
      <c r="C849" s="5" t="s">
        <v>3873</v>
      </c>
      <c r="D849" s="5" t="s">
        <v>3874</v>
      </c>
      <c r="E849" s="5" t="s">
        <v>1342</v>
      </c>
      <c r="F849" s="5" t="s">
        <v>988</v>
      </c>
      <c r="G849" s="5" t="s">
        <v>1343</v>
      </c>
      <c r="H849" s="148">
        <v>2</v>
      </c>
      <c r="I849" s="149">
        <v>7001</v>
      </c>
      <c r="J849" s="150">
        <v>0.05</v>
      </c>
      <c r="K849" s="149">
        <v>13301.9</v>
      </c>
      <c r="L849" s="149">
        <v>2236.06</v>
      </c>
      <c r="M849" s="5" t="s">
        <v>1381</v>
      </c>
      <c r="N849" s="5" t="s">
        <v>1297</v>
      </c>
      <c r="O849" s="5" t="s">
        <v>1298</v>
      </c>
      <c r="P849" s="5" t="s">
        <v>1327</v>
      </c>
      <c r="Q849" s="5" t="s">
        <v>1204</v>
      </c>
      <c r="R849" s="151">
        <v>3</v>
      </c>
      <c r="S849" s="143"/>
    </row>
    <row r="850" spans="1:19" x14ac:dyDescent="0.25">
      <c r="A850" s="5" t="s">
        <v>3875</v>
      </c>
      <c r="B850" s="147">
        <v>45700</v>
      </c>
      <c r="C850" s="5" t="s">
        <v>3876</v>
      </c>
      <c r="D850" s="5" t="s">
        <v>3877</v>
      </c>
      <c r="E850" s="5" t="s">
        <v>1295</v>
      </c>
      <c r="F850" s="5" t="s">
        <v>985</v>
      </c>
      <c r="G850" s="5" t="s">
        <v>1296</v>
      </c>
      <c r="H850" s="148">
        <v>1</v>
      </c>
      <c r="I850" s="149">
        <v>14695</v>
      </c>
      <c r="J850" s="150">
        <v>0.15</v>
      </c>
      <c r="K850" s="149">
        <v>12490.75</v>
      </c>
      <c r="L850" s="149">
        <v>3233.56</v>
      </c>
      <c r="M850" s="5" t="s">
        <v>1130</v>
      </c>
      <c r="N850" s="5" t="s">
        <v>1297</v>
      </c>
      <c r="O850" s="5" t="s">
        <v>1298</v>
      </c>
      <c r="P850" s="5" t="s">
        <v>1348</v>
      </c>
      <c r="Q850" s="5" t="s">
        <v>1306</v>
      </c>
      <c r="R850" s="151">
        <v>1</v>
      </c>
      <c r="S850" s="143"/>
    </row>
    <row r="851" spans="1:19" x14ac:dyDescent="0.25">
      <c r="A851" s="5" t="s">
        <v>3878</v>
      </c>
      <c r="B851" s="147">
        <v>45902</v>
      </c>
      <c r="C851" s="5" t="s">
        <v>3879</v>
      </c>
      <c r="D851" s="5" t="s">
        <v>3880</v>
      </c>
      <c r="E851" s="5" t="s">
        <v>1370</v>
      </c>
      <c r="F851" s="5" t="s">
        <v>1160</v>
      </c>
      <c r="G851" s="5" t="s">
        <v>1371</v>
      </c>
      <c r="H851" s="148">
        <v>1</v>
      </c>
      <c r="I851" s="149">
        <v>12457</v>
      </c>
      <c r="J851" s="150">
        <v>0</v>
      </c>
      <c r="K851" s="149">
        <v>12457</v>
      </c>
      <c r="L851" s="149">
        <v>2297.59</v>
      </c>
      <c r="M851" s="5" t="s">
        <v>1381</v>
      </c>
      <c r="N851" s="5" t="s">
        <v>1362</v>
      </c>
      <c r="O851" s="5" t="s">
        <v>1363</v>
      </c>
      <c r="P851" s="5" t="s">
        <v>1314</v>
      </c>
      <c r="Q851" s="5" t="s">
        <v>1306</v>
      </c>
      <c r="R851" s="151">
        <v>2</v>
      </c>
      <c r="S851" s="143"/>
    </row>
    <row r="852" spans="1:19" x14ac:dyDescent="0.25">
      <c r="A852" s="5" t="s">
        <v>3881</v>
      </c>
      <c r="B852" s="147">
        <v>45702</v>
      </c>
      <c r="C852" s="5" t="s">
        <v>3882</v>
      </c>
      <c r="D852" s="5" t="s">
        <v>3883</v>
      </c>
      <c r="E852" s="5" t="s">
        <v>1318</v>
      </c>
      <c r="F852" s="5" t="s">
        <v>1319</v>
      </c>
      <c r="G852" s="5" t="s">
        <v>1320</v>
      </c>
      <c r="H852" s="148">
        <v>5</v>
      </c>
      <c r="I852" s="149">
        <v>309</v>
      </c>
      <c r="J852" s="150">
        <v>0.2</v>
      </c>
      <c r="K852" s="149">
        <v>1236</v>
      </c>
      <c r="L852" s="149">
        <v>252.83</v>
      </c>
      <c r="M852" s="5" t="s">
        <v>1313</v>
      </c>
      <c r="N852" s="5" t="s">
        <v>1337</v>
      </c>
      <c r="O852" s="5" t="s">
        <v>1338</v>
      </c>
      <c r="P852" s="5" t="s">
        <v>1299</v>
      </c>
      <c r="Q852" s="5" t="s">
        <v>1306</v>
      </c>
      <c r="R852" s="151">
        <v>2</v>
      </c>
      <c r="S852" s="143"/>
    </row>
    <row r="853" spans="1:19" x14ac:dyDescent="0.25">
      <c r="A853" s="5" t="s">
        <v>3884</v>
      </c>
      <c r="B853" s="147">
        <v>45797</v>
      </c>
      <c r="C853" s="5" t="s">
        <v>3885</v>
      </c>
      <c r="D853" s="5" t="s">
        <v>3886</v>
      </c>
      <c r="E853" s="5" t="s">
        <v>1359</v>
      </c>
      <c r="F853" s="5" t="s">
        <v>1360</v>
      </c>
      <c r="G853" s="5" t="s">
        <v>1361</v>
      </c>
      <c r="H853" s="148">
        <v>1</v>
      </c>
      <c r="I853" s="149">
        <v>2914</v>
      </c>
      <c r="J853" s="150">
        <v>0.2</v>
      </c>
      <c r="K853" s="149">
        <v>2331.1999999999998</v>
      </c>
      <c r="L853" s="149">
        <v>488.65</v>
      </c>
      <c r="M853" s="5" t="s">
        <v>1130</v>
      </c>
      <c r="N853" s="5" t="s">
        <v>1321</v>
      </c>
      <c r="O853" s="5" t="s">
        <v>1322</v>
      </c>
      <c r="P853" s="5" t="s">
        <v>1299</v>
      </c>
      <c r="Q853" s="5" t="s">
        <v>1306</v>
      </c>
      <c r="R853" s="151">
        <v>5</v>
      </c>
      <c r="S853" s="143"/>
    </row>
    <row r="854" spans="1:19" x14ac:dyDescent="0.25">
      <c r="A854" s="5" t="s">
        <v>3887</v>
      </c>
      <c r="B854" s="147">
        <v>45723</v>
      </c>
      <c r="C854" s="5" t="s">
        <v>3888</v>
      </c>
      <c r="D854" s="5" t="s">
        <v>3889</v>
      </c>
      <c r="E854" s="5" t="s">
        <v>1359</v>
      </c>
      <c r="F854" s="5" t="s">
        <v>1360</v>
      </c>
      <c r="G854" s="5" t="s">
        <v>1361</v>
      </c>
      <c r="H854" s="148">
        <v>2</v>
      </c>
      <c r="I854" s="149">
        <v>8605</v>
      </c>
      <c r="J854" s="150">
        <v>0.05</v>
      </c>
      <c r="K854" s="149">
        <v>16349.5</v>
      </c>
      <c r="L854" s="149">
        <v>1594.75</v>
      </c>
      <c r="M854" s="5" t="s">
        <v>1344</v>
      </c>
      <c r="N854" s="5" t="s">
        <v>1352</v>
      </c>
      <c r="O854" s="5" t="s">
        <v>1352</v>
      </c>
      <c r="P854" s="5" t="s">
        <v>1327</v>
      </c>
      <c r="Q854" s="5" t="s">
        <v>1204</v>
      </c>
      <c r="R854" s="151">
        <v>3</v>
      </c>
      <c r="S854" s="143"/>
    </row>
    <row r="855" spans="1:19" x14ac:dyDescent="0.25">
      <c r="A855" s="5" t="s">
        <v>3890</v>
      </c>
      <c r="B855" s="147">
        <v>45815</v>
      </c>
      <c r="C855" s="5" t="s">
        <v>3891</v>
      </c>
      <c r="D855" s="5" t="s">
        <v>3892</v>
      </c>
      <c r="E855" s="5" t="s">
        <v>1359</v>
      </c>
      <c r="F855" s="5" t="s">
        <v>1360</v>
      </c>
      <c r="G855" s="5" t="s">
        <v>1361</v>
      </c>
      <c r="H855" s="148">
        <v>1</v>
      </c>
      <c r="I855" s="149">
        <v>9805</v>
      </c>
      <c r="J855" s="150">
        <v>0.15</v>
      </c>
      <c r="K855" s="149">
        <v>8334.25</v>
      </c>
      <c r="L855" s="149">
        <v>2178.7800000000002</v>
      </c>
      <c r="M855" s="5" t="s">
        <v>1381</v>
      </c>
      <c r="N855" s="5" t="s">
        <v>1297</v>
      </c>
      <c r="O855" s="5" t="s">
        <v>1298</v>
      </c>
      <c r="P855" s="5" t="s">
        <v>1323</v>
      </c>
      <c r="Q855" s="5" t="s">
        <v>1306</v>
      </c>
      <c r="R855" s="151">
        <v>4</v>
      </c>
      <c r="S855" s="143"/>
    </row>
    <row r="856" spans="1:19" x14ac:dyDescent="0.25">
      <c r="A856" s="5" t="s">
        <v>3893</v>
      </c>
      <c r="B856" s="147">
        <v>45731</v>
      </c>
      <c r="C856" s="5" t="s">
        <v>3894</v>
      </c>
      <c r="D856" s="5" t="s">
        <v>3895</v>
      </c>
      <c r="E856" s="5" t="s">
        <v>1318</v>
      </c>
      <c r="F856" s="5" t="s">
        <v>1319</v>
      </c>
      <c r="G856" s="5" t="s">
        <v>1320</v>
      </c>
      <c r="H856" s="148">
        <v>2</v>
      </c>
      <c r="I856" s="149">
        <v>5394</v>
      </c>
      <c r="J856" s="150">
        <v>0.1</v>
      </c>
      <c r="K856" s="149">
        <v>9709.2000000000007</v>
      </c>
      <c r="L856" s="149">
        <v>1717.33</v>
      </c>
      <c r="M856" s="5" t="s">
        <v>1130</v>
      </c>
      <c r="N856" s="5" t="s">
        <v>1297</v>
      </c>
      <c r="O856" s="5" t="s">
        <v>1298</v>
      </c>
      <c r="P856" s="5" t="s">
        <v>1323</v>
      </c>
      <c r="Q856" s="5" t="s">
        <v>1300</v>
      </c>
      <c r="R856" s="151">
        <v>4</v>
      </c>
      <c r="S856" s="143"/>
    </row>
    <row r="857" spans="1:19" x14ac:dyDescent="0.25">
      <c r="A857" s="5" t="s">
        <v>3896</v>
      </c>
      <c r="B857" s="147">
        <v>45715</v>
      </c>
      <c r="C857" s="5" t="s">
        <v>3897</v>
      </c>
      <c r="D857" s="5" t="s">
        <v>3898</v>
      </c>
      <c r="E857" s="5" t="s">
        <v>1370</v>
      </c>
      <c r="F857" s="5" t="s">
        <v>1160</v>
      </c>
      <c r="G857" s="5" t="s">
        <v>1371</v>
      </c>
      <c r="H857" s="148">
        <v>4</v>
      </c>
      <c r="I857" s="149">
        <v>2677</v>
      </c>
      <c r="J857" s="150">
        <v>0.15</v>
      </c>
      <c r="K857" s="149">
        <v>9101.7999999999993</v>
      </c>
      <c r="L857" s="149">
        <v>915.39</v>
      </c>
      <c r="M857" s="5" t="s">
        <v>1381</v>
      </c>
      <c r="N857" s="5" t="s">
        <v>1304</v>
      </c>
      <c r="O857" s="5" t="s">
        <v>1305</v>
      </c>
      <c r="P857" s="5" t="s">
        <v>1348</v>
      </c>
      <c r="Q857" s="5" t="s">
        <v>1204</v>
      </c>
      <c r="R857" s="151">
        <v>3</v>
      </c>
      <c r="S857" s="143"/>
    </row>
    <row r="858" spans="1:19" x14ac:dyDescent="0.25">
      <c r="A858" s="5" t="s">
        <v>3899</v>
      </c>
      <c r="B858" s="147">
        <v>45941</v>
      </c>
      <c r="C858" s="5" t="s">
        <v>3900</v>
      </c>
      <c r="D858" s="5" t="s">
        <v>3901</v>
      </c>
      <c r="E858" s="5" t="s">
        <v>1195</v>
      </c>
      <c r="F858" s="5" t="s">
        <v>988</v>
      </c>
      <c r="G858" s="5" t="s">
        <v>1336</v>
      </c>
      <c r="H858" s="148">
        <v>5</v>
      </c>
      <c r="I858" s="149">
        <v>6012</v>
      </c>
      <c r="J858" s="150">
        <v>0.2</v>
      </c>
      <c r="K858" s="149">
        <v>24048</v>
      </c>
      <c r="L858" s="149">
        <v>2318.4699999999998</v>
      </c>
      <c r="M858" s="5" t="s">
        <v>1313</v>
      </c>
      <c r="N858" s="5" t="s">
        <v>1297</v>
      </c>
      <c r="O858" s="5" t="s">
        <v>1298</v>
      </c>
      <c r="P858" s="5" t="s">
        <v>1323</v>
      </c>
      <c r="Q858" s="5" t="s">
        <v>1306</v>
      </c>
      <c r="R858" s="151">
        <v>2</v>
      </c>
      <c r="S858" s="143"/>
    </row>
    <row r="859" spans="1:19" x14ac:dyDescent="0.25">
      <c r="A859" s="5" t="s">
        <v>3902</v>
      </c>
      <c r="B859" s="147">
        <v>45899</v>
      </c>
      <c r="C859" s="5" t="s">
        <v>3903</v>
      </c>
      <c r="D859" s="5" t="s">
        <v>3904</v>
      </c>
      <c r="E859" s="5" t="s">
        <v>1359</v>
      </c>
      <c r="F859" s="5" t="s">
        <v>1360</v>
      </c>
      <c r="G859" s="5" t="s">
        <v>1361</v>
      </c>
      <c r="H859" s="148">
        <v>5</v>
      </c>
      <c r="I859" s="149">
        <v>5099</v>
      </c>
      <c r="J859" s="150">
        <v>0.15</v>
      </c>
      <c r="K859" s="149">
        <v>21670.75</v>
      </c>
      <c r="L859" s="149">
        <v>3727.58</v>
      </c>
      <c r="M859" s="5" t="s">
        <v>1313</v>
      </c>
      <c r="N859" s="5" t="s">
        <v>1304</v>
      </c>
      <c r="O859" s="5" t="s">
        <v>1305</v>
      </c>
      <c r="P859" s="5" t="s">
        <v>1327</v>
      </c>
      <c r="Q859" s="5" t="s">
        <v>1184</v>
      </c>
      <c r="R859" s="151">
        <v>3</v>
      </c>
      <c r="S859" s="143"/>
    </row>
    <row r="860" spans="1:19" x14ac:dyDescent="0.25">
      <c r="A860" s="5" t="s">
        <v>3905</v>
      </c>
      <c r="B860" s="147">
        <v>46002</v>
      </c>
      <c r="C860" s="5" t="s">
        <v>3906</v>
      </c>
      <c r="D860" s="5" t="s">
        <v>3907</v>
      </c>
      <c r="E860" s="5" t="s">
        <v>1342</v>
      </c>
      <c r="F860" s="5" t="s">
        <v>988</v>
      </c>
      <c r="G860" s="5" t="s">
        <v>1343</v>
      </c>
      <c r="H860" s="148">
        <v>3</v>
      </c>
      <c r="I860" s="149">
        <v>5202</v>
      </c>
      <c r="J860" s="150">
        <v>0.15</v>
      </c>
      <c r="K860" s="149">
        <v>13265.1</v>
      </c>
      <c r="L860" s="149">
        <v>1769.93</v>
      </c>
      <c r="M860" s="5" t="s">
        <v>1313</v>
      </c>
      <c r="N860" s="5" t="s">
        <v>1321</v>
      </c>
      <c r="O860" s="5" t="s">
        <v>1322</v>
      </c>
      <c r="P860" s="5" t="s">
        <v>1348</v>
      </c>
      <c r="Q860" s="5" t="s">
        <v>1300</v>
      </c>
      <c r="R860" s="151">
        <v>4</v>
      </c>
      <c r="S860" s="143"/>
    </row>
    <row r="861" spans="1:19" x14ac:dyDescent="0.25">
      <c r="A861" s="5" t="s">
        <v>3908</v>
      </c>
      <c r="B861" s="147">
        <v>45711</v>
      </c>
      <c r="C861" s="5" t="s">
        <v>3909</v>
      </c>
      <c r="D861" s="5" t="s">
        <v>3910</v>
      </c>
      <c r="E861" s="5" t="s">
        <v>1359</v>
      </c>
      <c r="F861" s="5" t="s">
        <v>1360</v>
      </c>
      <c r="G861" s="5" t="s">
        <v>1361</v>
      </c>
      <c r="H861" s="148">
        <v>2</v>
      </c>
      <c r="I861" s="149">
        <v>10837</v>
      </c>
      <c r="J861" s="150">
        <v>0.05</v>
      </c>
      <c r="K861" s="149">
        <v>20590.3</v>
      </c>
      <c r="L861" s="149">
        <v>5357.02</v>
      </c>
      <c r="M861" s="5" t="s">
        <v>1344</v>
      </c>
      <c r="N861" s="5" t="s">
        <v>1362</v>
      </c>
      <c r="O861" s="5" t="s">
        <v>1363</v>
      </c>
      <c r="P861" s="5" t="s">
        <v>1314</v>
      </c>
      <c r="Q861" s="5" t="s">
        <v>1306</v>
      </c>
      <c r="R861" s="151">
        <v>2</v>
      </c>
      <c r="S861" s="143"/>
    </row>
    <row r="862" spans="1:19" x14ac:dyDescent="0.25">
      <c r="A862" s="5" t="s">
        <v>3911</v>
      </c>
      <c r="B862" s="147">
        <v>45762</v>
      </c>
      <c r="C862" s="5" t="s">
        <v>3912</v>
      </c>
      <c r="D862" s="5" t="s">
        <v>3913</v>
      </c>
      <c r="E862" s="5" t="s">
        <v>1331</v>
      </c>
      <c r="F862" s="5" t="s">
        <v>988</v>
      </c>
      <c r="G862" s="5" t="s">
        <v>1332</v>
      </c>
      <c r="H862" s="148">
        <v>1</v>
      </c>
      <c r="I862" s="149">
        <v>4660</v>
      </c>
      <c r="J862" s="150">
        <v>0</v>
      </c>
      <c r="K862" s="149">
        <v>4660</v>
      </c>
      <c r="L862" s="149">
        <v>563.74</v>
      </c>
      <c r="M862" s="5" t="s">
        <v>1126</v>
      </c>
      <c r="N862" s="5" t="s">
        <v>1362</v>
      </c>
      <c r="O862" s="5" t="s">
        <v>1363</v>
      </c>
      <c r="P862" s="5" t="s">
        <v>1323</v>
      </c>
      <c r="Q862" s="5" t="s">
        <v>1184</v>
      </c>
      <c r="R862" s="151">
        <v>1</v>
      </c>
      <c r="S862" s="143"/>
    </row>
    <row r="863" spans="1:19" x14ac:dyDescent="0.25">
      <c r="A863" s="5" t="s">
        <v>3914</v>
      </c>
      <c r="B863" s="147">
        <v>45754</v>
      </c>
      <c r="C863" s="5" t="s">
        <v>3915</v>
      </c>
      <c r="D863" s="5" t="s">
        <v>3916</v>
      </c>
      <c r="E863" s="5" t="s">
        <v>1331</v>
      </c>
      <c r="F863" s="5" t="s">
        <v>988</v>
      </c>
      <c r="G863" s="5" t="s">
        <v>1332</v>
      </c>
      <c r="H863" s="148">
        <v>1</v>
      </c>
      <c r="I863" s="149">
        <v>3020</v>
      </c>
      <c r="J863" s="150">
        <v>0.2</v>
      </c>
      <c r="K863" s="149">
        <v>2416</v>
      </c>
      <c r="L863" s="149">
        <v>591.4</v>
      </c>
      <c r="M863" s="5" t="s">
        <v>1313</v>
      </c>
      <c r="N863" s="5" t="s">
        <v>1297</v>
      </c>
      <c r="O863" s="5" t="s">
        <v>1298</v>
      </c>
      <c r="P863" s="5" t="s">
        <v>1348</v>
      </c>
      <c r="Q863" s="5" t="s">
        <v>1204</v>
      </c>
      <c r="R863" s="151">
        <v>4</v>
      </c>
      <c r="S863" s="143"/>
    </row>
    <row r="864" spans="1:19" x14ac:dyDescent="0.25">
      <c r="A864" s="5" t="s">
        <v>3917</v>
      </c>
      <c r="B864" s="147">
        <v>46005</v>
      </c>
      <c r="C864" s="5" t="s">
        <v>3918</v>
      </c>
      <c r="D864" s="5" t="s">
        <v>3919</v>
      </c>
      <c r="E864" s="5" t="s">
        <v>1195</v>
      </c>
      <c r="F864" s="5" t="s">
        <v>988</v>
      </c>
      <c r="G864" s="5" t="s">
        <v>1336</v>
      </c>
      <c r="H864" s="148">
        <v>4</v>
      </c>
      <c r="I864" s="149">
        <v>11532</v>
      </c>
      <c r="J864" s="150">
        <v>0</v>
      </c>
      <c r="K864" s="149">
        <v>46128</v>
      </c>
      <c r="L864" s="149">
        <v>13370.35</v>
      </c>
      <c r="M864" s="5" t="s">
        <v>1344</v>
      </c>
      <c r="N864" s="5" t="s">
        <v>1297</v>
      </c>
      <c r="O864" s="5" t="s">
        <v>1298</v>
      </c>
      <c r="P864" s="5" t="s">
        <v>1323</v>
      </c>
      <c r="Q864" s="5" t="s">
        <v>1184</v>
      </c>
      <c r="R864" s="151">
        <v>4</v>
      </c>
      <c r="S864" s="143"/>
    </row>
    <row r="865" spans="1:19" x14ac:dyDescent="0.25">
      <c r="A865" s="5" t="s">
        <v>3920</v>
      </c>
      <c r="B865" s="147">
        <v>45998</v>
      </c>
      <c r="C865" s="5" t="s">
        <v>3921</v>
      </c>
      <c r="D865" s="5" t="s">
        <v>3922</v>
      </c>
      <c r="E865" s="5" t="s">
        <v>1331</v>
      </c>
      <c r="F865" s="5" t="s">
        <v>988</v>
      </c>
      <c r="G865" s="5" t="s">
        <v>1332</v>
      </c>
      <c r="H865" s="148">
        <v>1</v>
      </c>
      <c r="I865" s="149">
        <v>9858</v>
      </c>
      <c r="J865" s="150">
        <v>0.15</v>
      </c>
      <c r="K865" s="149">
        <v>8379.2999999999993</v>
      </c>
      <c r="L865" s="149">
        <v>2103.71</v>
      </c>
      <c r="M865" s="5" t="s">
        <v>1381</v>
      </c>
      <c r="N865" s="5" t="s">
        <v>1297</v>
      </c>
      <c r="O865" s="5" t="s">
        <v>1298</v>
      </c>
      <c r="P865" s="5" t="s">
        <v>1314</v>
      </c>
      <c r="Q865" s="5" t="s">
        <v>1306</v>
      </c>
      <c r="R865" s="151">
        <v>2</v>
      </c>
      <c r="S865" s="143"/>
    </row>
    <row r="866" spans="1:19" x14ac:dyDescent="0.25">
      <c r="A866" s="5" t="s">
        <v>3923</v>
      </c>
      <c r="B866" s="147">
        <v>45747</v>
      </c>
      <c r="C866" s="5" t="s">
        <v>3924</v>
      </c>
      <c r="D866" s="5" t="s">
        <v>3925</v>
      </c>
      <c r="E866" s="5" t="s">
        <v>1359</v>
      </c>
      <c r="F866" s="5" t="s">
        <v>1360</v>
      </c>
      <c r="G866" s="5" t="s">
        <v>1361</v>
      </c>
      <c r="H866" s="148">
        <v>3</v>
      </c>
      <c r="I866" s="149">
        <v>9324</v>
      </c>
      <c r="J866" s="150">
        <v>0.15</v>
      </c>
      <c r="K866" s="149">
        <v>23776.2</v>
      </c>
      <c r="L866" s="149">
        <v>5401.73</v>
      </c>
      <c r="M866" s="5" t="s">
        <v>1381</v>
      </c>
      <c r="N866" s="5" t="s">
        <v>1304</v>
      </c>
      <c r="O866" s="5" t="s">
        <v>1305</v>
      </c>
      <c r="P866" s="5" t="s">
        <v>1323</v>
      </c>
      <c r="Q866" s="5" t="s">
        <v>1204</v>
      </c>
      <c r="R866" s="151">
        <v>3</v>
      </c>
      <c r="S866" s="143"/>
    </row>
    <row r="867" spans="1:19" x14ac:dyDescent="0.25">
      <c r="A867" s="5" t="s">
        <v>3926</v>
      </c>
      <c r="B867" s="147">
        <v>45915</v>
      </c>
      <c r="C867" s="5" t="s">
        <v>3927</v>
      </c>
      <c r="D867" s="5" t="s">
        <v>3928</v>
      </c>
      <c r="E867" s="5" t="s">
        <v>1318</v>
      </c>
      <c r="F867" s="5" t="s">
        <v>1319</v>
      </c>
      <c r="G867" s="5" t="s">
        <v>1320</v>
      </c>
      <c r="H867" s="148">
        <v>2</v>
      </c>
      <c r="I867" s="149">
        <v>424</v>
      </c>
      <c r="J867" s="150">
        <v>0</v>
      </c>
      <c r="K867" s="149">
        <v>848</v>
      </c>
      <c r="L867" s="149">
        <v>116.98</v>
      </c>
      <c r="M867" s="5" t="s">
        <v>1344</v>
      </c>
      <c r="N867" s="5" t="s">
        <v>1337</v>
      </c>
      <c r="O867" s="5" t="s">
        <v>1338</v>
      </c>
      <c r="P867" s="5" t="s">
        <v>1327</v>
      </c>
      <c r="Q867" s="5" t="s">
        <v>1300</v>
      </c>
      <c r="R867" s="151">
        <v>1</v>
      </c>
      <c r="S867" s="143"/>
    </row>
    <row r="868" spans="1:19" x14ac:dyDescent="0.25">
      <c r="A868" s="5" t="s">
        <v>3929</v>
      </c>
      <c r="B868" s="147">
        <v>45726</v>
      </c>
      <c r="C868" s="5" t="s">
        <v>3930</v>
      </c>
      <c r="D868" s="5" t="s">
        <v>3931</v>
      </c>
      <c r="E868" s="5" t="s">
        <v>1295</v>
      </c>
      <c r="F868" s="5" t="s">
        <v>985</v>
      </c>
      <c r="G868" s="5" t="s">
        <v>1296</v>
      </c>
      <c r="H868" s="148">
        <v>5</v>
      </c>
      <c r="I868" s="149">
        <v>3141</v>
      </c>
      <c r="J868" s="150">
        <v>0.2</v>
      </c>
      <c r="K868" s="149">
        <v>12564</v>
      </c>
      <c r="L868" s="149">
        <v>2804.29</v>
      </c>
      <c r="M868" s="5" t="s">
        <v>1313</v>
      </c>
      <c r="N868" s="5" t="s">
        <v>1321</v>
      </c>
      <c r="O868" s="5" t="s">
        <v>1322</v>
      </c>
      <c r="P868" s="5" t="s">
        <v>1323</v>
      </c>
      <c r="Q868" s="5" t="s">
        <v>1184</v>
      </c>
      <c r="R868" s="151">
        <v>4</v>
      </c>
      <c r="S868" s="143"/>
    </row>
    <row r="869" spans="1:19" x14ac:dyDescent="0.25">
      <c r="A869" s="5" t="s">
        <v>3932</v>
      </c>
      <c r="B869" s="147">
        <v>45759</v>
      </c>
      <c r="C869" s="5" t="s">
        <v>3933</v>
      </c>
      <c r="D869" s="5" t="s">
        <v>3934</v>
      </c>
      <c r="E869" s="5" t="s">
        <v>1370</v>
      </c>
      <c r="F869" s="5" t="s">
        <v>1160</v>
      </c>
      <c r="G869" s="5" t="s">
        <v>1371</v>
      </c>
      <c r="H869" s="148">
        <v>2</v>
      </c>
      <c r="I869" s="149">
        <v>7695</v>
      </c>
      <c r="J869" s="150">
        <v>0.2</v>
      </c>
      <c r="K869" s="149">
        <v>12312</v>
      </c>
      <c r="L869" s="149">
        <v>3348.87</v>
      </c>
      <c r="M869" s="5" t="s">
        <v>1126</v>
      </c>
      <c r="N869" s="5" t="s">
        <v>1304</v>
      </c>
      <c r="O869" s="5" t="s">
        <v>1305</v>
      </c>
      <c r="P869" s="5" t="s">
        <v>1323</v>
      </c>
      <c r="Q869" s="5" t="s">
        <v>1306</v>
      </c>
      <c r="R869" s="151">
        <v>2</v>
      </c>
      <c r="S869" s="143"/>
    </row>
    <row r="870" spans="1:19" x14ac:dyDescent="0.25">
      <c r="A870" s="5" t="s">
        <v>3935</v>
      </c>
      <c r="B870" s="147">
        <v>45847</v>
      </c>
      <c r="C870" s="5" t="s">
        <v>3936</v>
      </c>
      <c r="D870" s="5" t="s">
        <v>3937</v>
      </c>
      <c r="E870" s="5" t="s">
        <v>1310</v>
      </c>
      <c r="F870" s="5" t="s">
        <v>1311</v>
      </c>
      <c r="G870" s="5" t="s">
        <v>1312</v>
      </c>
      <c r="H870" s="148">
        <v>5</v>
      </c>
      <c r="I870" s="149">
        <v>1096</v>
      </c>
      <c r="J870" s="150">
        <v>0.05</v>
      </c>
      <c r="K870" s="149">
        <v>5206</v>
      </c>
      <c r="L870" s="149">
        <v>982.3</v>
      </c>
      <c r="M870" s="5" t="s">
        <v>1126</v>
      </c>
      <c r="N870" s="5" t="s">
        <v>1321</v>
      </c>
      <c r="O870" s="5" t="s">
        <v>1322</v>
      </c>
      <c r="P870" s="5" t="s">
        <v>1348</v>
      </c>
      <c r="Q870" s="5" t="s">
        <v>1184</v>
      </c>
      <c r="R870" s="151">
        <v>2</v>
      </c>
      <c r="S870" s="143"/>
    </row>
    <row r="871" spans="1:19" x14ac:dyDescent="0.25">
      <c r="A871" s="5" t="s">
        <v>3938</v>
      </c>
      <c r="B871" s="147">
        <v>45995</v>
      </c>
      <c r="C871" s="5" t="s">
        <v>3939</v>
      </c>
      <c r="D871" s="5" t="s">
        <v>3940</v>
      </c>
      <c r="E871" s="5" t="s">
        <v>1342</v>
      </c>
      <c r="F871" s="5" t="s">
        <v>988</v>
      </c>
      <c r="G871" s="5" t="s">
        <v>1343</v>
      </c>
      <c r="H871" s="148">
        <v>3</v>
      </c>
      <c r="I871" s="149">
        <v>9320</v>
      </c>
      <c r="J871" s="150">
        <v>0.05</v>
      </c>
      <c r="K871" s="149">
        <v>26562</v>
      </c>
      <c r="L871" s="149">
        <v>6077.8</v>
      </c>
      <c r="M871" s="5" t="s">
        <v>1126</v>
      </c>
      <c r="N871" s="5" t="s">
        <v>1321</v>
      </c>
      <c r="O871" s="5" t="s">
        <v>1322</v>
      </c>
      <c r="P871" s="5" t="s">
        <v>1314</v>
      </c>
      <c r="Q871" s="5" t="s">
        <v>1204</v>
      </c>
      <c r="R871" s="151">
        <v>1</v>
      </c>
      <c r="S871" s="143"/>
    </row>
    <row r="872" spans="1:19" x14ac:dyDescent="0.25">
      <c r="A872" s="5" t="s">
        <v>3941</v>
      </c>
      <c r="B872" s="147">
        <v>45771</v>
      </c>
      <c r="C872" s="5" t="s">
        <v>3942</v>
      </c>
      <c r="D872" s="5" t="s">
        <v>3943</v>
      </c>
      <c r="E872" s="5" t="s">
        <v>1359</v>
      </c>
      <c r="F872" s="5" t="s">
        <v>1360</v>
      </c>
      <c r="G872" s="5" t="s">
        <v>1361</v>
      </c>
      <c r="H872" s="148">
        <v>1</v>
      </c>
      <c r="I872" s="149">
        <v>5729</v>
      </c>
      <c r="J872" s="150">
        <v>0.2</v>
      </c>
      <c r="K872" s="149">
        <v>4583.2</v>
      </c>
      <c r="L872" s="149">
        <v>1203.7</v>
      </c>
      <c r="M872" s="5" t="s">
        <v>1130</v>
      </c>
      <c r="N872" s="5" t="s">
        <v>1337</v>
      </c>
      <c r="O872" s="5" t="s">
        <v>1338</v>
      </c>
      <c r="P872" s="5" t="s">
        <v>1299</v>
      </c>
      <c r="Q872" s="5" t="s">
        <v>1204</v>
      </c>
      <c r="R872" s="151">
        <v>4</v>
      </c>
      <c r="S872" s="143"/>
    </row>
    <row r="873" spans="1:19" x14ac:dyDescent="0.25">
      <c r="A873" s="5" t="s">
        <v>3944</v>
      </c>
      <c r="B873" s="147">
        <v>45869</v>
      </c>
      <c r="C873" s="5" t="s">
        <v>3945</v>
      </c>
      <c r="D873" s="5" t="s">
        <v>3946</v>
      </c>
      <c r="E873" s="5" t="s">
        <v>1342</v>
      </c>
      <c r="F873" s="5" t="s">
        <v>988</v>
      </c>
      <c r="G873" s="5" t="s">
        <v>1343</v>
      </c>
      <c r="H873" s="148">
        <v>1</v>
      </c>
      <c r="I873" s="149">
        <v>6830</v>
      </c>
      <c r="J873" s="150">
        <v>0.2</v>
      </c>
      <c r="K873" s="149">
        <v>5464</v>
      </c>
      <c r="L873" s="149">
        <v>1542.39</v>
      </c>
      <c r="M873" s="5" t="s">
        <v>1130</v>
      </c>
      <c r="N873" s="5" t="s">
        <v>1362</v>
      </c>
      <c r="O873" s="5" t="s">
        <v>1363</v>
      </c>
      <c r="P873" s="5" t="s">
        <v>1323</v>
      </c>
      <c r="Q873" s="5" t="s">
        <v>1306</v>
      </c>
      <c r="R873" s="151">
        <v>3</v>
      </c>
      <c r="S873" s="143"/>
    </row>
    <row r="874" spans="1:19" x14ac:dyDescent="0.25">
      <c r="A874" s="5" t="s">
        <v>3947</v>
      </c>
      <c r="B874" s="147">
        <v>45686</v>
      </c>
      <c r="C874" s="5" t="s">
        <v>3948</v>
      </c>
      <c r="D874" s="5" t="s">
        <v>3949</v>
      </c>
      <c r="E874" s="5" t="s">
        <v>1370</v>
      </c>
      <c r="F874" s="5" t="s">
        <v>1160</v>
      </c>
      <c r="G874" s="5" t="s">
        <v>1371</v>
      </c>
      <c r="H874" s="148">
        <v>5</v>
      </c>
      <c r="I874" s="149">
        <v>6926</v>
      </c>
      <c r="J874" s="150">
        <v>0.2</v>
      </c>
      <c r="K874" s="149">
        <v>27704</v>
      </c>
      <c r="L874" s="149">
        <v>2628.2</v>
      </c>
      <c r="M874" s="5" t="s">
        <v>1381</v>
      </c>
      <c r="N874" s="5" t="s">
        <v>1304</v>
      </c>
      <c r="O874" s="5" t="s">
        <v>1305</v>
      </c>
      <c r="P874" s="5" t="s">
        <v>1327</v>
      </c>
      <c r="Q874" s="5" t="s">
        <v>1306</v>
      </c>
      <c r="R874" s="151">
        <v>4</v>
      </c>
      <c r="S874" s="143"/>
    </row>
    <row r="875" spans="1:19" x14ac:dyDescent="0.25">
      <c r="A875" s="5" t="s">
        <v>3950</v>
      </c>
      <c r="B875" s="147">
        <v>45838</v>
      </c>
      <c r="C875" s="5" t="s">
        <v>3951</v>
      </c>
      <c r="D875" s="5" t="s">
        <v>3952</v>
      </c>
      <c r="E875" s="5" t="s">
        <v>1331</v>
      </c>
      <c r="F875" s="5" t="s">
        <v>988</v>
      </c>
      <c r="G875" s="5" t="s">
        <v>1332</v>
      </c>
      <c r="H875" s="148">
        <v>1</v>
      </c>
      <c r="I875" s="149">
        <v>10480</v>
      </c>
      <c r="J875" s="150">
        <v>0</v>
      </c>
      <c r="K875" s="149">
        <v>10480</v>
      </c>
      <c r="L875" s="149">
        <v>2713.12</v>
      </c>
      <c r="M875" s="5" t="s">
        <v>1313</v>
      </c>
      <c r="N875" s="5" t="s">
        <v>1321</v>
      </c>
      <c r="O875" s="5" t="s">
        <v>1322</v>
      </c>
      <c r="P875" s="5" t="s">
        <v>1299</v>
      </c>
      <c r="Q875" s="5" t="s">
        <v>1300</v>
      </c>
      <c r="R875" s="151">
        <v>4</v>
      </c>
      <c r="S875" s="143"/>
    </row>
    <row r="876" spans="1:19" x14ac:dyDescent="0.25">
      <c r="A876" s="5" t="s">
        <v>3953</v>
      </c>
      <c r="B876" s="147">
        <v>45799</v>
      </c>
      <c r="C876" s="5" t="s">
        <v>3954</v>
      </c>
      <c r="D876" s="5" t="s">
        <v>3955</v>
      </c>
      <c r="E876" s="5" t="s">
        <v>1310</v>
      </c>
      <c r="F876" s="5" t="s">
        <v>1311</v>
      </c>
      <c r="G876" s="5" t="s">
        <v>1312</v>
      </c>
      <c r="H876" s="148">
        <v>1</v>
      </c>
      <c r="I876" s="149">
        <v>9421</v>
      </c>
      <c r="J876" s="150">
        <v>0</v>
      </c>
      <c r="K876" s="149">
        <v>9421</v>
      </c>
      <c r="L876" s="149">
        <v>1604.28</v>
      </c>
      <c r="M876" s="5" t="s">
        <v>1313</v>
      </c>
      <c r="N876" s="5" t="s">
        <v>1304</v>
      </c>
      <c r="O876" s="5" t="s">
        <v>1305</v>
      </c>
      <c r="P876" s="5" t="s">
        <v>1299</v>
      </c>
      <c r="Q876" s="5" t="s">
        <v>1306</v>
      </c>
      <c r="R876" s="151">
        <v>4</v>
      </c>
      <c r="S876" s="143"/>
    </row>
    <row r="877" spans="1:19" x14ac:dyDescent="0.25">
      <c r="A877" s="5" t="s">
        <v>3956</v>
      </c>
      <c r="B877" s="147">
        <v>46015</v>
      </c>
      <c r="C877" s="5" t="s">
        <v>3957</v>
      </c>
      <c r="D877" s="5" t="s">
        <v>3958</v>
      </c>
      <c r="E877" s="5" t="s">
        <v>1359</v>
      </c>
      <c r="F877" s="5" t="s">
        <v>1360</v>
      </c>
      <c r="G877" s="5" t="s">
        <v>1361</v>
      </c>
      <c r="H877" s="148">
        <v>4</v>
      </c>
      <c r="I877" s="149">
        <v>7735</v>
      </c>
      <c r="J877" s="150">
        <v>0</v>
      </c>
      <c r="K877" s="149">
        <v>30940</v>
      </c>
      <c r="L877" s="149">
        <v>5197.37</v>
      </c>
      <c r="M877" s="5" t="s">
        <v>1381</v>
      </c>
      <c r="N877" s="5" t="s">
        <v>1352</v>
      </c>
      <c r="O877" s="5" t="s">
        <v>1352</v>
      </c>
      <c r="P877" s="5" t="s">
        <v>1299</v>
      </c>
      <c r="Q877" s="5" t="s">
        <v>1300</v>
      </c>
      <c r="R877" s="151">
        <v>5</v>
      </c>
      <c r="S877" s="143"/>
    </row>
    <row r="878" spans="1:19" x14ac:dyDescent="0.25">
      <c r="A878" s="5" t="s">
        <v>3959</v>
      </c>
      <c r="B878" s="147">
        <v>45678</v>
      </c>
      <c r="C878" s="5" t="s">
        <v>3960</v>
      </c>
      <c r="D878" s="5" t="s">
        <v>3961</v>
      </c>
      <c r="E878" s="5" t="s">
        <v>1342</v>
      </c>
      <c r="F878" s="5" t="s">
        <v>988</v>
      </c>
      <c r="G878" s="5" t="s">
        <v>1343</v>
      </c>
      <c r="H878" s="148">
        <v>4</v>
      </c>
      <c r="I878" s="149">
        <v>14130</v>
      </c>
      <c r="J878" s="150">
        <v>0.2</v>
      </c>
      <c r="K878" s="149">
        <v>45216</v>
      </c>
      <c r="L878" s="149">
        <v>6158.56</v>
      </c>
      <c r="M878" s="5" t="s">
        <v>1344</v>
      </c>
      <c r="N878" s="5" t="s">
        <v>1352</v>
      </c>
      <c r="O878" s="5" t="s">
        <v>1352</v>
      </c>
      <c r="P878" s="5" t="s">
        <v>1299</v>
      </c>
      <c r="Q878" s="5" t="s">
        <v>1184</v>
      </c>
      <c r="R878" s="151">
        <v>1</v>
      </c>
      <c r="S878" s="143"/>
    </row>
    <row r="879" spans="1:19" x14ac:dyDescent="0.25">
      <c r="A879" s="5" t="s">
        <v>3962</v>
      </c>
      <c r="B879" s="147">
        <v>46009</v>
      </c>
      <c r="C879" s="5" t="s">
        <v>3963</v>
      </c>
      <c r="D879" s="5" t="s">
        <v>3964</v>
      </c>
      <c r="E879" s="5" t="s">
        <v>1342</v>
      </c>
      <c r="F879" s="5" t="s">
        <v>988</v>
      </c>
      <c r="G879" s="5" t="s">
        <v>1343</v>
      </c>
      <c r="H879" s="148">
        <v>3</v>
      </c>
      <c r="I879" s="149">
        <v>7272</v>
      </c>
      <c r="J879" s="150">
        <v>0.15</v>
      </c>
      <c r="K879" s="149">
        <v>18543.599999999999</v>
      </c>
      <c r="L879" s="149">
        <v>2026.53</v>
      </c>
      <c r="M879" s="5" t="s">
        <v>1381</v>
      </c>
      <c r="N879" s="5" t="s">
        <v>1321</v>
      </c>
      <c r="O879" s="5" t="s">
        <v>1322</v>
      </c>
      <c r="P879" s="5" t="s">
        <v>1314</v>
      </c>
      <c r="Q879" s="5" t="s">
        <v>1306</v>
      </c>
      <c r="R879" s="151">
        <v>2</v>
      </c>
      <c r="S879" s="143"/>
    </row>
    <row r="880" spans="1:19" x14ac:dyDescent="0.25">
      <c r="A880" s="5" t="s">
        <v>3965</v>
      </c>
      <c r="B880" s="147">
        <v>45905</v>
      </c>
      <c r="C880" s="5" t="s">
        <v>3966</v>
      </c>
      <c r="D880" s="5" t="s">
        <v>3967</v>
      </c>
      <c r="E880" s="5" t="s">
        <v>1310</v>
      </c>
      <c r="F880" s="5" t="s">
        <v>1311</v>
      </c>
      <c r="G880" s="5" t="s">
        <v>1312</v>
      </c>
      <c r="H880" s="148">
        <v>1</v>
      </c>
      <c r="I880" s="149">
        <v>5817</v>
      </c>
      <c r="J880" s="150">
        <v>0.2</v>
      </c>
      <c r="K880" s="149">
        <v>4653.6000000000004</v>
      </c>
      <c r="L880" s="149">
        <v>1337.91</v>
      </c>
      <c r="M880" s="5" t="s">
        <v>1344</v>
      </c>
      <c r="N880" s="5" t="s">
        <v>1352</v>
      </c>
      <c r="O880" s="5" t="s">
        <v>1352</v>
      </c>
      <c r="P880" s="5" t="s">
        <v>1327</v>
      </c>
      <c r="Q880" s="5" t="s">
        <v>1204</v>
      </c>
      <c r="R880" s="151">
        <v>2</v>
      </c>
      <c r="S880" s="143"/>
    </row>
    <row r="881" spans="1:19" x14ac:dyDescent="0.25">
      <c r="A881" s="5" t="s">
        <v>3968</v>
      </c>
      <c r="B881" s="147">
        <v>45692</v>
      </c>
      <c r="C881" s="5" t="s">
        <v>3969</v>
      </c>
      <c r="D881" s="5" t="s">
        <v>3970</v>
      </c>
      <c r="E881" s="5" t="s">
        <v>1318</v>
      </c>
      <c r="F881" s="5" t="s">
        <v>1319</v>
      </c>
      <c r="G881" s="5" t="s">
        <v>1320</v>
      </c>
      <c r="H881" s="148">
        <v>2</v>
      </c>
      <c r="I881" s="149">
        <v>13515</v>
      </c>
      <c r="J881" s="150">
        <v>0.2</v>
      </c>
      <c r="K881" s="149">
        <v>21624</v>
      </c>
      <c r="L881" s="149">
        <v>3106.71</v>
      </c>
      <c r="M881" s="5" t="s">
        <v>1126</v>
      </c>
      <c r="N881" s="5" t="s">
        <v>1321</v>
      </c>
      <c r="O881" s="5" t="s">
        <v>1322</v>
      </c>
      <c r="P881" s="5" t="s">
        <v>1299</v>
      </c>
      <c r="Q881" s="5" t="s">
        <v>1300</v>
      </c>
      <c r="R881" s="151">
        <v>1</v>
      </c>
      <c r="S881" s="143"/>
    </row>
    <row r="882" spans="1:19" x14ac:dyDescent="0.25">
      <c r="A882" s="5" t="s">
        <v>3971</v>
      </c>
      <c r="B882" s="147">
        <v>45706</v>
      </c>
      <c r="C882" s="5" t="s">
        <v>3972</v>
      </c>
      <c r="D882" s="5" t="s">
        <v>3973</v>
      </c>
      <c r="E882" s="5" t="s">
        <v>1318</v>
      </c>
      <c r="F882" s="5" t="s">
        <v>1319</v>
      </c>
      <c r="G882" s="5" t="s">
        <v>1320</v>
      </c>
      <c r="H882" s="148">
        <v>2</v>
      </c>
      <c r="I882" s="149">
        <v>6608</v>
      </c>
      <c r="J882" s="150">
        <v>0.1</v>
      </c>
      <c r="K882" s="149">
        <v>11894.4</v>
      </c>
      <c r="L882" s="149">
        <v>2235.81</v>
      </c>
      <c r="M882" s="5" t="s">
        <v>1313</v>
      </c>
      <c r="N882" s="5" t="s">
        <v>1352</v>
      </c>
      <c r="O882" s="5" t="s">
        <v>1352</v>
      </c>
      <c r="P882" s="5" t="s">
        <v>1314</v>
      </c>
      <c r="Q882" s="5" t="s">
        <v>1204</v>
      </c>
      <c r="R882" s="151">
        <v>1</v>
      </c>
      <c r="S882" s="143"/>
    </row>
    <row r="883" spans="1:19" x14ac:dyDescent="0.25">
      <c r="A883" s="5" t="s">
        <v>3974</v>
      </c>
      <c r="B883" s="147">
        <v>45749</v>
      </c>
      <c r="C883" s="5" t="s">
        <v>3975</v>
      </c>
      <c r="D883" s="5" t="s">
        <v>3976</v>
      </c>
      <c r="E883" s="5" t="s">
        <v>1195</v>
      </c>
      <c r="F883" s="5" t="s">
        <v>988</v>
      </c>
      <c r="G883" s="5" t="s">
        <v>1336</v>
      </c>
      <c r="H883" s="148">
        <v>5</v>
      </c>
      <c r="I883" s="149">
        <v>7506</v>
      </c>
      <c r="J883" s="150">
        <v>0.05</v>
      </c>
      <c r="K883" s="149">
        <v>35653.5</v>
      </c>
      <c r="L883" s="149">
        <v>10672.31</v>
      </c>
      <c r="M883" s="5" t="s">
        <v>1126</v>
      </c>
      <c r="N883" s="5" t="s">
        <v>1297</v>
      </c>
      <c r="O883" s="5" t="s">
        <v>1298</v>
      </c>
      <c r="P883" s="5" t="s">
        <v>1348</v>
      </c>
      <c r="Q883" s="5" t="s">
        <v>1184</v>
      </c>
      <c r="R883" s="151">
        <v>1</v>
      </c>
      <c r="S883" s="143"/>
    </row>
    <row r="884" spans="1:19" x14ac:dyDescent="0.25">
      <c r="A884" s="5" t="s">
        <v>3977</v>
      </c>
      <c r="B884" s="147">
        <v>45734</v>
      </c>
      <c r="C884" s="5" t="s">
        <v>3978</v>
      </c>
      <c r="D884" s="5" t="s">
        <v>3979</v>
      </c>
      <c r="E884" s="5" t="s">
        <v>1342</v>
      </c>
      <c r="F884" s="5" t="s">
        <v>988</v>
      </c>
      <c r="G884" s="5" t="s">
        <v>1343</v>
      </c>
      <c r="H884" s="148">
        <v>4</v>
      </c>
      <c r="I884" s="149">
        <v>3294</v>
      </c>
      <c r="J884" s="150">
        <v>0.2</v>
      </c>
      <c r="K884" s="149">
        <v>10540.8</v>
      </c>
      <c r="L884" s="149">
        <v>2246.85</v>
      </c>
      <c r="M884" s="5" t="s">
        <v>1126</v>
      </c>
      <c r="N884" s="5" t="s">
        <v>1362</v>
      </c>
      <c r="O884" s="5" t="s">
        <v>1363</v>
      </c>
      <c r="P884" s="5" t="s">
        <v>1327</v>
      </c>
      <c r="Q884" s="5" t="s">
        <v>1204</v>
      </c>
      <c r="R884" s="151">
        <v>3</v>
      </c>
      <c r="S884" s="143"/>
    </row>
    <row r="885" spans="1:19" x14ac:dyDescent="0.25">
      <c r="A885" s="5" t="s">
        <v>3980</v>
      </c>
      <c r="B885" s="147">
        <v>45723</v>
      </c>
      <c r="C885" s="5" t="s">
        <v>3981</v>
      </c>
      <c r="D885" s="5" t="s">
        <v>3982</v>
      </c>
      <c r="E885" s="5" t="s">
        <v>1370</v>
      </c>
      <c r="F885" s="5" t="s">
        <v>1160</v>
      </c>
      <c r="G885" s="5" t="s">
        <v>1371</v>
      </c>
      <c r="H885" s="148">
        <v>5</v>
      </c>
      <c r="I885" s="149">
        <v>3250</v>
      </c>
      <c r="J885" s="150">
        <v>0.1</v>
      </c>
      <c r="K885" s="149">
        <v>14625</v>
      </c>
      <c r="L885" s="149">
        <v>2901.23</v>
      </c>
      <c r="M885" s="5" t="s">
        <v>1313</v>
      </c>
      <c r="N885" s="5" t="s">
        <v>1352</v>
      </c>
      <c r="O885" s="5" t="s">
        <v>1352</v>
      </c>
      <c r="P885" s="5" t="s">
        <v>1299</v>
      </c>
      <c r="Q885" s="5" t="s">
        <v>1184</v>
      </c>
      <c r="R885" s="151">
        <v>1</v>
      </c>
      <c r="S885" s="143"/>
    </row>
    <row r="886" spans="1:19" x14ac:dyDescent="0.25">
      <c r="A886" s="5" t="s">
        <v>3983</v>
      </c>
      <c r="B886" s="147">
        <v>45819</v>
      </c>
      <c r="C886" s="5" t="s">
        <v>3984</v>
      </c>
      <c r="D886" s="5" t="s">
        <v>3985</v>
      </c>
      <c r="E886" s="5" t="s">
        <v>1359</v>
      </c>
      <c r="F886" s="5" t="s">
        <v>1360</v>
      </c>
      <c r="G886" s="5" t="s">
        <v>1361</v>
      </c>
      <c r="H886" s="148">
        <v>4</v>
      </c>
      <c r="I886" s="149">
        <v>12203</v>
      </c>
      <c r="J886" s="150">
        <v>0</v>
      </c>
      <c r="K886" s="149">
        <v>48812</v>
      </c>
      <c r="L886" s="149">
        <v>14403.06</v>
      </c>
      <c r="M886" s="5" t="s">
        <v>1344</v>
      </c>
      <c r="N886" s="5" t="s">
        <v>1304</v>
      </c>
      <c r="O886" s="5" t="s">
        <v>1305</v>
      </c>
      <c r="P886" s="5" t="s">
        <v>1314</v>
      </c>
      <c r="Q886" s="5" t="s">
        <v>1184</v>
      </c>
      <c r="R886" s="151">
        <v>1</v>
      </c>
      <c r="S886" s="143"/>
    </row>
    <row r="887" spans="1:19" x14ac:dyDescent="0.25">
      <c r="A887" s="5" t="s">
        <v>3986</v>
      </c>
      <c r="B887" s="147">
        <v>45832</v>
      </c>
      <c r="C887" s="5" t="s">
        <v>3987</v>
      </c>
      <c r="D887" s="5" t="s">
        <v>3988</v>
      </c>
      <c r="E887" s="5" t="s">
        <v>1370</v>
      </c>
      <c r="F887" s="5" t="s">
        <v>1160</v>
      </c>
      <c r="G887" s="5" t="s">
        <v>1371</v>
      </c>
      <c r="H887" s="148">
        <v>5</v>
      </c>
      <c r="I887" s="149">
        <v>4647</v>
      </c>
      <c r="J887" s="150">
        <v>0.05</v>
      </c>
      <c r="K887" s="149">
        <v>22073.25</v>
      </c>
      <c r="L887" s="149">
        <v>1940.54</v>
      </c>
      <c r="M887" s="5" t="s">
        <v>1344</v>
      </c>
      <c r="N887" s="5" t="s">
        <v>1297</v>
      </c>
      <c r="O887" s="5" t="s">
        <v>1298</v>
      </c>
      <c r="P887" s="5" t="s">
        <v>1327</v>
      </c>
      <c r="Q887" s="5" t="s">
        <v>1204</v>
      </c>
      <c r="R887" s="151">
        <v>1</v>
      </c>
      <c r="S887" s="143"/>
    </row>
    <row r="888" spans="1:19" x14ac:dyDescent="0.25">
      <c r="A888" s="5" t="s">
        <v>3989</v>
      </c>
      <c r="B888" s="147">
        <v>45937</v>
      </c>
      <c r="C888" s="5" t="s">
        <v>3990</v>
      </c>
      <c r="D888" s="5" t="s">
        <v>3991</v>
      </c>
      <c r="E888" s="5" t="s">
        <v>1342</v>
      </c>
      <c r="F888" s="5" t="s">
        <v>988</v>
      </c>
      <c r="G888" s="5" t="s">
        <v>1343</v>
      </c>
      <c r="H888" s="148">
        <v>5</v>
      </c>
      <c r="I888" s="149">
        <v>10321</v>
      </c>
      <c r="J888" s="150">
        <v>0.05</v>
      </c>
      <c r="K888" s="149">
        <v>49024.75</v>
      </c>
      <c r="L888" s="149">
        <v>5137.3100000000004</v>
      </c>
      <c r="M888" s="5" t="s">
        <v>1381</v>
      </c>
      <c r="N888" s="5" t="s">
        <v>1362</v>
      </c>
      <c r="O888" s="5" t="s">
        <v>1363</v>
      </c>
      <c r="P888" s="5" t="s">
        <v>1327</v>
      </c>
      <c r="Q888" s="5" t="s">
        <v>1184</v>
      </c>
      <c r="R888" s="151">
        <v>2</v>
      </c>
      <c r="S888" s="143"/>
    </row>
    <row r="889" spans="1:19" x14ac:dyDescent="0.25">
      <c r="A889" s="5" t="s">
        <v>3992</v>
      </c>
      <c r="B889" s="147">
        <v>46016</v>
      </c>
      <c r="C889" s="5" t="s">
        <v>3993</v>
      </c>
      <c r="D889" s="5" t="s">
        <v>3994</v>
      </c>
      <c r="E889" s="5" t="s">
        <v>1318</v>
      </c>
      <c r="F889" s="5" t="s">
        <v>1319</v>
      </c>
      <c r="G889" s="5" t="s">
        <v>1320</v>
      </c>
      <c r="H889" s="148">
        <v>5</v>
      </c>
      <c r="I889" s="149">
        <v>7430</v>
      </c>
      <c r="J889" s="150">
        <v>0.2</v>
      </c>
      <c r="K889" s="149">
        <v>29720</v>
      </c>
      <c r="L889" s="149">
        <v>5123.24</v>
      </c>
      <c r="M889" s="5" t="s">
        <v>1381</v>
      </c>
      <c r="N889" s="5" t="s">
        <v>1352</v>
      </c>
      <c r="O889" s="5" t="s">
        <v>1352</v>
      </c>
      <c r="P889" s="5" t="s">
        <v>1348</v>
      </c>
      <c r="Q889" s="5" t="s">
        <v>1300</v>
      </c>
      <c r="R889" s="151">
        <v>5</v>
      </c>
      <c r="S889" s="143"/>
    </row>
    <row r="890" spans="1:19" x14ac:dyDescent="0.25">
      <c r="A890" s="5" t="s">
        <v>3995</v>
      </c>
      <c r="B890" s="147">
        <v>45794</v>
      </c>
      <c r="C890" s="5" t="s">
        <v>3996</v>
      </c>
      <c r="D890" s="5" t="s">
        <v>3997</v>
      </c>
      <c r="E890" s="5" t="s">
        <v>1370</v>
      </c>
      <c r="F890" s="5" t="s">
        <v>1160</v>
      </c>
      <c r="G890" s="5" t="s">
        <v>1371</v>
      </c>
      <c r="H890" s="148">
        <v>2</v>
      </c>
      <c r="I890" s="149">
        <v>4106</v>
      </c>
      <c r="J890" s="150">
        <v>0.05</v>
      </c>
      <c r="K890" s="149">
        <v>7801.4</v>
      </c>
      <c r="L890" s="149">
        <v>1188.8499999999999</v>
      </c>
      <c r="M890" s="5" t="s">
        <v>1381</v>
      </c>
      <c r="N890" s="5" t="s">
        <v>1362</v>
      </c>
      <c r="O890" s="5" t="s">
        <v>1363</v>
      </c>
      <c r="P890" s="5" t="s">
        <v>1314</v>
      </c>
      <c r="Q890" s="5" t="s">
        <v>1204</v>
      </c>
      <c r="R890" s="151">
        <v>4</v>
      </c>
      <c r="S890" s="143"/>
    </row>
    <row r="891" spans="1:19" x14ac:dyDescent="0.25">
      <c r="A891" s="5" t="s">
        <v>3998</v>
      </c>
      <c r="B891" s="147">
        <v>45880</v>
      </c>
      <c r="C891" s="5" t="s">
        <v>3999</v>
      </c>
      <c r="D891" s="5" t="s">
        <v>4000</v>
      </c>
      <c r="E891" s="5" t="s">
        <v>1295</v>
      </c>
      <c r="F891" s="5" t="s">
        <v>985</v>
      </c>
      <c r="G891" s="5" t="s">
        <v>1296</v>
      </c>
      <c r="H891" s="148">
        <v>2</v>
      </c>
      <c r="I891" s="149">
        <v>12854</v>
      </c>
      <c r="J891" s="150">
        <v>0.1</v>
      </c>
      <c r="K891" s="149">
        <v>23137.200000000001</v>
      </c>
      <c r="L891" s="149">
        <v>5917.82</v>
      </c>
      <c r="M891" s="5" t="s">
        <v>1126</v>
      </c>
      <c r="N891" s="5" t="s">
        <v>1304</v>
      </c>
      <c r="O891" s="5" t="s">
        <v>1305</v>
      </c>
      <c r="P891" s="5" t="s">
        <v>1327</v>
      </c>
      <c r="Q891" s="5" t="s">
        <v>1184</v>
      </c>
      <c r="R891" s="151">
        <v>5</v>
      </c>
      <c r="S891" s="143"/>
    </row>
    <row r="892" spans="1:19" x14ac:dyDescent="0.25">
      <c r="A892" s="5" t="s">
        <v>4001</v>
      </c>
      <c r="B892" s="147">
        <v>45695</v>
      </c>
      <c r="C892" s="5" t="s">
        <v>4002</v>
      </c>
      <c r="D892" s="5" t="s">
        <v>4003</v>
      </c>
      <c r="E892" s="5" t="s">
        <v>1318</v>
      </c>
      <c r="F892" s="5" t="s">
        <v>1319</v>
      </c>
      <c r="G892" s="5" t="s">
        <v>1320</v>
      </c>
      <c r="H892" s="148">
        <v>1</v>
      </c>
      <c r="I892" s="149">
        <v>12584</v>
      </c>
      <c r="J892" s="150">
        <v>0.2</v>
      </c>
      <c r="K892" s="149">
        <v>10067.200000000001</v>
      </c>
      <c r="L892" s="149">
        <v>1561.86</v>
      </c>
      <c r="M892" s="5" t="s">
        <v>1344</v>
      </c>
      <c r="N892" s="5" t="s">
        <v>1352</v>
      </c>
      <c r="O892" s="5" t="s">
        <v>1352</v>
      </c>
      <c r="P892" s="5" t="s">
        <v>1323</v>
      </c>
      <c r="Q892" s="5" t="s">
        <v>1184</v>
      </c>
      <c r="R892" s="151">
        <v>5</v>
      </c>
      <c r="S892" s="143"/>
    </row>
    <row r="893" spans="1:19" x14ac:dyDescent="0.25">
      <c r="A893" s="5" t="s">
        <v>4004</v>
      </c>
      <c r="B893" s="147">
        <v>45845</v>
      </c>
      <c r="C893" s="5" t="s">
        <v>4005</v>
      </c>
      <c r="D893" s="5" t="s">
        <v>4006</v>
      </c>
      <c r="E893" s="5" t="s">
        <v>1295</v>
      </c>
      <c r="F893" s="5" t="s">
        <v>985</v>
      </c>
      <c r="G893" s="5" t="s">
        <v>1296</v>
      </c>
      <c r="H893" s="148">
        <v>5</v>
      </c>
      <c r="I893" s="149">
        <v>4899</v>
      </c>
      <c r="J893" s="150">
        <v>0.2</v>
      </c>
      <c r="K893" s="149">
        <v>19596</v>
      </c>
      <c r="L893" s="149">
        <v>4779.25</v>
      </c>
      <c r="M893" s="5" t="s">
        <v>1381</v>
      </c>
      <c r="N893" s="5" t="s">
        <v>1321</v>
      </c>
      <c r="O893" s="5" t="s">
        <v>1322</v>
      </c>
      <c r="P893" s="5" t="s">
        <v>1323</v>
      </c>
      <c r="Q893" s="5" t="s">
        <v>1204</v>
      </c>
      <c r="R893" s="151">
        <v>1</v>
      </c>
      <c r="S893" s="143"/>
    </row>
    <row r="894" spans="1:19" x14ac:dyDescent="0.25">
      <c r="A894" s="5" t="s">
        <v>4007</v>
      </c>
      <c r="B894" s="147">
        <v>45995</v>
      </c>
      <c r="C894" s="5" t="s">
        <v>4008</v>
      </c>
      <c r="D894" s="5" t="s">
        <v>4009</v>
      </c>
      <c r="E894" s="5" t="s">
        <v>1359</v>
      </c>
      <c r="F894" s="5" t="s">
        <v>1360</v>
      </c>
      <c r="G894" s="5" t="s">
        <v>1361</v>
      </c>
      <c r="H894" s="148">
        <v>5</v>
      </c>
      <c r="I894" s="149">
        <v>10556</v>
      </c>
      <c r="J894" s="150">
        <v>0.1</v>
      </c>
      <c r="K894" s="149">
        <v>47502</v>
      </c>
      <c r="L894" s="149">
        <v>12185.52</v>
      </c>
      <c r="M894" s="5" t="s">
        <v>1313</v>
      </c>
      <c r="N894" s="5" t="s">
        <v>1297</v>
      </c>
      <c r="O894" s="5" t="s">
        <v>1298</v>
      </c>
      <c r="P894" s="5" t="s">
        <v>1327</v>
      </c>
      <c r="Q894" s="5" t="s">
        <v>1300</v>
      </c>
      <c r="R894" s="151">
        <v>1</v>
      </c>
      <c r="S894" s="143"/>
    </row>
    <row r="895" spans="1:19" x14ac:dyDescent="0.25">
      <c r="A895" s="5" t="s">
        <v>4010</v>
      </c>
      <c r="B895" s="147">
        <v>45854</v>
      </c>
      <c r="C895" s="5" t="s">
        <v>4011</v>
      </c>
      <c r="D895" s="5" t="s">
        <v>4012</v>
      </c>
      <c r="E895" s="5" t="s">
        <v>1370</v>
      </c>
      <c r="F895" s="5" t="s">
        <v>1160</v>
      </c>
      <c r="G895" s="5" t="s">
        <v>1371</v>
      </c>
      <c r="H895" s="148">
        <v>5</v>
      </c>
      <c r="I895" s="149">
        <v>6710</v>
      </c>
      <c r="J895" s="150">
        <v>0.2</v>
      </c>
      <c r="K895" s="149">
        <v>26840</v>
      </c>
      <c r="L895" s="149">
        <v>7801.18</v>
      </c>
      <c r="M895" s="5" t="s">
        <v>1344</v>
      </c>
      <c r="N895" s="5" t="s">
        <v>1337</v>
      </c>
      <c r="O895" s="5" t="s">
        <v>1338</v>
      </c>
      <c r="P895" s="5" t="s">
        <v>1314</v>
      </c>
      <c r="Q895" s="5" t="s">
        <v>1204</v>
      </c>
      <c r="R895" s="151">
        <v>3</v>
      </c>
      <c r="S895" s="143"/>
    </row>
    <row r="896" spans="1:19" x14ac:dyDescent="0.25">
      <c r="A896" s="5" t="s">
        <v>4013</v>
      </c>
      <c r="B896" s="147">
        <v>45934</v>
      </c>
      <c r="C896" s="5" t="s">
        <v>4014</v>
      </c>
      <c r="D896" s="5" t="s">
        <v>4015</v>
      </c>
      <c r="E896" s="5" t="s">
        <v>1310</v>
      </c>
      <c r="F896" s="5" t="s">
        <v>1311</v>
      </c>
      <c r="G896" s="5" t="s">
        <v>1312</v>
      </c>
      <c r="H896" s="148">
        <v>4</v>
      </c>
      <c r="I896" s="149">
        <v>691</v>
      </c>
      <c r="J896" s="150">
        <v>0.05</v>
      </c>
      <c r="K896" s="149">
        <v>2625.8</v>
      </c>
      <c r="L896" s="149">
        <v>618.82000000000005</v>
      </c>
      <c r="M896" s="5" t="s">
        <v>1130</v>
      </c>
      <c r="N896" s="5" t="s">
        <v>1297</v>
      </c>
      <c r="O896" s="5" t="s">
        <v>1298</v>
      </c>
      <c r="P896" s="5" t="s">
        <v>1314</v>
      </c>
      <c r="Q896" s="5" t="s">
        <v>1204</v>
      </c>
      <c r="R896" s="151">
        <v>1</v>
      </c>
      <c r="S896" s="143"/>
    </row>
    <row r="897" spans="1:19" x14ac:dyDescent="0.25">
      <c r="A897" s="5" t="s">
        <v>4016</v>
      </c>
      <c r="B897" s="147">
        <v>45670</v>
      </c>
      <c r="C897" s="5" t="s">
        <v>4017</v>
      </c>
      <c r="D897" s="5" t="s">
        <v>4018</v>
      </c>
      <c r="E897" s="5" t="s">
        <v>1342</v>
      </c>
      <c r="F897" s="5" t="s">
        <v>988</v>
      </c>
      <c r="G897" s="5" t="s">
        <v>1343</v>
      </c>
      <c r="H897" s="148">
        <v>2</v>
      </c>
      <c r="I897" s="149">
        <v>604</v>
      </c>
      <c r="J897" s="150">
        <v>0.15</v>
      </c>
      <c r="K897" s="149">
        <v>1026.8</v>
      </c>
      <c r="L897" s="149">
        <v>280.95999999999998</v>
      </c>
      <c r="M897" s="5" t="s">
        <v>1126</v>
      </c>
      <c r="N897" s="5" t="s">
        <v>1362</v>
      </c>
      <c r="O897" s="5" t="s">
        <v>1363</v>
      </c>
      <c r="P897" s="5" t="s">
        <v>1323</v>
      </c>
      <c r="Q897" s="5" t="s">
        <v>1306</v>
      </c>
      <c r="R897" s="151">
        <v>3</v>
      </c>
      <c r="S897" s="143"/>
    </row>
    <row r="898" spans="1:19" x14ac:dyDescent="0.25">
      <c r="A898" s="5" t="s">
        <v>4019</v>
      </c>
      <c r="B898" s="147">
        <v>45669</v>
      </c>
      <c r="C898" s="5" t="s">
        <v>4020</v>
      </c>
      <c r="D898" s="5" t="s">
        <v>4021</v>
      </c>
      <c r="E898" s="5" t="s">
        <v>1342</v>
      </c>
      <c r="F898" s="5" t="s">
        <v>988</v>
      </c>
      <c r="G898" s="5" t="s">
        <v>1343</v>
      </c>
      <c r="H898" s="148">
        <v>5</v>
      </c>
      <c r="I898" s="149">
        <v>5065</v>
      </c>
      <c r="J898" s="150">
        <v>0</v>
      </c>
      <c r="K898" s="149">
        <v>25325</v>
      </c>
      <c r="L898" s="149">
        <v>2863.26</v>
      </c>
      <c r="M898" s="5" t="s">
        <v>1344</v>
      </c>
      <c r="N898" s="5" t="s">
        <v>1304</v>
      </c>
      <c r="O898" s="5" t="s">
        <v>1305</v>
      </c>
      <c r="P898" s="5" t="s">
        <v>1299</v>
      </c>
      <c r="Q898" s="5" t="s">
        <v>1306</v>
      </c>
      <c r="R898" s="151">
        <v>4</v>
      </c>
      <c r="S898" s="143"/>
    </row>
    <row r="899" spans="1:19" x14ac:dyDescent="0.25">
      <c r="A899" s="5" t="s">
        <v>4022</v>
      </c>
      <c r="B899" s="147">
        <v>45666</v>
      </c>
      <c r="C899" s="5" t="s">
        <v>4023</v>
      </c>
      <c r="D899" s="5" t="s">
        <v>4024</v>
      </c>
      <c r="E899" s="5" t="s">
        <v>1310</v>
      </c>
      <c r="F899" s="5" t="s">
        <v>1311</v>
      </c>
      <c r="G899" s="5" t="s">
        <v>1312</v>
      </c>
      <c r="H899" s="148">
        <v>4</v>
      </c>
      <c r="I899" s="149">
        <v>10533</v>
      </c>
      <c r="J899" s="150">
        <v>0.15</v>
      </c>
      <c r="K899" s="149">
        <v>35812.199999999997</v>
      </c>
      <c r="L899" s="149">
        <v>3947.23</v>
      </c>
      <c r="M899" s="5" t="s">
        <v>1126</v>
      </c>
      <c r="N899" s="5" t="s">
        <v>1297</v>
      </c>
      <c r="O899" s="5" t="s">
        <v>1298</v>
      </c>
      <c r="P899" s="5" t="s">
        <v>1323</v>
      </c>
      <c r="Q899" s="5" t="s">
        <v>1300</v>
      </c>
      <c r="R899" s="151">
        <v>3</v>
      </c>
      <c r="S899" s="143"/>
    </row>
    <row r="900" spans="1:19" x14ac:dyDescent="0.25">
      <c r="A900" s="5" t="s">
        <v>4025</v>
      </c>
      <c r="B900" s="147">
        <v>45731</v>
      </c>
      <c r="C900" s="5" t="s">
        <v>4026</v>
      </c>
      <c r="D900" s="5" t="s">
        <v>4027</v>
      </c>
      <c r="E900" s="5" t="s">
        <v>1342</v>
      </c>
      <c r="F900" s="5" t="s">
        <v>988</v>
      </c>
      <c r="G900" s="5" t="s">
        <v>1343</v>
      </c>
      <c r="H900" s="148">
        <v>4</v>
      </c>
      <c r="I900" s="149">
        <v>8684</v>
      </c>
      <c r="J900" s="150">
        <v>0</v>
      </c>
      <c r="K900" s="149">
        <v>34736</v>
      </c>
      <c r="L900" s="149">
        <v>4752.83</v>
      </c>
      <c r="M900" s="5" t="s">
        <v>1126</v>
      </c>
      <c r="N900" s="5" t="s">
        <v>1297</v>
      </c>
      <c r="O900" s="5" t="s">
        <v>1298</v>
      </c>
      <c r="P900" s="5" t="s">
        <v>1327</v>
      </c>
      <c r="Q900" s="5" t="s">
        <v>1300</v>
      </c>
      <c r="R900" s="151">
        <v>1</v>
      </c>
      <c r="S900" s="143"/>
    </row>
    <row r="901" spans="1:19" x14ac:dyDescent="0.25">
      <c r="A901" s="5" t="s">
        <v>4028</v>
      </c>
      <c r="B901" s="147">
        <v>45714</v>
      </c>
      <c r="C901" s="5" t="s">
        <v>4029</v>
      </c>
      <c r="D901" s="5" t="s">
        <v>4030</v>
      </c>
      <c r="E901" s="5" t="s">
        <v>1318</v>
      </c>
      <c r="F901" s="5" t="s">
        <v>1319</v>
      </c>
      <c r="G901" s="5" t="s">
        <v>1320</v>
      </c>
      <c r="H901" s="148">
        <v>1</v>
      </c>
      <c r="I901" s="149">
        <v>14718</v>
      </c>
      <c r="J901" s="150">
        <v>0</v>
      </c>
      <c r="K901" s="149">
        <v>14718</v>
      </c>
      <c r="L901" s="149">
        <v>4319.76</v>
      </c>
      <c r="M901" s="5" t="s">
        <v>1313</v>
      </c>
      <c r="N901" s="5" t="s">
        <v>1321</v>
      </c>
      <c r="O901" s="5" t="s">
        <v>1322</v>
      </c>
      <c r="P901" s="5" t="s">
        <v>1314</v>
      </c>
      <c r="Q901" s="5" t="s">
        <v>1184</v>
      </c>
      <c r="R901" s="151">
        <v>5</v>
      </c>
      <c r="S901" s="143"/>
    </row>
    <row r="902" spans="1:19" x14ac:dyDescent="0.25">
      <c r="A902" s="5" t="s">
        <v>4031</v>
      </c>
      <c r="B902" s="147">
        <v>46010</v>
      </c>
      <c r="C902" s="5" t="s">
        <v>4032</v>
      </c>
      <c r="D902" s="5" t="s">
        <v>4033</v>
      </c>
      <c r="E902" s="5" t="s">
        <v>1295</v>
      </c>
      <c r="F902" s="5" t="s">
        <v>985</v>
      </c>
      <c r="G902" s="5" t="s">
        <v>1296</v>
      </c>
      <c r="H902" s="148">
        <v>5</v>
      </c>
      <c r="I902" s="149">
        <v>7890</v>
      </c>
      <c r="J902" s="150">
        <v>0.15</v>
      </c>
      <c r="K902" s="149">
        <v>33532.5</v>
      </c>
      <c r="L902" s="149">
        <v>4301.17</v>
      </c>
      <c r="M902" s="5" t="s">
        <v>1130</v>
      </c>
      <c r="N902" s="5" t="s">
        <v>1337</v>
      </c>
      <c r="O902" s="5" t="s">
        <v>1338</v>
      </c>
      <c r="P902" s="5" t="s">
        <v>1299</v>
      </c>
      <c r="Q902" s="5" t="s">
        <v>1300</v>
      </c>
      <c r="R902" s="151">
        <v>1</v>
      </c>
      <c r="S902" s="143"/>
    </row>
    <row r="903" spans="1:19" x14ac:dyDescent="0.25">
      <c r="A903" s="5" t="s">
        <v>4034</v>
      </c>
      <c r="B903" s="147">
        <v>45996</v>
      </c>
      <c r="C903" s="5" t="s">
        <v>4035</v>
      </c>
      <c r="D903" s="5" t="s">
        <v>4036</v>
      </c>
      <c r="E903" s="5" t="s">
        <v>1342</v>
      </c>
      <c r="F903" s="5" t="s">
        <v>988</v>
      </c>
      <c r="G903" s="5" t="s">
        <v>1343</v>
      </c>
      <c r="H903" s="148">
        <v>3</v>
      </c>
      <c r="I903" s="149">
        <v>11824</v>
      </c>
      <c r="J903" s="150">
        <v>0.2</v>
      </c>
      <c r="K903" s="149">
        <v>28377.599999999999</v>
      </c>
      <c r="L903" s="149">
        <v>2964</v>
      </c>
      <c r="M903" s="5" t="s">
        <v>1313</v>
      </c>
      <c r="N903" s="5" t="s">
        <v>1337</v>
      </c>
      <c r="O903" s="5" t="s">
        <v>1338</v>
      </c>
      <c r="P903" s="5" t="s">
        <v>1323</v>
      </c>
      <c r="Q903" s="5" t="s">
        <v>1204</v>
      </c>
      <c r="R903" s="151">
        <v>5</v>
      </c>
      <c r="S903" s="143"/>
    </row>
    <row r="904" spans="1:19" x14ac:dyDescent="0.25">
      <c r="A904" s="5" t="s">
        <v>4037</v>
      </c>
      <c r="B904" s="147">
        <v>45817</v>
      </c>
      <c r="C904" s="5" t="s">
        <v>4038</v>
      </c>
      <c r="D904" s="5" t="s">
        <v>4039</v>
      </c>
      <c r="E904" s="5" t="s">
        <v>1195</v>
      </c>
      <c r="F904" s="5" t="s">
        <v>988</v>
      </c>
      <c r="G904" s="5" t="s">
        <v>1336</v>
      </c>
      <c r="H904" s="148">
        <v>3</v>
      </c>
      <c r="I904" s="149">
        <v>6576</v>
      </c>
      <c r="J904" s="150">
        <v>0.05</v>
      </c>
      <c r="K904" s="149">
        <v>18741.599999999999</v>
      </c>
      <c r="L904" s="149">
        <v>3375.25</v>
      </c>
      <c r="M904" s="5" t="s">
        <v>1381</v>
      </c>
      <c r="N904" s="5" t="s">
        <v>1321</v>
      </c>
      <c r="O904" s="5" t="s">
        <v>1322</v>
      </c>
      <c r="P904" s="5" t="s">
        <v>1327</v>
      </c>
      <c r="Q904" s="5" t="s">
        <v>1204</v>
      </c>
      <c r="R904" s="151">
        <v>2</v>
      </c>
      <c r="S904" s="143"/>
    </row>
    <row r="905" spans="1:19" x14ac:dyDescent="0.25">
      <c r="A905" s="5" t="s">
        <v>4040</v>
      </c>
      <c r="B905" s="147">
        <v>45896</v>
      </c>
      <c r="C905" s="5" t="s">
        <v>4041</v>
      </c>
      <c r="D905" s="5" t="s">
        <v>4042</v>
      </c>
      <c r="E905" s="5" t="s">
        <v>1370</v>
      </c>
      <c r="F905" s="5" t="s">
        <v>1160</v>
      </c>
      <c r="G905" s="5" t="s">
        <v>1371</v>
      </c>
      <c r="H905" s="148">
        <v>4</v>
      </c>
      <c r="I905" s="149">
        <v>10327</v>
      </c>
      <c r="J905" s="150">
        <v>0.05</v>
      </c>
      <c r="K905" s="149">
        <v>39242.6</v>
      </c>
      <c r="L905" s="149">
        <v>5552.41</v>
      </c>
      <c r="M905" s="5" t="s">
        <v>1344</v>
      </c>
      <c r="N905" s="5" t="s">
        <v>1362</v>
      </c>
      <c r="O905" s="5" t="s">
        <v>1363</v>
      </c>
      <c r="P905" s="5" t="s">
        <v>1314</v>
      </c>
      <c r="Q905" s="5" t="s">
        <v>1184</v>
      </c>
      <c r="R905" s="151">
        <v>1</v>
      </c>
      <c r="S905" s="143"/>
    </row>
    <row r="906" spans="1:19" x14ac:dyDescent="0.25">
      <c r="A906" s="5" t="s">
        <v>4043</v>
      </c>
      <c r="B906" s="147">
        <v>45787</v>
      </c>
      <c r="C906" s="5" t="s">
        <v>4044</v>
      </c>
      <c r="D906" s="5" t="s">
        <v>4045</v>
      </c>
      <c r="E906" s="5" t="s">
        <v>1370</v>
      </c>
      <c r="F906" s="5" t="s">
        <v>1160</v>
      </c>
      <c r="G906" s="5" t="s">
        <v>1371</v>
      </c>
      <c r="H906" s="148">
        <v>5</v>
      </c>
      <c r="I906" s="149">
        <v>12386</v>
      </c>
      <c r="J906" s="150">
        <v>0.1</v>
      </c>
      <c r="K906" s="149">
        <v>55737</v>
      </c>
      <c r="L906" s="149">
        <v>10983.67</v>
      </c>
      <c r="M906" s="5" t="s">
        <v>1344</v>
      </c>
      <c r="N906" s="5" t="s">
        <v>1304</v>
      </c>
      <c r="O906" s="5" t="s">
        <v>1305</v>
      </c>
      <c r="P906" s="5" t="s">
        <v>1299</v>
      </c>
      <c r="Q906" s="5" t="s">
        <v>1204</v>
      </c>
      <c r="R906" s="151">
        <v>2</v>
      </c>
      <c r="S906" s="143"/>
    </row>
    <row r="907" spans="1:19" x14ac:dyDescent="0.25">
      <c r="A907" s="5" t="s">
        <v>4046</v>
      </c>
      <c r="B907" s="147">
        <v>45934</v>
      </c>
      <c r="C907" s="5" t="s">
        <v>4047</v>
      </c>
      <c r="D907" s="5" t="s">
        <v>4048</v>
      </c>
      <c r="E907" s="5" t="s">
        <v>1370</v>
      </c>
      <c r="F907" s="5" t="s">
        <v>1160</v>
      </c>
      <c r="G907" s="5" t="s">
        <v>1371</v>
      </c>
      <c r="H907" s="148">
        <v>1</v>
      </c>
      <c r="I907" s="149">
        <v>12457</v>
      </c>
      <c r="J907" s="150">
        <v>0.05</v>
      </c>
      <c r="K907" s="149">
        <v>11834.15</v>
      </c>
      <c r="L907" s="149">
        <v>2474.23</v>
      </c>
      <c r="M907" s="5" t="s">
        <v>1130</v>
      </c>
      <c r="N907" s="5" t="s">
        <v>1304</v>
      </c>
      <c r="O907" s="5" t="s">
        <v>1305</v>
      </c>
      <c r="P907" s="5" t="s">
        <v>1327</v>
      </c>
      <c r="Q907" s="5" t="s">
        <v>1204</v>
      </c>
      <c r="R907" s="151">
        <v>5</v>
      </c>
      <c r="S907" s="143"/>
    </row>
    <row r="908" spans="1:19" x14ac:dyDescent="0.25">
      <c r="A908" s="5" t="s">
        <v>4049</v>
      </c>
      <c r="B908" s="147">
        <v>45778</v>
      </c>
      <c r="C908" s="5" t="s">
        <v>4050</v>
      </c>
      <c r="D908" s="5" t="s">
        <v>4051</v>
      </c>
      <c r="E908" s="5" t="s">
        <v>1370</v>
      </c>
      <c r="F908" s="5" t="s">
        <v>1160</v>
      </c>
      <c r="G908" s="5" t="s">
        <v>1371</v>
      </c>
      <c r="H908" s="148">
        <v>1</v>
      </c>
      <c r="I908" s="149">
        <v>2667</v>
      </c>
      <c r="J908" s="150">
        <v>0.2</v>
      </c>
      <c r="K908" s="149">
        <v>2133.6</v>
      </c>
      <c r="L908" s="149">
        <v>405.21</v>
      </c>
      <c r="M908" s="5" t="s">
        <v>1126</v>
      </c>
      <c r="N908" s="5" t="s">
        <v>1297</v>
      </c>
      <c r="O908" s="5" t="s">
        <v>1298</v>
      </c>
      <c r="P908" s="5" t="s">
        <v>1327</v>
      </c>
      <c r="Q908" s="5" t="s">
        <v>1204</v>
      </c>
      <c r="R908" s="151">
        <v>5</v>
      </c>
      <c r="S908" s="143"/>
    </row>
    <row r="909" spans="1:19" x14ac:dyDescent="0.25">
      <c r="A909" s="5" t="s">
        <v>4052</v>
      </c>
      <c r="B909" s="147">
        <v>45998</v>
      </c>
      <c r="C909" s="5" t="s">
        <v>4053</v>
      </c>
      <c r="D909" s="5" t="s">
        <v>4054</v>
      </c>
      <c r="E909" s="5" t="s">
        <v>1295</v>
      </c>
      <c r="F909" s="5" t="s">
        <v>985</v>
      </c>
      <c r="G909" s="5" t="s">
        <v>1296</v>
      </c>
      <c r="H909" s="148">
        <v>2</v>
      </c>
      <c r="I909" s="149">
        <v>12143</v>
      </c>
      <c r="J909" s="150">
        <v>0.1</v>
      </c>
      <c r="K909" s="149">
        <v>21857.4</v>
      </c>
      <c r="L909" s="149">
        <v>4773.3999999999996</v>
      </c>
      <c r="M909" s="5" t="s">
        <v>1381</v>
      </c>
      <c r="N909" s="5" t="s">
        <v>1337</v>
      </c>
      <c r="O909" s="5" t="s">
        <v>1338</v>
      </c>
      <c r="P909" s="5" t="s">
        <v>1327</v>
      </c>
      <c r="Q909" s="5" t="s">
        <v>1204</v>
      </c>
      <c r="R909" s="151">
        <v>3</v>
      </c>
      <c r="S909" s="143"/>
    </row>
    <row r="910" spans="1:19" x14ac:dyDescent="0.25">
      <c r="A910" s="5" t="s">
        <v>4055</v>
      </c>
      <c r="B910" s="147">
        <v>45924</v>
      </c>
      <c r="C910" s="5" t="s">
        <v>4056</v>
      </c>
      <c r="D910" s="5" t="s">
        <v>4057</v>
      </c>
      <c r="E910" s="5" t="s">
        <v>1195</v>
      </c>
      <c r="F910" s="5" t="s">
        <v>988</v>
      </c>
      <c r="G910" s="5" t="s">
        <v>1336</v>
      </c>
      <c r="H910" s="148">
        <v>3</v>
      </c>
      <c r="I910" s="149">
        <v>11151</v>
      </c>
      <c r="J910" s="150">
        <v>0.15</v>
      </c>
      <c r="K910" s="149">
        <v>28435.05</v>
      </c>
      <c r="L910" s="149">
        <v>6360.68</v>
      </c>
      <c r="M910" s="5" t="s">
        <v>1313</v>
      </c>
      <c r="N910" s="5" t="s">
        <v>1297</v>
      </c>
      <c r="O910" s="5" t="s">
        <v>1298</v>
      </c>
      <c r="P910" s="5" t="s">
        <v>1299</v>
      </c>
      <c r="Q910" s="5" t="s">
        <v>1300</v>
      </c>
      <c r="R910" s="151">
        <v>3</v>
      </c>
      <c r="S910" s="143"/>
    </row>
    <row r="911" spans="1:19" x14ac:dyDescent="0.25">
      <c r="A911" s="5" t="s">
        <v>4058</v>
      </c>
      <c r="B911" s="147">
        <v>45819</v>
      </c>
      <c r="C911" s="5" t="s">
        <v>4059</v>
      </c>
      <c r="D911" s="5" t="s">
        <v>4060</v>
      </c>
      <c r="E911" s="5" t="s">
        <v>1318</v>
      </c>
      <c r="F911" s="5" t="s">
        <v>1319</v>
      </c>
      <c r="G911" s="5" t="s">
        <v>1320</v>
      </c>
      <c r="H911" s="148">
        <v>5</v>
      </c>
      <c r="I911" s="149">
        <v>4327</v>
      </c>
      <c r="J911" s="150">
        <v>0.05</v>
      </c>
      <c r="K911" s="149">
        <v>20553.25</v>
      </c>
      <c r="L911" s="149">
        <v>5633.99</v>
      </c>
      <c r="M911" s="5" t="s">
        <v>1130</v>
      </c>
      <c r="N911" s="5" t="s">
        <v>1297</v>
      </c>
      <c r="O911" s="5" t="s">
        <v>1298</v>
      </c>
      <c r="P911" s="5" t="s">
        <v>1348</v>
      </c>
      <c r="Q911" s="5" t="s">
        <v>1184</v>
      </c>
      <c r="R911" s="151">
        <v>1</v>
      </c>
      <c r="S911" s="143"/>
    </row>
    <row r="912" spans="1:19" x14ac:dyDescent="0.25">
      <c r="A912" s="5" t="s">
        <v>4061</v>
      </c>
      <c r="B912" s="147">
        <v>45739</v>
      </c>
      <c r="C912" s="5" t="s">
        <v>4062</v>
      </c>
      <c r="D912" s="5" t="s">
        <v>4063</v>
      </c>
      <c r="E912" s="5" t="s">
        <v>1318</v>
      </c>
      <c r="F912" s="5" t="s">
        <v>1319</v>
      </c>
      <c r="G912" s="5" t="s">
        <v>1320</v>
      </c>
      <c r="H912" s="148">
        <v>4</v>
      </c>
      <c r="I912" s="149">
        <v>12305</v>
      </c>
      <c r="J912" s="150">
        <v>0</v>
      </c>
      <c r="K912" s="149">
        <v>49220</v>
      </c>
      <c r="L912" s="149">
        <v>11631.08</v>
      </c>
      <c r="M912" s="5" t="s">
        <v>1313</v>
      </c>
      <c r="N912" s="5" t="s">
        <v>1352</v>
      </c>
      <c r="O912" s="5" t="s">
        <v>1352</v>
      </c>
      <c r="P912" s="5" t="s">
        <v>1348</v>
      </c>
      <c r="Q912" s="5" t="s">
        <v>1300</v>
      </c>
      <c r="R912" s="151">
        <v>2</v>
      </c>
      <c r="S912" s="143"/>
    </row>
    <row r="913" spans="1:19" x14ac:dyDescent="0.25">
      <c r="A913" s="5" t="s">
        <v>4064</v>
      </c>
      <c r="B913" s="147">
        <v>45724</v>
      </c>
      <c r="C913" s="5" t="s">
        <v>4065</v>
      </c>
      <c r="D913" s="5" t="s">
        <v>4066</v>
      </c>
      <c r="E913" s="5" t="s">
        <v>1370</v>
      </c>
      <c r="F913" s="5" t="s">
        <v>1160</v>
      </c>
      <c r="G913" s="5" t="s">
        <v>1371</v>
      </c>
      <c r="H913" s="148">
        <v>5</v>
      </c>
      <c r="I913" s="149">
        <v>9315</v>
      </c>
      <c r="J913" s="150">
        <v>0.05</v>
      </c>
      <c r="K913" s="149">
        <v>44246.25</v>
      </c>
      <c r="L913" s="149">
        <v>3873.43</v>
      </c>
      <c r="M913" s="5" t="s">
        <v>1313</v>
      </c>
      <c r="N913" s="5" t="s">
        <v>1352</v>
      </c>
      <c r="O913" s="5" t="s">
        <v>1352</v>
      </c>
      <c r="P913" s="5" t="s">
        <v>1348</v>
      </c>
      <c r="Q913" s="5" t="s">
        <v>1184</v>
      </c>
      <c r="R913" s="151">
        <v>5</v>
      </c>
      <c r="S913" s="143"/>
    </row>
    <row r="914" spans="1:19" x14ac:dyDescent="0.25">
      <c r="A914" s="5" t="s">
        <v>4067</v>
      </c>
      <c r="B914" s="147">
        <v>45978</v>
      </c>
      <c r="C914" s="5" t="s">
        <v>4068</v>
      </c>
      <c r="D914" s="5" t="s">
        <v>4069</v>
      </c>
      <c r="E914" s="5" t="s">
        <v>1359</v>
      </c>
      <c r="F914" s="5" t="s">
        <v>1360</v>
      </c>
      <c r="G914" s="5" t="s">
        <v>1361</v>
      </c>
      <c r="H914" s="148">
        <v>1</v>
      </c>
      <c r="I914" s="149">
        <v>12682</v>
      </c>
      <c r="J914" s="150">
        <v>0.05</v>
      </c>
      <c r="K914" s="149">
        <v>12047.9</v>
      </c>
      <c r="L914" s="149">
        <v>1189.19</v>
      </c>
      <c r="M914" s="5" t="s">
        <v>1344</v>
      </c>
      <c r="N914" s="5" t="s">
        <v>1321</v>
      </c>
      <c r="O914" s="5" t="s">
        <v>1322</v>
      </c>
      <c r="P914" s="5" t="s">
        <v>1314</v>
      </c>
      <c r="Q914" s="5" t="s">
        <v>1300</v>
      </c>
      <c r="R914" s="151">
        <v>2</v>
      </c>
      <c r="S914" s="143"/>
    </row>
    <row r="915" spans="1:19" x14ac:dyDescent="0.25">
      <c r="A915" s="5" t="s">
        <v>4070</v>
      </c>
      <c r="B915" s="147">
        <v>45918</v>
      </c>
      <c r="C915" s="5" t="s">
        <v>4071</v>
      </c>
      <c r="D915" s="5" t="s">
        <v>4072</v>
      </c>
      <c r="E915" s="5" t="s">
        <v>1370</v>
      </c>
      <c r="F915" s="5" t="s">
        <v>1160</v>
      </c>
      <c r="G915" s="5" t="s">
        <v>1371</v>
      </c>
      <c r="H915" s="148">
        <v>2</v>
      </c>
      <c r="I915" s="149">
        <v>8148</v>
      </c>
      <c r="J915" s="150">
        <v>0.05</v>
      </c>
      <c r="K915" s="149">
        <v>15481.2</v>
      </c>
      <c r="L915" s="149">
        <v>1838.95</v>
      </c>
      <c r="M915" s="5" t="s">
        <v>1130</v>
      </c>
      <c r="N915" s="5" t="s">
        <v>1362</v>
      </c>
      <c r="O915" s="5" t="s">
        <v>1363</v>
      </c>
      <c r="P915" s="5" t="s">
        <v>1323</v>
      </c>
      <c r="Q915" s="5" t="s">
        <v>1184</v>
      </c>
      <c r="R915" s="151">
        <v>4</v>
      </c>
      <c r="S915" s="143"/>
    </row>
    <row r="916" spans="1:19" x14ac:dyDescent="0.25">
      <c r="A916" s="5" t="s">
        <v>4073</v>
      </c>
      <c r="B916" s="147">
        <v>45879</v>
      </c>
      <c r="C916" s="5" t="s">
        <v>4074</v>
      </c>
      <c r="D916" s="5" t="s">
        <v>4075</v>
      </c>
      <c r="E916" s="5" t="s">
        <v>1310</v>
      </c>
      <c r="F916" s="5" t="s">
        <v>1311</v>
      </c>
      <c r="G916" s="5" t="s">
        <v>1312</v>
      </c>
      <c r="H916" s="148">
        <v>3</v>
      </c>
      <c r="I916" s="149">
        <v>806</v>
      </c>
      <c r="J916" s="150">
        <v>0.15</v>
      </c>
      <c r="K916" s="149">
        <v>2055.3000000000002</v>
      </c>
      <c r="L916" s="149">
        <v>166.87</v>
      </c>
      <c r="M916" s="5" t="s">
        <v>1130</v>
      </c>
      <c r="N916" s="5" t="s">
        <v>1304</v>
      </c>
      <c r="O916" s="5" t="s">
        <v>1305</v>
      </c>
      <c r="P916" s="5" t="s">
        <v>1299</v>
      </c>
      <c r="Q916" s="5" t="s">
        <v>1306</v>
      </c>
      <c r="R916" s="151">
        <v>1</v>
      </c>
      <c r="S916" s="143"/>
    </row>
    <row r="917" spans="1:19" x14ac:dyDescent="0.25">
      <c r="A917" s="5" t="s">
        <v>4076</v>
      </c>
      <c r="B917" s="147">
        <v>45752</v>
      </c>
      <c r="C917" s="5" t="s">
        <v>4077</v>
      </c>
      <c r="D917" s="5" t="s">
        <v>4078</v>
      </c>
      <c r="E917" s="5" t="s">
        <v>1318</v>
      </c>
      <c r="F917" s="5" t="s">
        <v>1319</v>
      </c>
      <c r="G917" s="5" t="s">
        <v>1320</v>
      </c>
      <c r="H917" s="148">
        <v>4</v>
      </c>
      <c r="I917" s="149">
        <v>3484</v>
      </c>
      <c r="J917" s="150">
        <v>0.05</v>
      </c>
      <c r="K917" s="149">
        <v>13239.2</v>
      </c>
      <c r="L917" s="149">
        <v>1220.19</v>
      </c>
      <c r="M917" s="5" t="s">
        <v>1126</v>
      </c>
      <c r="N917" s="5" t="s">
        <v>1304</v>
      </c>
      <c r="O917" s="5" t="s">
        <v>1305</v>
      </c>
      <c r="P917" s="5" t="s">
        <v>1327</v>
      </c>
      <c r="Q917" s="5" t="s">
        <v>1184</v>
      </c>
      <c r="R917" s="151">
        <v>5</v>
      </c>
      <c r="S917" s="143"/>
    </row>
    <row r="918" spans="1:19" x14ac:dyDescent="0.25">
      <c r="A918" s="5" t="s">
        <v>4079</v>
      </c>
      <c r="B918" s="147">
        <v>45773</v>
      </c>
      <c r="C918" s="5" t="s">
        <v>4080</v>
      </c>
      <c r="D918" s="5" t="s">
        <v>4081</v>
      </c>
      <c r="E918" s="5" t="s">
        <v>1310</v>
      </c>
      <c r="F918" s="5" t="s">
        <v>1311</v>
      </c>
      <c r="G918" s="5" t="s">
        <v>1312</v>
      </c>
      <c r="H918" s="148">
        <v>5</v>
      </c>
      <c r="I918" s="149">
        <v>12205</v>
      </c>
      <c r="J918" s="150">
        <v>0.2</v>
      </c>
      <c r="K918" s="149">
        <v>48820</v>
      </c>
      <c r="L918" s="149">
        <v>12868.78</v>
      </c>
      <c r="M918" s="5" t="s">
        <v>1130</v>
      </c>
      <c r="N918" s="5" t="s">
        <v>1352</v>
      </c>
      <c r="O918" s="5" t="s">
        <v>1352</v>
      </c>
      <c r="P918" s="5" t="s">
        <v>1323</v>
      </c>
      <c r="Q918" s="5" t="s">
        <v>1184</v>
      </c>
      <c r="R918" s="151">
        <v>3</v>
      </c>
      <c r="S918" s="143"/>
    </row>
    <row r="919" spans="1:19" x14ac:dyDescent="0.25">
      <c r="A919" s="5" t="s">
        <v>4082</v>
      </c>
      <c r="B919" s="147">
        <v>45685</v>
      </c>
      <c r="C919" s="5" t="s">
        <v>4083</v>
      </c>
      <c r="D919" s="5" t="s">
        <v>4084</v>
      </c>
      <c r="E919" s="5" t="s">
        <v>1331</v>
      </c>
      <c r="F919" s="5" t="s">
        <v>988</v>
      </c>
      <c r="G919" s="5" t="s">
        <v>1332</v>
      </c>
      <c r="H919" s="148">
        <v>1</v>
      </c>
      <c r="I919" s="149">
        <v>14179</v>
      </c>
      <c r="J919" s="150">
        <v>0.05</v>
      </c>
      <c r="K919" s="149">
        <v>13470.05</v>
      </c>
      <c r="L919" s="149">
        <v>3222.11</v>
      </c>
      <c r="M919" s="5" t="s">
        <v>1126</v>
      </c>
      <c r="N919" s="5" t="s">
        <v>1297</v>
      </c>
      <c r="O919" s="5" t="s">
        <v>1298</v>
      </c>
      <c r="P919" s="5" t="s">
        <v>1348</v>
      </c>
      <c r="Q919" s="5" t="s">
        <v>1300</v>
      </c>
      <c r="R919" s="151">
        <v>5</v>
      </c>
      <c r="S919" s="143"/>
    </row>
    <row r="920" spans="1:19" x14ac:dyDescent="0.25">
      <c r="A920" s="5" t="s">
        <v>4085</v>
      </c>
      <c r="B920" s="147">
        <v>45671</v>
      </c>
      <c r="C920" s="5" t="s">
        <v>4086</v>
      </c>
      <c r="D920" s="5" t="s">
        <v>4087</v>
      </c>
      <c r="E920" s="5" t="s">
        <v>1318</v>
      </c>
      <c r="F920" s="5" t="s">
        <v>1319</v>
      </c>
      <c r="G920" s="5" t="s">
        <v>1320</v>
      </c>
      <c r="H920" s="148">
        <v>1</v>
      </c>
      <c r="I920" s="149">
        <v>3586</v>
      </c>
      <c r="J920" s="150">
        <v>0.05</v>
      </c>
      <c r="K920" s="149">
        <v>3406.7</v>
      </c>
      <c r="L920" s="149">
        <v>919.73</v>
      </c>
      <c r="M920" s="5" t="s">
        <v>1381</v>
      </c>
      <c r="N920" s="5" t="s">
        <v>1362</v>
      </c>
      <c r="O920" s="5" t="s">
        <v>1363</v>
      </c>
      <c r="P920" s="5" t="s">
        <v>1299</v>
      </c>
      <c r="Q920" s="5" t="s">
        <v>1300</v>
      </c>
      <c r="R920" s="151">
        <v>5</v>
      </c>
      <c r="S920" s="143"/>
    </row>
    <row r="921" spans="1:19" x14ac:dyDescent="0.25">
      <c r="A921" s="5" t="s">
        <v>4088</v>
      </c>
      <c r="B921" s="147">
        <v>46020</v>
      </c>
      <c r="C921" s="5" t="s">
        <v>4089</v>
      </c>
      <c r="D921" s="5" t="s">
        <v>4090</v>
      </c>
      <c r="E921" s="5" t="s">
        <v>1342</v>
      </c>
      <c r="F921" s="5" t="s">
        <v>988</v>
      </c>
      <c r="G921" s="5" t="s">
        <v>1343</v>
      </c>
      <c r="H921" s="148">
        <v>3</v>
      </c>
      <c r="I921" s="149">
        <v>6944</v>
      </c>
      <c r="J921" s="150">
        <v>0.05</v>
      </c>
      <c r="K921" s="149">
        <v>19790.400000000001</v>
      </c>
      <c r="L921" s="149">
        <v>3097.14</v>
      </c>
      <c r="M921" s="5" t="s">
        <v>1126</v>
      </c>
      <c r="N921" s="5" t="s">
        <v>1352</v>
      </c>
      <c r="O921" s="5" t="s">
        <v>1352</v>
      </c>
      <c r="P921" s="5" t="s">
        <v>1299</v>
      </c>
      <c r="Q921" s="5" t="s">
        <v>1204</v>
      </c>
      <c r="R921" s="151">
        <v>5</v>
      </c>
      <c r="S921" s="143"/>
    </row>
    <row r="922" spans="1:19" x14ac:dyDescent="0.25">
      <c r="A922" s="5" t="s">
        <v>4091</v>
      </c>
      <c r="B922" s="147">
        <v>45943</v>
      </c>
      <c r="C922" s="5" t="s">
        <v>4092</v>
      </c>
      <c r="D922" s="5" t="s">
        <v>4093</v>
      </c>
      <c r="E922" s="5" t="s">
        <v>1342</v>
      </c>
      <c r="F922" s="5" t="s">
        <v>988</v>
      </c>
      <c r="G922" s="5" t="s">
        <v>1343</v>
      </c>
      <c r="H922" s="148">
        <v>5</v>
      </c>
      <c r="I922" s="149">
        <v>5691</v>
      </c>
      <c r="J922" s="150">
        <v>0.1</v>
      </c>
      <c r="K922" s="149">
        <v>25609.5</v>
      </c>
      <c r="L922" s="149">
        <v>3887.17</v>
      </c>
      <c r="M922" s="5" t="s">
        <v>1130</v>
      </c>
      <c r="N922" s="5" t="s">
        <v>1352</v>
      </c>
      <c r="O922" s="5" t="s">
        <v>1352</v>
      </c>
      <c r="P922" s="5" t="s">
        <v>1314</v>
      </c>
      <c r="Q922" s="5" t="s">
        <v>1300</v>
      </c>
      <c r="R922" s="151">
        <v>3</v>
      </c>
      <c r="S922" s="143"/>
    </row>
    <row r="923" spans="1:19" x14ac:dyDescent="0.25">
      <c r="A923" s="5" t="s">
        <v>4094</v>
      </c>
      <c r="B923" s="147">
        <v>45826</v>
      </c>
      <c r="C923" s="5" t="s">
        <v>4095</v>
      </c>
      <c r="D923" s="5" t="s">
        <v>4096</v>
      </c>
      <c r="E923" s="5" t="s">
        <v>1331</v>
      </c>
      <c r="F923" s="5" t="s">
        <v>988</v>
      </c>
      <c r="G923" s="5" t="s">
        <v>1332</v>
      </c>
      <c r="H923" s="148">
        <v>2</v>
      </c>
      <c r="I923" s="149">
        <v>13188</v>
      </c>
      <c r="J923" s="150">
        <v>0.05</v>
      </c>
      <c r="K923" s="149">
        <v>25057.200000000001</v>
      </c>
      <c r="L923" s="149">
        <v>6186.75</v>
      </c>
      <c r="M923" s="5" t="s">
        <v>1381</v>
      </c>
      <c r="N923" s="5" t="s">
        <v>1362</v>
      </c>
      <c r="O923" s="5" t="s">
        <v>1363</v>
      </c>
      <c r="P923" s="5" t="s">
        <v>1323</v>
      </c>
      <c r="Q923" s="5" t="s">
        <v>1306</v>
      </c>
      <c r="R923" s="151">
        <v>1</v>
      </c>
      <c r="S923" s="143"/>
    </row>
    <row r="924" spans="1:19" x14ac:dyDescent="0.25">
      <c r="A924" s="5" t="s">
        <v>4097</v>
      </c>
      <c r="B924" s="147">
        <v>45696</v>
      </c>
      <c r="C924" s="5" t="s">
        <v>4098</v>
      </c>
      <c r="D924" s="5" t="s">
        <v>4099</v>
      </c>
      <c r="E924" s="5" t="s">
        <v>1370</v>
      </c>
      <c r="F924" s="5" t="s">
        <v>1160</v>
      </c>
      <c r="G924" s="5" t="s">
        <v>1371</v>
      </c>
      <c r="H924" s="148">
        <v>3</v>
      </c>
      <c r="I924" s="149">
        <v>6866</v>
      </c>
      <c r="J924" s="150">
        <v>0.05</v>
      </c>
      <c r="K924" s="149">
        <v>19568.099999999999</v>
      </c>
      <c r="L924" s="149">
        <v>3408.93</v>
      </c>
      <c r="M924" s="5" t="s">
        <v>1130</v>
      </c>
      <c r="N924" s="5" t="s">
        <v>1337</v>
      </c>
      <c r="O924" s="5" t="s">
        <v>1338</v>
      </c>
      <c r="P924" s="5" t="s">
        <v>1327</v>
      </c>
      <c r="Q924" s="5" t="s">
        <v>1184</v>
      </c>
      <c r="R924" s="151">
        <v>1</v>
      </c>
      <c r="S924" s="143"/>
    </row>
    <row r="925" spans="1:19" x14ac:dyDescent="0.25">
      <c r="A925" s="5" t="s">
        <v>4100</v>
      </c>
      <c r="B925" s="147">
        <v>45710</v>
      </c>
      <c r="C925" s="5" t="s">
        <v>4101</v>
      </c>
      <c r="D925" s="5" t="s">
        <v>4102</v>
      </c>
      <c r="E925" s="5" t="s">
        <v>1318</v>
      </c>
      <c r="F925" s="5" t="s">
        <v>1319</v>
      </c>
      <c r="G925" s="5" t="s">
        <v>1320</v>
      </c>
      <c r="H925" s="148">
        <v>3</v>
      </c>
      <c r="I925" s="149">
        <v>13976</v>
      </c>
      <c r="J925" s="150">
        <v>0.15</v>
      </c>
      <c r="K925" s="149">
        <v>35638.800000000003</v>
      </c>
      <c r="L925" s="149">
        <v>9978.48</v>
      </c>
      <c r="M925" s="5" t="s">
        <v>1313</v>
      </c>
      <c r="N925" s="5" t="s">
        <v>1297</v>
      </c>
      <c r="O925" s="5" t="s">
        <v>1298</v>
      </c>
      <c r="P925" s="5" t="s">
        <v>1323</v>
      </c>
      <c r="Q925" s="5" t="s">
        <v>1300</v>
      </c>
      <c r="R925" s="151">
        <v>5</v>
      </c>
      <c r="S925" s="143"/>
    </row>
    <row r="926" spans="1:19" x14ac:dyDescent="0.25">
      <c r="A926" s="5" t="s">
        <v>4103</v>
      </c>
      <c r="B926" s="147">
        <v>45799</v>
      </c>
      <c r="C926" s="5" t="s">
        <v>4104</v>
      </c>
      <c r="D926" s="5" t="s">
        <v>4105</v>
      </c>
      <c r="E926" s="5" t="s">
        <v>1310</v>
      </c>
      <c r="F926" s="5" t="s">
        <v>1311</v>
      </c>
      <c r="G926" s="5" t="s">
        <v>1312</v>
      </c>
      <c r="H926" s="148">
        <v>2</v>
      </c>
      <c r="I926" s="149">
        <v>1032</v>
      </c>
      <c r="J926" s="150">
        <v>0.05</v>
      </c>
      <c r="K926" s="149">
        <v>1960.8</v>
      </c>
      <c r="L926" s="149">
        <v>180.62</v>
      </c>
      <c r="M926" s="5" t="s">
        <v>1344</v>
      </c>
      <c r="N926" s="5" t="s">
        <v>1352</v>
      </c>
      <c r="O926" s="5" t="s">
        <v>1352</v>
      </c>
      <c r="P926" s="5" t="s">
        <v>1314</v>
      </c>
      <c r="Q926" s="5" t="s">
        <v>1204</v>
      </c>
      <c r="R926" s="151">
        <v>3</v>
      </c>
      <c r="S926" s="143"/>
    </row>
    <row r="927" spans="1:19" x14ac:dyDescent="0.25">
      <c r="A927" s="5" t="s">
        <v>4106</v>
      </c>
      <c r="B927" s="147">
        <v>45909</v>
      </c>
      <c r="C927" s="5" t="s">
        <v>4107</v>
      </c>
      <c r="D927" s="5" t="s">
        <v>4108</v>
      </c>
      <c r="E927" s="5" t="s">
        <v>1310</v>
      </c>
      <c r="F927" s="5" t="s">
        <v>1311</v>
      </c>
      <c r="G927" s="5" t="s">
        <v>1312</v>
      </c>
      <c r="H927" s="148">
        <v>2</v>
      </c>
      <c r="I927" s="149">
        <v>4435</v>
      </c>
      <c r="J927" s="150">
        <v>0.2</v>
      </c>
      <c r="K927" s="149">
        <v>7096</v>
      </c>
      <c r="L927" s="149">
        <v>1622.14</v>
      </c>
      <c r="M927" s="5" t="s">
        <v>1381</v>
      </c>
      <c r="N927" s="5" t="s">
        <v>1362</v>
      </c>
      <c r="O927" s="5" t="s">
        <v>1363</v>
      </c>
      <c r="P927" s="5" t="s">
        <v>1314</v>
      </c>
      <c r="Q927" s="5" t="s">
        <v>1184</v>
      </c>
      <c r="R927" s="151">
        <v>3</v>
      </c>
      <c r="S927" s="143"/>
    </row>
    <row r="928" spans="1:19" x14ac:dyDescent="0.25">
      <c r="A928" s="5" t="s">
        <v>4109</v>
      </c>
      <c r="B928" s="147">
        <v>45680</v>
      </c>
      <c r="C928" s="5" t="s">
        <v>4110</v>
      </c>
      <c r="D928" s="5" t="s">
        <v>4111</v>
      </c>
      <c r="E928" s="5" t="s">
        <v>1195</v>
      </c>
      <c r="F928" s="5" t="s">
        <v>988</v>
      </c>
      <c r="G928" s="5" t="s">
        <v>1336</v>
      </c>
      <c r="H928" s="148">
        <v>5</v>
      </c>
      <c r="I928" s="149">
        <v>3110</v>
      </c>
      <c r="J928" s="150">
        <v>0.1</v>
      </c>
      <c r="K928" s="149">
        <v>13995</v>
      </c>
      <c r="L928" s="149">
        <v>2105.6799999999998</v>
      </c>
      <c r="M928" s="5" t="s">
        <v>1130</v>
      </c>
      <c r="N928" s="5" t="s">
        <v>1304</v>
      </c>
      <c r="O928" s="5" t="s">
        <v>1305</v>
      </c>
      <c r="P928" s="5" t="s">
        <v>1299</v>
      </c>
      <c r="Q928" s="5" t="s">
        <v>1204</v>
      </c>
      <c r="R928" s="151">
        <v>4</v>
      </c>
      <c r="S928" s="143"/>
    </row>
    <row r="929" spans="1:19" x14ac:dyDescent="0.25">
      <c r="A929" s="5" t="s">
        <v>4112</v>
      </c>
      <c r="B929" s="147">
        <v>45736</v>
      </c>
      <c r="C929" s="5" t="s">
        <v>4113</v>
      </c>
      <c r="D929" s="5" t="s">
        <v>4114</v>
      </c>
      <c r="E929" s="5" t="s">
        <v>1295</v>
      </c>
      <c r="F929" s="5" t="s">
        <v>985</v>
      </c>
      <c r="G929" s="5" t="s">
        <v>1296</v>
      </c>
      <c r="H929" s="148">
        <v>2</v>
      </c>
      <c r="I929" s="149">
        <v>7705</v>
      </c>
      <c r="J929" s="150">
        <v>0.15</v>
      </c>
      <c r="K929" s="149">
        <v>13098.5</v>
      </c>
      <c r="L929" s="149">
        <v>2478.92</v>
      </c>
      <c r="M929" s="5" t="s">
        <v>1130</v>
      </c>
      <c r="N929" s="5" t="s">
        <v>1352</v>
      </c>
      <c r="O929" s="5" t="s">
        <v>1352</v>
      </c>
      <c r="P929" s="5" t="s">
        <v>1327</v>
      </c>
      <c r="Q929" s="5" t="s">
        <v>1184</v>
      </c>
      <c r="R929" s="151">
        <v>1</v>
      </c>
      <c r="S929" s="143"/>
    </row>
    <row r="930" spans="1:19" x14ac:dyDescent="0.25">
      <c r="A930" s="5" t="s">
        <v>4115</v>
      </c>
      <c r="B930" s="147">
        <v>45755</v>
      </c>
      <c r="C930" s="5" t="s">
        <v>4116</v>
      </c>
      <c r="D930" s="5" t="s">
        <v>4117</v>
      </c>
      <c r="E930" s="5" t="s">
        <v>1331</v>
      </c>
      <c r="F930" s="5" t="s">
        <v>988</v>
      </c>
      <c r="G930" s="5" t="s">
        <v>1332</v>
      </c>
      <c r="H930" s="148">
        <v>2</v>
      </c>
      <c r="I930" s="149">
        <v>7591</v>
      </c>
      <c r="J930" s="150">
        <v>0.1</v>
      </c>
      <c r="K930" s="149">
        <v>13663.8</v>
      </c>
      <c r="L930" s="149">
        <v>3329.87</v>
      </c>
      <c r="M930" s="5" t="s">
        <v>1381</v>
      </c>
      <c r="N930" s="5" t="s">
        <v>1321</v>
      </c>
      <c r="O930" s="5" t="s">
        <v>1322</v>
      </c>
      <c r="P930" s="5" t="s">
        <v>1327</v>
      </c>
      <c r="Q930" s="5" t="s">
        <v>1204</v>
      </c>
      <c r="R930" s="151">
        <v>5</v>
      </c>
      <c r="S930" s="143"/>
    </row>
    <row r="931" spans="1:19" x14ac:dyDescent="0.25">
      <c r="A931" s="5" t="s">
        <v>4118</v>
      </c>
      <c r="B931" s="147">
        <v>46009</v>
      </c>
      <c r="C931" s="5" t="s">
        <v>4119</v>
      </c>
      <c r="D931" s="5" t="s">
        <v>4120</v>
      </c>
      <c r="E931" s="5" t="s">
        <v>1342</v>
      </c>
      <c r="F931" s="5" t="s">
        <v>988</v>
      </c>
      <c r="G931" s="5" t="s">
        <v>1343</v>
      </c>
      <c r="H931" s="148">
        <v>3</v>
      </c>
      <c r="I931" s="149">
        <v>2693</v>
      </c>
      <c r="J931" s="150">
        <v>0.05</v>
      </c>
      <c r="K931" s="149">
        <v>7675.05</v>
      </c>
      <c r="L931" s="149">
        <v>1100.2</v>
      </c>
      <c r="M931" s="5" t="s">
        <v>1344</v>
      </c>
      <c r="N931" s="5" t="s">
        <v>1321</v>
      </c>
      <c r="O931" s="5" t="s">
        <v>1322</v>
      </c>
      <c r="P931" s="5" t="s">
        <v>1314</v>
      </c>
      <c r="Q931" s="5" t="s">
        <v>1204</v>
      </c>
      <c r="R931" s="151">
        <v>1</v>
      </c>
      <c r="S931" s="143"/>
    </row>
    <row r="932" spans="1:19" x14ac:dyDescent="0.25">
      <c r="A932" s="5" t="s">
        <v>4121</v>
      </c>
      <c r="B932" s="147">
        <v>45889</v>
      </c>
      <c r="C932" s="5" t="s">
        <v>4122</v>
      </c>
      <c r="D932" s="5" t="s">
        <v>4123</v>
      </c>
      <c r="E932" s="5" t="s">
        <v>1359</v>
      </c>
      <c r="F932" s="5" t="s">
        <v>1360</v>
      </c>
      <c r="G932" s="5" t="s">
        <v>1361</v>
      </c>
      <c r="H932" s="148">
        <v>4</v>
      </c>
      <c r="I932" s="149">
        <v>1345</v>
      </c>
      <c r="J932" s="150">
        <v>0</v>
      </c>
      <c r="K932" s="149">
        <v>5380</v>
      </c>
      <c r="L932" s="149">
        <v>1321.18</v>
      </c>
      <c r="M932" s="5" t="s">
        <v>1344</v>
      </c>
      <c r="N932" s="5" t="s">
        <v>1352</v>
      </c>
      <c r="O932" s="5" t="s">
        <v>1352</v>
      </c>
      <c r="P932" s="5" t="s">
        <v>1348</v>
      </c>
      <c r="Q932" s="5" t="s">
        <v>1300</v>
      </c>
      <c r="R932" s="151">
        <v>1</v>
      </c>
      <c r="S932" s="143"/>
    </row>
    <row r="933" spans="1:19" x14ac:dyDescent="0.25">
      <c r="A933" s="5" t="s">
        <v>4124</v>
      </c>
      <c r="B933" s="147">
        <v>45665</v>
      </c>
      <c r="C933" s="5" t="s">
        <v>4125</v>
      </c>
      <c r="D933" s="5" t="s">
        <v>4126</v>
      </c>
      <c r="E933" s="5" t="s">
        <v>1318</v>
      </c>
      <c r="F933" s="5" t="s">
        <v>1319</v>
      </c>
      <c r="G933" s="5" t="s">
        <v>1320</v>
      </c>
      <c r="H933" s="148">
        <v>5</v>
      </c>
      <c r="I933" s="149">
        <v>8860</v>
      </c>
      <c r="J933" s="150">
        <v>0</v>
      </c>
      <c r="K933" s="149">
        <v>44300</v>
      </c>
      <c r="L933" s="149">
        <v>12638.66</v>
      </c>
      <c r="M933" s="5" t="s">
        <v>1313</v>
      </c>
      <c r="N933" s="5" t="s">
        <v>1352</v>
      </c>
      <c r="O933" s="5" t="s">
        <v>1352</v>
      </c>
      <c r="P933" s="5" t="s">
        <v>1327</v>
      </c>
      <c r="Q933" s="5" t="s">
        <v>1184</v>
      </c>
      <c r="R933" s="151">
        <v>2</v>
      </c>
      <c r="S933" s="143"/>
    </row>
    <row r="934" spans="1:19" x14ac:dyDescent="0.25">
      <c r="A934" s="5" t="s">
        <v>4127</v>
      </c>
      <c r="B934" s="147">
        <v>45749</v>
      </c>
      <c r="C934" s="5" t="s">
        <v>4128</v>
      </c>
      <c r="D934" s="5" t="s">
        <v>4129</v>
      </c>
      <c r="E934" s="5" t="s">
        <v>1295</v>
      </c>
      <c r="F934" s="5" t="s">
        <v>985</v>
      </c>
      <c r="G934" s="5" t="s">
        <v>1296</v>
      </c>
      <c r="H934" s="148">
        <v>4</v>
      </c>
      <c r="I934" s="149">
        <v>2947</v>
      </c>
      <c r="J934" s="150">
        <v>0.05</v>
      </c>
      <c r="K934" s="149">
        <v>11198.6</v>
      </c>
      <c r="L934" s="149">
        <v>2307.0700000000002</v>
      </c>
      <c r="M934" s="5" t="s">
        <v>1126</v>
      </c>
      <c r="N934" s="5" t="s">
        <v>1362</v>
      </c>
      <c r="O934" s="5" t="s">
        <v>1363</v>
      </c>
      <c r="P934" s="5" t="s">
        <v>1327</v>
      </c>
      <c r="Q934" s="5" t="s">
        <v>1204</v>
      </c>
      <c r="R934" s="151">
        <v>2</v>
      </c>
      <c r="S934" s="143"/>
    </row>
    <row r="935" spans="1:19" x14ac:dyDescent="0.25">
      <c r="A935" s="5" t="s">
        <v>4130</v>
      </c>
      <c r="B935" s="147">
        <v>45984</v>
      </c>
      <c r="C935" s="5" t="s">
        <v>4131</v>
      </c>
      <c r="D935" s="5" t="s">
        <v>4132</v>
      </c>
      <c r="E935" s="5" t="s">
        <v>1342</v>
      </c>
      <c r="F935" s="5" t="s">
        <v>988</v>
      </c>
      <c r="G935" s="5" t="s">
        <v>1343</v>
      </c>
      <c r="H935" s="148">
        <v>3</v>
      </c>
      <c r="I935" s="149">
        <v>10019</v>
      </c>
      <c r="J935" s="150">
        <v>0.1</v>
      </c>
      <c r="K935" s="149">
        <v>27051.3</v>
      </c>
      <c r="L935" s="149">
        <v>4778.08</v>
      </c>
      <c r="M935" s="5" t="s">
        <v>1381</v>
      </c>
      <c r="N935" s="5" t="s">
        <v>1304</v>
      </c>
      <c r="O935" s="5" t="s">
        <v>1305</v>
      </c>
      <c r="P935" s="5" t="s">
        <v>1299</v>
      </c>
      <c r="Q935" s="5" t="s">
        <v>1204</v>
      </c>
      <c r="R935" s="151">
        <v>4</v>
      </c>
      <c r="S935" s="143"/>
    </row>
    <row r="936" spans="1:19" x14ac:dyDescent="0.25">
      <c r="A936" s="5" t="s">
        <v>4133</v>
      </c>
      <c r="B936" s="147">
        <v>45821</v>
      </c>
      <c r="C936" s="5" t="s">
        <v>4134</v>
      </c>
      <c r="D936" s="5" t="s">
        <v>4135</v>
      </c>
      <c r="E936" s="5" t="s">
        <v>1318</v>
      </c>
      <c r="F936" s="5" t="s">
        <v>1319</v>
      </c>
      <c r="G936" s="5" t="s">
        <v>1320</v>
      </c>
      <c r="H936" s="148">
        <v>1</v>
      </c>
      <c r="I936" s="149">
        <v>12009</v>
      </c>
      <c r="J936" s="150">
        <v>0.2</v>
      </c>
      <c r="K936" s="149">
        <v>9607.2000000000007</v>
      </c>
      <c r="L936" s="149">
        <v>1372.77</v>
      </c>
      <c r="M936" s="5" t="s">
        <v>1313</v>
      </c>
      <c r="N936" s="5" t="s">
        <v>1297</v>
      </c>
      <c r="O936" s="5" t="s">
        <v>1298</v>
      </c>
      <c r="P936" s="5" t="s">
        <v>1348</v>
      </c>
      <c r="Q936" s="5" t="s">
        <v>1204</v>
      </c>
      <c r="R936" s="151">
        <v>5</v>
      </c>
      <c r="S936" s="143"/>
    </row>
    <row r="937" spans="1:19" x14ac:dyDescent="0.25">
      <c r="A937" s="5" t="s">
        <v>4136</v>
      </c>
      <c r="B937" s="147">
        <v>45753</v>
      </c>
      <c r="C937" s="5" t="s">
        <v>4137</v>
      </c>
      <c r="D937" s="5" t="s">
        <v>4138</v>
      </c>
      <c r="E937" s="5" t="s">
        <v>1195</v>
      </c>
      <c r="F937" s="5" t="s">
        <v>988</v>
      </c>
      <c r="G937" s="5" t="s">
        <v>1336</v>
      </c>
      <c r="H937" s="148">
        <v>4</v>
      </c>
      <c r="I937" s="149">
        <v>511</v>
      </c>
      <c r="J937" s="150">
        <v>0.2</v>
      </c>
      <c r="K937" s="149">
        <v>1635.2</v>
      </c>
      <c r="L937" s="149">
        <v>214.1</v>
      </c>
      <c r="M937" s="5" t="s">
        <v>1130</v>
      </c>
      <c r="N937" s="5" t="s">
        <v>1362</v>
      </c>
      <c r="O937" s="5" t="s">
        <v>1363</v>
      </c>
      <c r="P937" s="5" t="s">
        <v>1323</v>
      </c>
      <c r="Q937" s="5" t="s">
        <v>1184</v>
      </c>
      <c r="R937" s="151">
        <v>3</v>
      </c>
      <c r="S937" s="143"/>
    </row>
    <row r="938" spans="1:19" x14ac:dyDescent="0.25">
      <c r="A938" s="5" t="s">
        <v>4139</v>
      </c>
      <c r="B938" s="147">
        <v>45954</v>
      </c>
      <c r="C938" s="5" t="s">
        <v>4140</v>
      </c>
      <c r="D938" s="5" t="s">
        <v>4141</v>
      </c>
      <c r="E938" s="5" t="s">
        <v>1370</v>
      </c>
      <c r="F938" s="5" t="s">
        <v>1160</v>
      </c>
      <c r="G938" s="5" t="s">
        <v>1371</v>
      </c>
      <c r="H938" s="148">
        <v>3</v>
      </c>
      <c r="I938" s="149">
        <v>12690</v>
      </c>
      <c r="J938" s="150">
        <v>0.15</v>
      </c>
      <c r="K938" s="149">
        <v>32359.5</v>
      </c>
      <c r="L938" s="149">
        <v>3309.07</v>
      </c>
      <c r="M938" s="5" t="s">
        <v>1126</v>
      </c>
      <c r="N938" s="5" t="s">
        <v>1352</v>
      </c>
      <c r="O938" s="5" t="s">
        <v>1352</v>
      </c>
      <c r="P938" s="5" t="s">
        <v>1327</v>
      </c>
      <c r="Q938" s="5" t="s">
        <v>1300</v>
      </c>
      <c r="R938" s="151">
        <v>4</v>
      </c>
      <c r="S938" s="143"/>
    </row>
    <row r="939" spans="1:19" x14ac:dyDescent="0.25">
      <c r="A939" s="5" t="s">
        <v>4142</v>
      </c>
      <c r="B939" s="147">
        <v>46015</v>
      </c>
      <c r="C939" s="5" t="s">
        <v>4143</v>
      </c>
      <c r="D939" s="5" t="s">
        <v>4144</v>
      </c>
      <c r="E939" s="5" t="s">
        <v>1295</v>
      </c>
      <c r="F939" s="5" t="s">
        <v>985</v>
      </c>
      <c r="G939" s="5" t="s">
        <v>1296</v>
      </c>
      <c r="H939" s="148">
        <v>3</v>
      </c>
      <c r="I939" s="149">
        <v>11492</v>
      </c>
      <c r="J939" s="150">
        <v>0.1</v>
      </c>
      <c r="K939" s="149">
        <v>31028.400000000001</v>
      </c>
      <c r="L939" s="149">
        <v>9048.86</v>
      </c>
      <c r="M939" s="5" t="s">
        <v>1130</v>
      </c>
      <c r="N939" s="5" t="s">
        <v>1321</v>
      </c>
      <c r="O939" s="5" t="s">
        <v>1322</v>
      </c>
      <c r="P939" s="5" t="s">
        <v>1323</v>
      </c>
      <c r="Q939" s="5" t="s">
        <v>1184</v>
      </c>
      <c r="R939" s="151">
        <v>3</v>
      </c>
      <c r="S939" s="143"/>
    </row>
    <row r="940" spans="1:19" x14ac:dyDescent="0.25">
      <c r="A940" s="5" t="s">
        <v>4145</v>
      </c>
      <c r="B940" s="147">
        <v>46001</v>
      </c>
      <c r="C940" s="5" t="s">
        <v>4146</v>
      </c>
      <c r="D940" s="5" t="s">
        <v>4147</v>
      </c>
      <c r="E940" s="5" t="s">
        <v>1331</v>
      </c>
      <c r="F940" s="5" t="s">
        <v>988</v>
      </c>
      <c r="G940" s="5" t="s">
        <v>1332</v>
      </c>
      <c r="H940" s="148">
        <v>4</v>
      </c>
      <c r="I940" s="149">
        <v>8158</v>
      </c>
      <c r="J940" s="150">
        <v>0.15</v>
      </c>
      <c r="K940" s="149">
        <v>27737.200000000001</v>
      </c>
      <c r="L940" s="149">
        <v>2418.9699999999998</v>
      </c>
      <c r="M940" s="5" t="s">
        <v>1126</v>
      </c>
      <c r="N940" s="5" t="s">
        <v>1337</v>
      </c>
      <c r="O940" s="5" t="s">
        <v>1338</v>
      </c>
      <c r="P940" s="5" t="s">
        <v>1348</v>
      </c>
      <c r="Q940" s="5" t="s">
        <v>1204</v>
      </c>
      <c r="R940" s="151">
        <v>5</v>
      </c>
      <c r="S940" s="143"/>
    </row>
    <row r="941" spans="1:19" x14ac:dyDescent="0.25">
      <c r="A941" s="5" t="s">
        <v>4148</v>
      </c>
      <c r="B941" s="147">
        <v>45663</v>
      </c>
      <c r="C941" s="5" t="s">
        <v>4149</v>
      </c>
      <c r="D941" s="5" t="s">
        <v>4150</v>
      </c>
      <c r="E941" s="5" t="s">
        <v>1342</v>
      </c>
      <c r="F941" s="5" t="s">
        <v>988</v>
      </c>
      <c r="G941" s="5" t="s">
        <v>1343</v>
      </c>
      <c r="H941" s="148">
        <v>2</v>
      </c>
      <c r="I941" s="149">
        <v>9321</v>
      </c>
      <c r="J941" s="150">
        <v>0.05</v>
      </c>
      <c r="K941" s="149">
        <v>17709.900000000001</v>
      </c>
      <c r="L941" s="149">
        <v>4614.25</v>
      </c>
      <c r="M941" s="5" t="s">
        <v>1313</v>
      </c>
      <c r="N941" s="5" t="s">
        <v>1362</v>
      </c>
      <c r="O941" s="5" t="s">
        <v>1363</v>
      </c>
      <c r="P941" s="5" t="s">
        <v>1299</v>
      </c>
      <c r="Q941" s="5" t="s">
        <v>1204</v>
      </c>
      <c r="R941" s="151">
        <v>5</v>
      </c>
      <c r="S941" s="143"/>
    </row>
    <row r="942" spans="1:19" x14ac:dyDescent="0.25">
      <c r="A942" s="5" t="s">
        <v>4151</v>
      </c>
      <c r="B942" s="147">
        <v>45706</v>
      </c>
      <c r="C942" s="5" t="s">
        <v>4152</v>
      </c>
      <c r="D942" s="5" t="s">
        <v>4153</v>
      </c>
      <c r="E942" s="5" t="s">
        <v>1370</v>
      </c>
      <c r="F942" s="5" t="s">
        <v>1160</v>
      </c>
      <c r="G942" s="5" t="s">
        <v>1371</v>
      </c>
      <c r="H942" s="148">
        <v>5</v>
      </c>
      <c r="I942" s="149">
        <v>10124</v>
      </c>
      <c r="J942" s="150">
        <v>0.15</v>
      </c>
      <c r="K942" s="149">
        <v>43027</v>
      </c>
      <c r="L942" s="149">
        <v>7067.46</v>
      </c>
      <c r="M942" s="5" t="s">
        <v>1381</v>
      </c>
      <c r="N942" s="5" t="s">
        <v>1321</v>
      </c>
      <c r="O942" s="5" t="s">
        <v>1322</v>
      </c>
      <c r="P942" s="5" t="s">
        <v>1314</v>
      </c>
      <c r="Q942" s="5" t="s">
        <v>1300</v>
      </c>
      <c r="R942" s="151">
        <v>5</v>
      </c>
      <c r="S942" s="143"/>
    </row>
    <row r="943" spans="1:19" x14ac:dyDescent="0.25">
      <c r="A943" s="5" t="s">
        <v>4154</v>
      </c>
      <c r="B943" s="147">
        <v>45682</v>
      </c>
      <c r="C943" s="5" t="s">
        <v>4155</v>
      </c>
      <c r="D943" s="5" t="s">
        <v>4156</v>
      </c>
      <c r="E943" s="5" t="s">
        <v>1318</v>
      </c>
      <c r="F943" s="5" t="s">
        <v>1319</v>
      </c>
      <c r="G943" s="5" t="s">
        <v>1320</v>
      </c>
      <c r="H943" s="148">
        <v>2</v>
      </c>
      <c r="I943" s="149">
        <v>7815</v>
      </c>
      <c r="J943" s="150">
        <v>0</v>
      </c>
      <c r="K943" s="149">
        <v>15630</v>
      </c>
      <c r="L943" s="149">
        <v>4047.71</v>
      </c>
      <c r="M943" s="5" t="s">
        <v>1381</v>
      </c>
      <c r="N943" s="5" t="s">
        <v>1362</v>
      </c>
      <c r="O943" s="5" t="s">
        <v>1363</v>
      </c>
      <c r="P943" s="5" t="s">
        <v>1327</v>
      </c>
      <c r="Q943" s="5" t="s">
        <v>1300</v>
      </c>
      <c r="R943" s="151">
        <v>5</v>
      </c>
      <c r="S943" s="143"/>
    </row>
    <row r="944" spans="1:19" x14ac:dyDescent="0.25">
      <c r="A944" s="5" t="s">
        <v>4157</v>
      </c>
      <c r="B944" s="147">
        <v>45683</v>
      </c>
      <c r="C944" s="5" t="s">
        <v>4158</v>
      </c>
      <c r="D944" s="5" t="s">
        <v>4159</v>
      </c>
      <c r="E944" s="5" t="s">
        <v>1342</v>
      </c>
      <c r="F944" s="5" t="s">
        <v>988</v>
      </c>
      <c r="G944" s="5" t="s">
        <v>1343</v>
      </c>
      <c r="H944" s="148">
        <v>3</v>
      </c>
      <c r="I944" s="149">
        <v>14344</v>
      </c>
      <c r="J944" s="150">
        <v>0.05</v>
      </c>
      <c r="K944" s="149">
        <v>40880.400000000001</v>
      </c>
      <c r="L944" s="149">
        <v>7159.73</v>
      </c>
      <c r="M944" s="5" t="s">
        <v>1381</v>
      </c>
      <c r="N944" s="5" t="s">
        <v>1362</v>
      </c>
      <c r="O944" s="5" t="s">
        <v>1363</v>
      </c>
      <c r="P944" s="5" t="s">
        <v>1348</v>
      </c>
      <c r="Q944" s="5" t="s">
        <v>1300</v>
      </c>
      <c r="R944" s="151">
        <v>2</v>
      </c>
      <c r="S944" s="143"/>
    </row>
    <row r="945" spans="1:19" x14ac:dyDescent="0.25">
      <c r="A945" s="5" t="s">
        <v>4160</v>
      </c>
      <c r="B945" s="147">
        <v>45963</v>
      </c>
      <c r="C945" s="5" t="s">
        <v>4161</v>
      </c>
      <c r="D945" s="5" t="s">
        <v>4162</v>
      </c>
      <c r="E945" s="5" t="s">
        <v>1331</v>
      </c>
      <c r="F945" s="5" t="s">
        <v>988</v>
      </c>
      <c r="G945" s="5" t="s">
        <v>1332</v>
      </c>
      <c r="H945" s="148">
        <v>4</v>
      </c>
      <c r="I945" s="149">
        <v>4933</v>
      </c>
      <c r="J945" s="150">
        <v>0.15</v>
      </c>
      <c r="K945" s="149">
        <v>16772.2</v>
      </c>
      <c r="L945" s="149">
        <v>1381.13</v>
      </c>
      <c r="M945" s="5" t="s">
        <v>1130</v>
      </c>
      <c r="N945" s="5" t="s">
        <v>1321</v>
      </c>
      <c r="O945" s="5" t="s">
        <v>1322</v>
      </c>
      <c r="P945" s="5" t="s">
        <v>1314</v>
      </c>
      <c r="Q945" s="5" t="s">
        <v>1300</v>
      </c>
      <c r="R945" s="151">
        <v>5</v>
      </c>
      <c r="S945" s="143"/>
    </row>
    <row r="946" spans="1:19" x14ac:dyDescent="0.25">
      <c r="A946" s="5" t="s">
        <v>4163</v>
      </c>
      <c r="B946" s="147">
        <v>45914</v>
      </c>
      <c r="C946" s="5" t="s">
        <v>4164</v>
      </c>
      <c r="D946" s="5" t="s">
        <v>4165</v>
      </c>
      <c r="E946" s="5" t="s">
        <v>1370</v>
      </c>
      <c r="F946" s="5" t="s">
        <v>1160</v>
      </c>
      <c r="G946" s="5" t="s">
        <v>1371</v>
      </c>
      <c r="H946" s="148">
        <v>4</v>
      </c>
      <c r="I946" s="149">
        <v>2079</v>
      </c>
      <c r="J946" s="150">
        <v>0.15</v>
      </c>
      <c r="K946" s="149">
        <v>7068.6</v>
      </c>
      <c r="L946" s="149">
        <v>654.55999999999995</v>
      </c>
      <c r="M946" s="5" t="s">
        <v>1381</v>
      </c>
      <c r="N946" s="5" t="s">
        <v>1337</v>
      </c>
      <c r="O946" s="5" t="s">
        <v>1338</v>
      </c>
      <c r="P946" s="5" t="s">
        <v>1327</v>
      </c>
      <c r="Q946" s="5" t="s">
        <v>1300</v>
      </c>
      <c r="R946" s="151">
        <v>4</v>
      </c>
      <c r="S946" s="143"/>
    </row>
    <row r="947" spans="1:19" x14ac:dyDescent="0.25">
      <c r="A947" s="5" t="s">
        <v>4166</v>
      </c>
      <c r="B947" s="147">
        <v>45781</v>
      </c>
      <c r="C947" s="5" t="s">
        <v>4167</v>
      </c>
      <c r="D947" s="5" t="s">
        <v>4168</v>
      </c>
      <c r="E947" s="5" t="s">
        <v>1310</v>
      </c>
      <c r="F947" s="5" t="s">
        <v>1311</v>
      </c>
      <c r="G947" s="5" t="s">
        <v>1312</v>
      </c>
      <c r="H947" s="148">
        <v>4</v>
      </c>
      <c r="I947" s="149">
        <v>2521</v>
      </c>
      <c r="J947" s="150">
        <v>0.2</v>
      </c>
      <c r="K947" s="149">
        <v>8067.2</v>
      </c>
      <c r="L947" s="149">
        <v>1981.02</v>
      </c>
      <c r="M947" s="5" t="s">
        <v>1313</v>
      </c>
      <c r="N947" s="5" t="s">
        <v>1337</v>
      </c>
      <c r="O947" s="5" t="s">
        <v>1338</v>
      </c>
      <c r="P947" s="5" t="s">
        <v>1299</v>
      </c>
      <c r="Q947" s="5" t="s">
        <v>1184</v>
      </c>
      <c r="R947" s="151">
        <v>5</v>
      </c>
      <c r="S947" s="143"/>
    </row>
    <row r="948" spans="1:19" x14ac:dyDescent="0.25">
      <c r="A948" s="5" t="s">
        <v>4169</v>
      </c>
      <c r="B948" s="147">
        <v>45670</v>
      </c>
      <c r="C948" s="5" t="s">
        <v>4170</v>
      </c>
      <c r="D948" s="5" t="s">
        <v>4171</v>
      </c>
      <c r="E948" s="5" t="s">
        <v>1195</v>
      </c>
      <c r="F948" s="5" t="s">
        <v>988</v>
      </c>
      <c r="G948" s="5" t="s">
        <v>1336</v>
      </c>
      <c r="H948" s="148">
        <v>1</v>
      </c>
      <c r="I948" s="149">
        <v>10285</v>
      </c>
      <c r="J948" s="150">
        <v>0.1</v>
      </c>
      <c r="K948" s="149">
        <v>9256.5</v>
      </c>
      <c r="L948" s="149">
        <v>2085.0300000000002</v>
      </c>
      <c r="M948" s="5" t="s">
        <v>1344</v>
      </c>
      <c r="N948" s="5" t="s">
        <v>1304</v>
      </c>
      <c r="O948" s="5" t="s">
        <v>1305</v>
      </c>
      <c r="P948" s="5" t="s">
        <v>1348</v>
      </c>
      <c r="Q948" s="5" t="s">
        <v>1184</v>
      </c>
      <c r="R948" s="151">
        <v>3</v>
      </c>
      <c r="S948" s="143"/>
    </row>
    <row r="949" spans="1:19" x14ac:dyDescent="0.25">
      <c r="A949" s="5" t="s">
        <v>4172</v>
      </c>
      <c r="B949" s="147">
        <v>46002</v>
      </c>
      <c r="C949" s="5" t="s">
        <v>4173</v>
      </c>
      <c r="D949" s="5" t="s">
        <v>4174</v>
      </c>
      <c r="E949" s="5" t="s">
        <v>1295</v>
      </c>
      <c r="F949" s="5" t="s">
        <v>985</v>
      </c>
      <c r="G949" s="5" t="s">
        <v>1296</v>
      </c>
      <c r="H949" s="148">
        <v>3</v>
      </c>
      <c r="I949" s="149">
        <v>5652</v>
      </c>
      <c r="J949" s="150">
        <v>0.1</v>
      </c>
      <c r="K949" s="149">
        <v>15260.4</v>
      </c>
      <c r="L949" s="149">
        <v>1919.93</v>
      </c>
      <c r="M949" s="5" t="s">
        <v>1381</v>
      </c>
      <c r="N949" s="5" t="s">
        <v>1304</v>
      </c>
      <c r="O949" s="5" t="s">
        <v>1305</v>
      </c>
      <c r="P949" s="5" t="s">
        <v>1327</v>
      </c>
      <c r="Q949" s="5" t="s">
        <v>1184</v>
      </c>
      <c r="R949" s="151">
        <v>2</v>
      </c>
      <c r="S949" s="143"/>
    </row>
    <row r="950" spans="1:19" x14ac:dyDescent="0.25">
      <c r="A950" s="5" t="s">
        <v>4175</v>
      </c>
      <c r="B950" s="147">
        <v>45810</v>
      </c>
      <c r="C950" s="5" t="s">
        <v>4176</v>
      </c>
      <c r="D950" s="5" t="s">
        <v>4177</v>
      </c>
      <c r="E950" s="5" t="s">
        <v>1342</v>
      </c>
      <c r="F950" s="5" t="s">
        <v>988</v>
      </c>
      <c r="G950" s="5" t="s">
        <v>1343</v>
      </c>
      <c r="H950" s="148">
        <v>5</v>
      </c>
      <c r="I950" s="149">
        <v>8423</v>
      </c>
      <c r="J950" s="150">
        <v>0</v>
      </c>
      <c r="K950" s="149">
        <v>42115</v>
      </c>
      <c r="L950" s="149">
        <v>7320.36</v>
      </c>
      <c r="M950" s="5" t="s">
        <v>1130</v>
      </c>
      <c r="N950" s="5" t="s">
        <v>1304</v>
      </c>
      <c r="O950" s="5" t="s">
        <v>1305</v>
      </c>
      <c r="P950" s="5" t="s">
        <v>1314</v>
      </c>
      <c r="Q950" s="5" t="s">
        <v>1184</v>
      </c>
      <c r="R950" s="151">
        <v>5</v>
      </c>
      <c r="S950" s="143"/>
    </row>
    <row r="951" spans="1:19" x14ac:dyDescent="0.25">
      <c r="A951" s="5" t="s">
        <v>4178</v>
      </c>
      <c r="B951" s="147">
        <v>45877</v>
      </c>
      <c r="C951" s="5" t="s">
        <v>4179</v>
      </c>
      <c r="D951" s="5" t="s">
        <v>4180</v>
      </c>
      <c r="E951" s="5" t="s">
        <v>1195</v>
      </c>
      <c r="F951" s="5" t="s">
        <v>988</v>
      </c>
      <c r="G951" s="5" t="s">
        <v>1336</v>
      </c>
      <c r="H951" s="148">
        <v>4</v>
      </c>
      <c r="I951" s="149">
        <v>626</v>
      </c>
      <c r="J951" s="150">
        <v>0.2</v>
      </c>
      <c r="K951" s="149">
        <v>2003.2</v>
      </c>
      <c r="L951" s="149">
        <v>400.13</v>
      </c>
      <c r="M951" s="5" t="s">
        <v>1313</v>
      </c>
      <c r="N951" s="5" t="s">
        <v>1362</v>
      </c>
      <c r="O951" s="5" t="s">
        <v>1363</v>
      </c>
      <c r="P951" s="5" t="s">
        <v>1314</v>
      </c>
      <c r="Q951" s="5" t="s">
        <v>1204</v>
      </c>
      <c r="R951" s="151">
        <v>2</v>
      </c>
      <c r="S951" s="143"/>
    </row>
    <row r="952" spans="1:19" x14ac:dyDescent="0.25">
      <c r="A952" s="5" t="s">
        <v>4181</v>
      </c>
      <c r="B952" s="147">
        <v>45885</v>
      </c>
      <c r="C952" s="5" t="s">
        <v>4182</v>
      </c>
      <c r="D952" s="5" t="s">
        <v>4183</v>
      </c>
      <c r="E952" s="5" t="s">
        <v>1310</v>
      </c>
      <c r="F952" s="5" t="s">
        <v>1311</v>
      </c>
      <c r="G952" s="5" t="s">
        <v>1312</v>
      </c>
      <c r="H952" s="148">
        <v>1</v>
      </c>
      <c r="I952" s="149">
        <v>8313</v>
      </c>
      <c r="J952" s="150">
        <v>0.05</v>
      </c>
      <c r="K952" s="149">
        <v>7897.35</v>
      </c>
      <c r="L952" s="149">
        <v>754.8</v>
      </c>
      <c r="M952" s="5" t="s">
        <v>1313</v>
      </c>
      <c r="N952" s="5" t="s">
        <v>1321</v>
      </c>
      <c r="O952" s="5" t="s">
        <v>1322</v>
      </c>
      <c r="P952" s="5" t="s">
        <v>1327</v>
      </c>
      <c r="Q952" s="5" t="s">
        <v>1204</v>
      </c>
      <c r="R952" s="151">
        <v>3</v>
      </c>
      <c r="S952" s="143"/>
    </row>
    <row r="953" spans="1:19" x14ac:dyDescent="0.25">
      <c r="A953" s="5" t="s">
        <v>4184</v>
      </c>
      <c r="B953" s="147">
        <v>45886</v>
      </c>
      <c r="C953" s="5" t="s">
        <v>4185</v>
      </c>
      <c r="D953" s="5" t="s">
        <v>4186</v>
      </c>
      <c r="E953" s="5" t="s">
        <v>1342</v>
      </c>
      <c r="F953" s="5" t="s">
        <v>988</v>
      </c>
      <c r="G953" s="5" t="s">
        <v>1343</v>
      </c>
      <c r="H953" s="148">
        <v>1</v>
      </c>
      <c r="I953" s="149">
        <v>5688</v>
      </c>
      <c r="J953" s="150">
        <v>0.2</v>
      </c>
      <c r="K953" s="149">
        <v>4550.3999999999996</v>
      </c>
      <c r="L953" s="149">
        <v>545.73</v>
      </c>
      <c r="M953" s="5" t="s">
        <v>1313</v>
      </c>
      <c r="N953" s="5" t="s">
        <v>1304</v>
      </c>
      <c r="O953" s="5" t="s">
        <v>1305</v>
      </c>
      <c r="P953" s="5" t="s">
        <v>1348</v>
      </c>
      <c r="Q953" s="5" t="s">
        <v>1184</v>
      </c>
      <c r="R953" s="151">
        <v>5</v>
      </c>
      <c r="S953" s="143"/>
    </row>
    <row r="954" spans="1:19" x14ac:dyDescent="0.25">
      <c r="A954" s="5" t="s">
        <v>4187</v>
      </c>
      <c r="B954" s="147">
        <v>45914</v>
      </c>
      <c r="C954" s="5" t="s">
        <v>4188</v>
      </c>
      <c r="D954" s="5" t="s">
        <v>4189</v>
      </c>
      <c r="E954" s="5" t="s">
        <v>1331</v>
      </c>
      <c r="F954" s="5" t="s">
        <v>988</v>
      </c>
      <c r="G954" s="5" t="s">
        <v>1332</v>
      </c>
      <c r="H954" s="148">
        <v>4</v>
      </c>
      <c r="I954" s="149">
        <v>6142</v>
      </c>
      <c r="J954" s="150">
        <v>0.05</v>
      </c>
      <c r="K954" s="149">
        <v>23339.599999999999</v>
      </c>
      <c r="L954" s="149">
        <v>6287.78</v>
      </c>
      <c r="M954" s="5" t="s">
        <v>1381</v>
      </c>
      <c r="N954" s="5" t="s">
        <v>1352</v>
      </c>
      <c r="O954" s="5" t="s">
        <v>1352</v>
      </c>
      <c r="P954" s="5" t="s">
        <v>1348</v>
      </c>
      <c r="Q954" s="5" t="s">
        <v>1184</v>
      </c>
      <c r="R954" s="151">
        <v>1</v>
      </c>
      <c r="S954" s="143"/>
    </row>
    <row r="955" spans="1:19" x14ac:dyDescent="0.25">
      <c r="A955" s="5" t="s">
        <v>4190</v>
      </c>
      <c r="B955" s="147">
        <v>45832</v>
      </c>
      <c r="C955" s="5" t="s">
        <v>4191</v>
      </c>
      <c r="D955" s="5" t="s">
        <v>4192</v>
      </c>
      <c r="E955" s="5" t="s">
        <v>1318</v>
      </c>
      <c r="F955" s="5" t="s">
        <v>1319</v>
      </c>
      <c r="G955" s="5" t="s">
        <v>1320</v>
      </c>
      <c r="H955" s="148">
        <v>2</v>
      </c>
      <c r="I955" s="149">
        <v>1114</v>
      </c>
      <c r="J955" s="150">
        <v>0.1</v>
      </c>
      <c r="K955" s="149">
        <v>2005.2</v>
      </c>
      <c r="L955" s="149">
        <v>307.93</v>
      </c>
      <c r="M955" s="5" t="s">
        <v>1344</v>
      </c>
      <c r="N955" s="5" t="s">
        <v>1297</v>
      </c>
      <c r="O955" s="5" t="s">
        <v>1298</v>
      </c>
      <c r="P955" s="5" t="s">
        <v>1323</v>
      </c>
      <c r="Q955" s="5" t="s">
        <v>1300</v>
      </c>
      <c r="R955" s="151">
        <v>4</v>
      </c>
      <c r="S955" s="143"/>
    </row>
    <row r="956" spans="1:19" x14ac:dyDescent="0.25">
      <c r="A956" s="5" t="s">
        <v>4193</v>
      </c>
      <c r="B956" s="147">
        <v>45999</v>
      </c>
      <c r="C956" s="5" t="s">
        <v>4194</v>
      </c>
      <c r="D956" s="5" t="s">
        <v>4195</v>
      </c>
      <c r="E956" s="5" t="s">
        <v>1370</v>
      </c>
      <c r="F956" s="5" t="s">
        <v>1160</v>
      </c>
      <c r="G956" s="5" t="s">
        <v>1371</v>
      </c>
      <c r="H956" s="148">
        <v>3</v>
      </c>
      <c r="I956" s="149">
        <v>14494</v>
      </c>
      <c r="J956" s="150">
        <v>0.2</v>
      </c>
      <c r="K956" s="149">
        <v>34785.599999999999</v>
      </c>
      <c r="L956" s="149">
        <v>5415.09</v>
      </c>
      <c r="M956" s="5" t="s">
        <v>1313</v>
      </c>
      <c r="N956" s="5" t="s">
        <v>1352</v>
      </c>
      <c r="O956" s="5" t="s">
        <v>1352</v>
      </c>
      <c r="P956" s="5" t="s">
        <v>1348</v>
      </c>
      <c r="Q956" s="5" t="s">
        <v>1184</v>
      </c>
      <c r="R956" s="151">
        <v>3</v>
      </c>
      <c r="S956" s="143"/>
    </row>
    <row r="957" spans="1:19" x14ac:dyDescent="0.25">
      <c r="A957" s="5" t="s">
        <v>4196</v>
      </c>
      <c r="B957" s="147">
        <v>45937</v>
      </c>
      <c r="C957" s="5" t="s">
        <v>4197</v>
      </c>
      <c r="D957" s="5" t="s">
        <v>4198</v>
      </c>
      <c r="E957" s="5" t="s">
        <v>1342</v>
      </c>
      <c r="F957" s="5" t="s">
        <v>988</v>
      </c>
      <c r="G957" s="5" t="s">
        <v>1343</v>
      </c>
      <c r="H957" s="148">
        <v>2</v>
      </c>
      <c r="I957" s="149">
        <v>555</v>
      </c>
      <c r="J957" s="150">
        <v>0</v>
      </c>
      <c r="K957" s="149">
        <v>1110</v>
      </c>
      <c r="L957" s="149">
        <v>124.01</v>
      </c>
      <c r="M957" s="5" t="s">
        <v>1344</v>
      </c>
      <c r="N957" s="5" t="s">
        <v>1321</v>
      </c>
      <c r="O957" s="5" t="s">
        <v>1322</v>
      </c>
      <c r="P957" s="5" t="s">
        <v>1314</v>
      </c>
      <c r="Q957" s="5" t="s">
        <v>1300</v>
      </c>
      <c r="R957" s="151">
        <v>1</v>
      </c>
      <c r="S957" s="143"/>
    </row>
    <row r="958" spans="1:19" x14ac:dyDescent="0.25">
      <c r="A958" s="5" t="s">
        <v>4199</v>
      </c>
      <c r="B958" s="147">
        <v>45992</v>
      </c>
      <c r="C958" s="5" t="s">
        <v>4200</v>
      </c>
      <c r="D958" s="5" t="s">
        <v>4201</v>
      </c>
      <c r="E958" s="5" t="s">
        <v>1359</v>
      </c>
      <c r="F958" s="5" t="s">
        <v>1360</v>
      </c>
      <c r="G958" s="5" t="s">
        <v>1361</v>
      </c>
      <c r="H958" s="148">
        <v>5</v>
      </c>
      <c r="I958" s="149">
        <v>12581</v>
      </c>
      <c r="J958" s="150">
        <v>0.15</v>
      </c>
      <c r="K958" s="149">
        <v>53469.25</v>
      </c>
      <c r="L958" s="149">
        <v>8816.66</v>
      </c>
      <c r="M958" s="5" t="s">
        <v>1126</v>
      </c>
      <c r="N958" s="5" t="s">
        <v>1304</v>
      </c>
      <c r="O958" s="5" t="s">
        <v>1305</v>
      </c>
      <c r="P958" s="5" t="s">
        <v>1327</v>
      </c>
      <c r="Q958" s="5" t="s">
        <v>1300</v>
      </c>
      <c r="R958" s="151">
        <v>4</v>
      </c>
      <c r="S958" s="143"/>
    </row>
    <row r="959" spans="1:19" x14ac:dyDescent="0.25">
      <c r="A959" s="5" t="s">
        <v>4202</v>
      </c>
      <c r="B959" s="147">
        <v>45687</v>
      </c>
      <c r="C959" s="5" t="s">
        <v>4203</v>
      </c>
      <c r="D959" s="5" t="s">
        <v>4204</v>
      </c>
      <c r="E959" s="5" t="s">
        <v>1359</v>
      </c>
      <c r="F959" s="5" t="s">
        <v>1360</v>
      </c>
      <c r="G959" s="5" t="s">
        <v>1361</v>
      </c>
      <c r="H959" s="148">
        <v>5</v>
      </c>
      <c r="I959" s="149">
        <v>11530</v>
      </c>
      <c r="J959" s="150">
        <v>0.15</v>
      </c>
      <c r="K959" s="149">
        <v>49002.5</v>
      </c>
      <c r="L959" s="149">
        <v>11278.36</v>
      </c>
      <c r="M959" s="5" t="s">
        <v>1381</v>
      </c>
      <c r="N959" s="5" t="s">
        <v>1297</v>
      </c>
      <c r="O959" s="5" t="s">
        <v>1298</v>
      </c>
      <c r="P959" s="5" t="s">
        <v>1299</v>
      </c>
      <c r="Q959" s="5" t="s">
        <v>1204</v>
      </c>
      <c r="R959" s="151">
        <v>5</v>
      </c>
      <c r="S959" s="143"/>
    </row>
    <row r="960" spans="1:19" x14ac:dyDescent="0.25">
      <c r="A960" s="5" t="s">
        <v>4205</v>
      </c>
      <c r="B960" s="147">
        <v>45794</v>
      </c>
      <c r="C960" s="5" t="s">
        <v>4206</v>
      </c>
      <c r="D960" s="5" t="s">
        <v>4207</v>
      </c>
      <c r="E960" s="5" t="s">
        <v>1295</v>
      </c>
      <c r="F960" s="5" t="s">
        <v>985</v>
      </c>
      <c r="G960" s="5" t="s">
        <v>1296</v>
      </c>
      <c r="H960" s="148">
        <v>1</v>
      </c>
      <c r="I960" s="149">
        <v>14300</v>
      </c>
      <c r="J960" s="150">
        <v>0.05</v>
      </c>
      <c r="K960" s="149">
        <v>13585</v>
      </c>
      <c r="L960" s="149">
        <v>1222.53</v>
      </c>
      <c r="M960" s="5" t="s">
        <v>1313</v>
      </c>
      <c r="N960" s="5" t="s">
        <v>1352</v>
      </c>
      <c r="O960" s="5" t="s">
        <v>1352</v>
      </c>
      <c r="P960" s="5" t="s">
        <v>1314</v>
      </c>
      <c r="Q960" s="5" t="s">
        <v>1204</v>
      </c>
      <c r="R960" s="151">
        <v>1</v>
      </c>
      <c r="S960" s="143"/>
    </row>
    <row r="961" spans="1:19" x14ac:dyDescent="0.25">
      <c r="A961" s="5" t="s">
        <v>4208</v>
      </c>
      <c r="B961" s="147">
        <v>45708</v>
      </c>
      <c r="C961" s="5" t="s">
        <v>4209</v>
      </c>
      <c r="D961" s="5" t="s">
        <v>4210</v>
      </c>
      <c r="E961" s="5" t="s">
        <v>1295</v>
      </c>
      <c r="F961" s="5" t="s">
        <v>985</v>
      </c>
      <c r="G961" s="5" t="s">
        <v>1296</v>
      </c>
      <c r="H961" s="148">
        <v>1</v>
      </c>
      <c r="I961" s="149">
        <v>12691</v>
      </c>
      <c r="J961" s="150">
        <v>0.05</v>
      </c>
      <c r="K961" s="149">
        <v>12056.45</v>
      </c>
      <c r="L961" s="149">
        <v>987.17</v>
      </c>
      <c r="M961" s="5" t="s">
        <v>1130</v>
      </c>
      <c r="N961" s="5" t="s">
        <v>1337</v>
      </c>
      <c r="O961" s="5" t="s">
        <v>1338</v>
      </c>
      <c r="P961" s="5" t="s">
        <v>1314</v>
      </c>
      <c r="Q961" s="5" t="s">
        <v>1300</v>
      </c>
      <c r="R961" s="151">
        <v>2</v>
      </c>
      <c r="S961" s="143"/>
    </row>
    <row r="962" spans="1:19" x14ac:dyDescent="0.25">
      <c r="A962" s="5" t="s">
        <v>4211</v>
      </c>
      <c r="B962" s="147">
        <v>45701</v>
      </c>
      <c r="C962" s="5" t="s">
        <v>4212</v>
      </c>
      <c r="D962" s="5" t="s">
        <v>4213</v>
      </c>
      <c r="E962" s="5" t="s">
        <v>1370</v>
      </c>
      <c r="F962" s="5" t="s">
        <v>1160</v>
      </c>
      <c r="G962" s="5" t="s">
        <v>1371</v>
      </c>
      <c r="H962" s="148">
        <v>2</v>
      </c>
      <c r="I962" s="149">
        <v>11475</v>
      </c>
      <c r="J962" s="150">
        <v>0</v>
      </c>
      <c r="K962" s="149">
        <v>22950</v>
      </c>
      <c r="L962" s="149">
        <v>4879.13</v>
      </c>
      <c r="M962" s="5" t="s">
        <v>1381</v>
      </c>
      <c r="N962" s="5" t="s">
        <v>1297</v>
      </c>
      <c r="O962" s="5" t="s">
        <v>1298</v>
      </c>
      <c r="P962" s="5" t="s">
        <v>1314</v>
      </c>
      <c r="Q962" s="5" t="s">
        <v>1306</v>
      </c>
      <c r="R962" s="151">
        <v>2</v>
      </c>
      <c r="S962" s="143"/>
    </row>
    <row r="963" spans="1:19" x14ac:dyDescent="0.25">
      <c r="A963" s="5" t="s">
        <v>4214</v>
      </c>
      <c r="B963" s="147">
        <v>45717</v>
      </c>
      <c r="C963" s="5" t="s">
        <v>4215</v>
      </c>
      <c r="D963" s="5" t="s">
        <v>4216</v>
      </c>
      <c r="E963" s="5" t="s">
        <v>1195</v>
      </c>
      <c r="F963" s="5" t="s">
        <v>988</v>
      </c>
      <c r="G963" s="5" t="s">
        <v>1336</v>
      </c>
      <c r="H963" s="148">
        <v>4</v>
      </c>
      <c r="I963" s="149">
        <v>14019</v>
      </c>
      <c r="J963" s="150">
        <v>0.15</v>
      </c>
      <c r="K963" s="149">
        <v>47664.6</v>
      </c>
      <c r="L963" s="149">
        <v>6272.81</v>
      </c>
      <c r="M963" s="5" t="s">
        <v>1344</v>
      </c>
      <c r="N963" s="5" t="s">
        <v>1362</v>
      </c>
      <c r="O963" s="5" t="s">
        <v>1363</v>
      </c>
      <c r="P963" s="5" t="s">
        <v>1327</v>
      </c>
      <c r="Q963" s="5" t="s">
        <v>1306</v>
      </c>
      <c r="R963" s="151">
        <v>4</v>
      </c>
      <c r="S963" s="143"/>
    </row>
    <row r="964" spans="1:19" x14ac:dyDescent="0.25">
      <c r="A964" s="5" t="s">
        <v>4217</v>
      </c>
      <c r="B964" s="147">
        <v>45660</v>
      </c>
      <c r="C964" s="5" t="s">
        <v>4218</v>
      </c>
      <c r="D964" s="5" t="s">
        <v>4219</v>
      </c>
      <c r="E964" s="5" t="s">
        <v>1370</v>
      </c>
      <c r="F964" s="5" t="s">
        <v>1160</v>
      </c>
      <c r="G964" s="5" t="s">
        <v>1371</v>
      </c>
      <c r="H964" s="148">
        <v>2</v>
      </c>
      <c r="I964" s="149">
        <v>13131</v>
      </c>
      <c r="J964" s="150">
        <v>0.1</v>
      </c>
      <c r="K964" s="149">
        <v>23635.8</v>
      </c>
      <c r="L964" s="149">
        <v>3605.5</v>
      </c>
      <c r="M964" s="5" t="s">
        <v>1126</v>
      </c>
      <c r="N964" s="5" t="s">
        <v>1352</v>
      </c>
      <c r="O964" s="5" t="s">
        <v>1352</v>
      </c>
      <c r="P964" s="5" t="s">
        <v>1314</v>
      </c>
      <c r="Q964" s="5" t="s">
        <v>1300</v>
      </c>
      <c r="R964" s="151">
        <v>2</v>
      </c>
      <c r="S964" s="143"/>
    </row>
    <row r="965" spans="1:19" x14ac:dyDescent="0.25">
      <c r="A965" s="5" t="s">
        <v>4220</v>
      </c>
      <c r="B965" s="147">
        <v>45925</v>
      </c>
      <c r="C965" s="5" t="s">
        <v>4221</v>
      </c>
      <c r="D965" s="5" t="s">
        <v>4222</v>
      </c>
      <c r="E965" s="5" t="s">
        <v>1295</v>
      </c>
      <c r="F965" s="5" t="s">
        <v>985</v>
      </c>
      <c r="G965" s="5" t="s">
        <v>1296</v>
      </c>
      <c r="H965" s="148">
        <v>5</v>
      </c>
      <c r="I965" s="149">
        <v>10542</v>
      </c>
      <c r="J965" s="150">
        <v>0.15</v>
      </c>
      <c r="K965" s="149">
        <v>44803.5</v>
      </c>
      <c r="L965" s="149">
        <v>9611.82</v>
      </c>
      <c r="M965" s="5" t="s">
        <v>1381</v>
      </c>
      <c r="N965" s="5" t="s">
        <v>1337</v>
      </c>
      <c r="O965" s="5" t="s">
        <v>1338</v>
      </c>
      <c r="P965" s="5" t="s">
        <v>1314</v>
      </c>
      <c r="Q965" s="5" t="s">
        <v>1306</v>
      </c>
      <c r="R965" s="151">
        <v>3</v>
      </c>
      <c r="S965" s="143"/>
    </row>
    <row r="966" spans="1:19" x14ac:dyDescent="0.25">
      <c r="A966" s="5" t="s">
        <v>4223</v>
      </c>
      <c r="B966" s="147">
        <v>45757</v>
      </c>
      <c r="C966" s="5" t="s">
        <v>4224</v>
      </c>
      <c r="D966" s="5" t="s">
        <v>4225</v>
      </c>
      <c r="E966" s="5" t="s">
        <v>1195</v>
      </c>
      <c r="F966" s="5" t="s">
        <v>988</v>
      </c>
      <c r="G966" s="5" t="s">
        <v>1336</v>
      </c>
      <c r="H966" s="148">
        <v>5</v>
      </c>
      <c r="I966" s="149">
        <v>4730</v>
      </c>
      <c r="J966" s="150">
        <v>0</v>
      </c>
      <c r="K966" s="149">
        <v>23650</v>
      </c>
      <c r="L966" s="149">
        <v>3264.79</v>
      </c>
      <c r="M966" s="5" t="s">
        <v>1344</v>
      </c>
      <c r="N966" s="5" t="s">
        <v>1352</v>
      </c>
      <c r="O966" s="5" t="s">
        <v>1352</v>
      </c>
      <c r="P966" s="5" t="s">
        <v>1323</v>
      </c>
      <c r="Q966" s="5" t="s">
        <v>1306</v>
      </c>
      <c r="R966" s="151">
        <v>4</v>
      </c>
      <c r="S966" s="143"/>
    </row>
    <row r="967" spans="1:19" x14ac:dyDescent="0.25">
      <c r="A967" s="5" t="s">
        <v>4226</v>
      </c>
      <c r="B967" s="147">
        <v>45825</v>
      </c>
      <c r="C967" s="5" t="s">
        <v>4227</v>
      </c>
      <c r="D967" s="5" t="s">
        <v>4228</v>
      </c>
      <c r="E967" s="5" t="s">
        <v>1295</v>
      </c>
      <c r="F967" s="5" t="s">
        <v>985</v>
      </c>
      <c r="G967" s="5" t="s">
        <v>1296</v>
      </c>
      <c r="H967" s="148">
        <v>4</v>
      </c>
      <c r="I967" s="149">
        <v>10434</v>
      </c>
      <c r="J967" s="150">
        <v>0</v>
      </c>
      <c r="K967" s="149">
        <v>41736</v>
      </c>
      <c r="L967" s="149">
        <v>4186.5</v>
      </c>
      <c r="M967" s="5" t="s">
        <v>1130</v>
      </c>
      <c r="N967" s="5" t="s">
        <v>1321</v>
      </c>
      <c r="O967" s="5" t="s">
        <v>1322</v>
      </c>
      <c r="P967" s="5" t="s">
        <v>1348</v>
      </c>
      <c r="Q967" s="5" t="s">
        <v>1204</v>
      </c>
      <c r="R967" s="151">
        <v>2</v>
      </c>
      <c r="S967" s="143"/>
    </row>
    <row r="968" spans="1:19" x14ac:dyDescent="0.25">
      <c r="A968" s="5" t="s">
        <v>4229</v>
      </c>
      <c r="B968" s="147">
        <v>45918</v>
      </c>
      <c r="C968" s="5" t="s">
        <v>4230</v>
      </c>
      <c r="D968" s="5" t="s">
        <v>4231</v>
      </c>
      <c r="E968" s="5" t="s">
        <v>1318</v>
      </c>
      <c r="F968" s="5" t="s">
        <v>1319</v>
      </c>
      <c r="G968" s="5" t="s">
        <v>1320</v>
      </c>
      <c r="H968" s="148">
        <v>2</v>
      </c>
      <c r="I968" s="149">
        <v>14285</v>
      </c>
      <c r="J968" s="150">
        <v>0</v>
      </c>
      <c r="K968" s="149">
        <v>28570</v>
      </c>
      <c r="L968" s="149">
        <v>5696.67</v>
      </c>
      <c r="M968" s="5" t="s">
        <v>1130</v>
      </c>
      <c r="N968" s="5" t="s">
        <v>1362</v>
      </c>
      <c r="O968" s="5" t="s">
        <v>1363</v>
      </c>
      <c r="P968" s="5" t="s">
        <v>1314</v>
      </c>
      <c r="Q968" s="5" t="s">
        <v>1300</v>
      </c>
      <c r="R968" s="151">
        <v>1</v>
      </c>
      <c r="S968" s="143"/>
    </row>
    <row r="969" spans="1:19" x14ac:dyDescent="0.25">
      <c r="A969" s="5" t="s">
        <v>4232</v>
      </c>
      <c r="B969" s="147">
        <v>45794</v>
      </c>
      <c r="C969" s="5" t="s">
        <v>4233</v>
      </c>
      <c r="D969" s="5" t="s">
        <v>4234</v>
      </c>
      <c r="E969" s="5" t="s">
        <v>1195</v>
      </c>
      <c r="F969" s="5" t="s">
        <v>988</v>
      </c>
      <c r="G969" s="5" t="s">
        <v>1336</v>
      </c>
      <c r="H969" s="148">
        <v>1</v>
      </c>
      <c r="I969" s="149">
        <v>492</v>
      </c>
      <c r="J969" s="150">
        <v>0.05</v>
      </c>
      <c r="K969" s="149">
        <v>467.4</v>
      </c>
      <c r="L969" s="149">
        <v>107.48</v>
      </c>
      <c r="M969" s="5" t="s">
        <v>1381</v>
      </c>
      <c r="N969" s="5" t="s">
        <v>1362</v>
      </c>
      <c r="O969" s="5" t="s">
        <v>1363</v>
      </c>
      <c r="P969" s="5" t="s">
        <v>1314</v>
      </c>
      <c r="Q969" s="5" t="s">
        <v>1204</v>
      </c>
      <c r="R969" s="151">
        <v>5</v>
      </c>
      <c r="S969" s="143"/>
    </row>
    <row r="970" spans="1:19" x14ac:dyDescent="0.25">
      <c r="A970" s="5" t="s">
        <v>4235</v>
      </c>
      <c r="B970" s="147">
        <v>45748</v>
      </c>
      <c r="C970" s="5" t="s">
        <v>4236</v>
      </c>
      <c r="D970" s="5" t="s">
        <v>4237</v>
      </c>
      <c r="E970" s="5" t="s">
        <v>1310</v>
      </c>
      <c r="F970" s="5" t="s">
        <v>1311</v>
      </c>
      <c r="G970" s="5" t="s">
        <v>1312</v>
      </c>
      <c r="H970" s="148">
        <v>2</v>
      </c>
      <c r="I970" s="149">
        <v>13535</v>
      </c>
      <c r="J970" s="150">
        <v>0.2</v>
      </c>
      <c r="K970" s="149">
        <v>21656</v>
      </c>
      <c r="L970" s="149">
        <v>3086.41</v>
      </c>
      <c r="M970" s="5" t="s">
        <v>1313</v>
      </c>
      <c r="N970" s="5" t="s">
        <v>1297</v>
      </c>
      <c r="O970" s="5" t="s">
        <v>1298</v>
      </c>
      <c r="P970" s="5" t="s">
        <v>1327</v>
      </c>
      <c r="Q970" s="5" t="s">
        <v>1204</v>
      </c>
      <c r="R970" s="151">
        <v>4</v>
      </c>
      <c r="S970" s="143"/>
    </row>
    <row r="971" spans="1:19" x14ac:dyDescent="0.25">
      <c r="A971" s="5" t="s">
        <v>4238</v>
      </c>
      <c r="B971" s="147">
        <v>45926</v>
      </c>
      <c r="C971" s="5" t="s">
        <v>4239</v>
      </c>
      <c r="D971" s="5" t="s">
        <v>4240</v>
      </c>
      <c r="E971" s="5" t="s">
        <v>1295</v>
      </c>
      <c r="F971" s="5" t="s">
        <v>985</v>
      </c>
      <c r="G971" s="5" t="s">
        <v>1296</v>
      </c>
      <c r="H971" s="148">
        <v>4</v>
      </c>
      <c r="I971" s="149">
        <v>3903</v>
      </c>
      <c r="J971" s="150">
        <v>0.05</v>
      </c>
      <c r="K971" s="149">
        <v>14831.4</v>
      </c>
      <c r="L971" s="149">
        <v>3374.42</v>
      </c>
      <c r="M971" s="5" t="s">
        <v>1381</v>
      </c>
      <c r="N971" s="5" t="s">
        <v>1297</v>
      </c>
      <c r="O971" s="5" t="s">
        <v>1298</v>
      </c>
      <c r="P971" s="5" t="s">
        <v>1348</v>
      </c>
      <c r="Q971" s="5" t="s">
        <v>1306</v>
      </c>
      <c r="R971" s="151">
        <v>5</v>
      </c>
      <c r="S971" s="143"/>
    </row>
    <row r="972" spans="1:19" x14ac:dyDescent="0.25">
      <c r="A972" s="5" t="s">
        <v>4241</v>
      </c>
      <c r="B972" s="147">
        <v>45977</v>
      </c>
      <c r="C972" s="5" t="s">
        <v>4242</v>
      </c>
      <c r="D972" s="5" t="s">
        <v>4243</v>
      </c>
      <c r="E972" s="5" t="s">
        <v>1331</v>
      </c>
      <c r="F972" s="5" t="s">
        <v>988</v>
      </c>
      <c r="G972" s="5" t="s">
        <v>1332</v>
      </c>
      <c r="H972" s="148">
        <v>4</v>
      </c>
      <c r="I972" s="149">
        <v>6964</v>
      </c>
      <c r="J972" s="150">
        <v>0.15</v>
      </c>
      <c r="K972" s="149">
        <v>23677.599999999999</v>
      </c>
      <c r="L972" s="149">
        <v>1955.33</v>
      </c>
      <c r="M972" s="5" t="s">
        <v>1381</v>
      </c>
      <c r="N972" s="5" t="s">
        <v>1352</v>
      </c>
      <c r="O972" s="5" t="s">
        <v>1352</v>
      </c>
      <c r="P972" s="5" t="s">
        <v>1348</v>
      </c>
      <c r="Q972" s="5" t="s">
        <v>1300</v>
      </c>
      <c r="R972" s="151">
        <v>2</v>
      </c>
      <c r="S972" s="143"/>
    </row>
    <row r="973" spans="1:19" x14ac:dyDescent="0.25">
      <c r="A973" s="5" t="s">
        <v>4244</v>
      </c>
      <c r="B973" s="147">
        <v>45711</v>
      </c>
      <c r="C973" s="5" t="s">
        <v>4245</v>
      </c>
      <c r="D973" s="5" t="s">
        <v>4246</v>
      </c>
      <c r="E973" s="5" t="s">
        <v>1195</v>
      </c>
      <c r="F973" s="5" t="s">
        <v>988</v>
      </c>
      <c r="G973" s="5" t="s">
        <v>1336</v>
      </c>
      <c r="H973" s="148">
        <v>5</v>
      </c>
      <c r="I973" s="149">
        <v>4270</v>
      </c>
      <c r="J973" s="150">
        <v>0.05</v>
      </c>
      <c r="K973" s="149">
        <v>20282.5</v>
      </c>
      <c r="L973" s="149">
        <v>5121.2299999999996</v>
      </c>
      <c r="M973" s="5" t="s">
        <v>1126</v>
      </c>
      <c r="N973" s="5" t="s">
        <v>1337</v>
      </c>
      <c r="O973" s="5" t="s">
        <v>1338</v>
      </c>
      <c r="P973" s="5" t="s">
        <v>1348</v>
      </c>
      <c r="Q973" s="5" t="s">
        <v>1184</v>
      </c>
      <c r="R973" s="151">
        <v>4</v>
      </c>
      <c r="S973" s="143"/>
    </row>
    <row r="974" spans="1:19" x14ac:dyDescent="0.25">
      <c r="A974" s="5" t="s">
        <v>4247</v>
      </c>
      <c r="B974" s="147">
        <v>45731</v>
      </c>
      <c r="C974" s="5" t="s">
        <v>4248</v>
      </c>
      <c r="D974" s="5" t="s">
        <v>4249</v>
      </c>
      <c r="E974" s="5" t="s">
        <v>1310</v>
      </c>
      <c r="F974" s="5" t="s">
        <v>1311</v>
      </c>
      <c r="G974" s="5" t="s">
        <v>1312</v>
      </c>
      <c r="H974" s="148">
        <v>2</v>
      </c>
      <c r="I974" s="149">
        <v>12098</v>
      </c>
      <c r="J974" s="150">
        <v>0.05</v>
      </c>
      <c r="K974" s="149">
        <v>22986.2</v>
      </c>
      <c r="L974" s="149">
        <v>2447.61</v>
      </c>
      <c r="M974" s="5" t="s">
        <v>1126</v>
      </c>
      <c r="N974" s="5" t="s">
        <v>1362</v>
      </c>
      <c r="O974" s="5" t="s">
        <v>1363</v>
      </c>
      <c r="P974" s="5" t="s">
        <v>1299</v>
      </c>
      <c r="Q974" s="5" t="s">
        <v>1184</v>
      </c>
      <c r="R974" s="151">
        <v>2</v>
      </c>
      <c r="S974" s="143"/>
    </row>
    <row r="975" spans="1:19" x14ac:dyDescent="0.25">
      <c r="A975" s="5" t="s">
        <v>4250</v>
      </c>
      <c r="B975" s="147">
        <v>45907</v>
      </c>
      <c r="C975" s="5" t="s">
        <v>4251</v>
      </c>
      <c r="D975" s="5" t="s">
        <v>4252</v>
      </c>
      <c r="E975" s="5" t="s">
        <v>1370</v>
      </c>
      <c r="F975" s="5" t="s">
        <v>1160</v>
      </c>
      <c r="G975" s="5" t="s">
        <v>1371</v>
      </c>
      <c r="H975" s="148">
        <v>1</v>
      </c>
      <c r="I975" s="149">
        <v>8195</v>
      </c>
      <c r="J975" s="150">
        <v>0.2</v>
      </c>
      <c r="K975" s="149">
        <v>6556</v>
      </c>
      <c r="L975" s="149">
        <v>1642.41</v>
      </c>
      <c r="M975" s="5" t="s">
        <v>1313</v>
      </c>
      <c r="N975" s="5" t="s">
        <v>1297</v>
      </c>
      <c r="O975" s="5" t="s">
        <v>1298</v>
      </c>
      <c r="P975" s="5" t="s">
        <v>1327</v>
      </c>
      <c r="Q975" s="5" t="s">
        <v>1306</v>
      </c>
      <c r="R975" s="151">
        <v>1</v>
      </c>
      <c r="S975" s="143"/>
    </row>
    <row r="976" spans="1:19" x14ac:dyDescent="0.25">
      <c r="A976" s="5" t="s">
        <v>4253</v>
      </c>
      <c r="B976" s="147">
        <v>45745</v>
      </c>
      <c r="C976" s="5" t="s">
        <v>4254</v>
      </c>
      <c r="D976" s="5" t="s">
        <v>4255</v>
      </c>
      <c r="E976" s="5" t="s">
        <v>1331</v>
      </c>
      <c r="F976" s="5" t="s">
        <v>988</v>
      </c>
      <c r="G976" s="5" t="s">
        <v>1332</v>
      </c>
      <c r="H976" s="148">
        <v>5</v>
      </c>
      <c r="I976" s="149">
        <v>6060</v>
      </c>
      <c r="J976" s="150">
        <v>0.2</v>
      </c>
      <c r="K976" s="149">
        <v>24240</v>
      </c>
      <c r="L976" s="149">
        <v>6555.19</v>
      </c>
      <c r="M976" s="5" t="s">
        <v>1313</v>
      </c>
      <c r="N976" s="5" t="s">
        <v>1362</v>
      </c>
      <c r="O976" s="5" t="s">
        <v>1363</v>
      </c>
      <c r="P976" s="5" t="s">
        <v>1314</v>
      </c>
      <c r="Q976" s="5" t="s">
        <v>1306</v>
      </c>
      <c r="R976" s="151">
        <v>5</v>
      </c>
      <c r="S976" s="143"/>
    </row>
    <row r="977" spans="1:19" x14ac:dyDescent="0.25">
      <c r="A977" s="5" t="s">
        <v>4256</v>
      </c>
      <c r="B977" s="147">
        <v>45991</v>
      </c>
      <c r="C977" s="5" t="s">
        <v>4257</v>
      </c>
      <c r="D977" s="5" t="s">
        <v>4258</v>
      </c>
      <c r="E977" s="5" t="s">
        <v>1331</v>
      </c>
      <c r="F977" s="5" t="s">
        <v>988</v>
      </c>
      <c r="G977" s="5" t="s">
        <v>1332</v>
      </c>
      <c r="H977" s="148">
        <v>5</v>
      </c>
      <c r="I977" s="149">
        <v>7119</v>
      </c>
      <c r="J977" s="150">
        <v>0.05</v>
      </c>
      <c r="K977" s="149">
        <v>33815.25</v>
      </c>
      <c r="L977" s="149">
        <v>6204.01</v>
      </c>
      <c r="M977" s="5" t="s">
        <v>1344</v>
      </c>
      <c r="N977" s="5" t="s">
        <v>1362</v>
      </c>
      <c r="O977" s="5" t="s">
        <v>1363</v>
      </c>
      <c r="P977" s="5" t="s">
        <v>1299</v>
      </c>
      <c r="Q977" s="5" t="s">
        <v>1204</v>
      </c>
      <c r="R977" s="151">
        <v>2</v>
      </c>
      <c r="S977" s="143"/>
    </row>
    <row r="978" spans="1:19" x14ac:dyDescent="0.25">
      <c r="A978" s="5" t="s">
        <v>4259</v>
      </c>
      <c r="B978" s="147">
        <v>45937</v>
      </c>
      <c r="C978" s="5" t="s">
        <v>4260</v>
      </c>
      <c r="D978" s="5" t="s">
        <v>4261</v>
      </c>
      <c r="E978" s="5" t="s">
        <v>1310</v>
      </c>
      <c r="F978" s="5" t="s">
        <v>1311</v>
      </c>
      <c r="G978" s="5" t="s">
        <v>1312</v>
      </c>
      <c r="H978" s="148">
        <v>5</v>
      </c>
      <c r="I978" s="149">
        <v>569</v>
      </c>
      <c r="J978" s="150">
        <v>0.15</v>
      </c>
      <c r="K978" s="149">
        <v>2418.25</v>
      </c>
      <c r="L978" s="149">
        <v>296.43</v>
      </c>
      <c r="M978" s="5" t="s">
        <v>1381</v>
      </c>
      <c r="N978" s="5" t="s">
        <v>1297</v>
      </c>
      <c r="O978" s="5" t="s">
        <v>1298</v>
      </c>
      <c r="P978" s="5" t="s">
        <v>1299</v>
      </c>
      <c r="Q978" s="5" t="s">
        <v>1204</v>
      </c>
      <c r="R978" s="151">
        <v>4</v>
      </c>
      <c r="S978" s="143"/>
    </row>
    <row r="979" spans="1:19" x14ac:dyDescent="0.25">
      <c r="A979" s="5" t="s">
        <v>4262</v>
      </c>
      <c r="B979" s="147">
        <v>45974</v>
      </c>
      <c r="C979" s="5" t="s">
        <v>4263</v>
      </c>
      <c r="D979" s="5" t="s">
        <v>4264</v>
      </c>
      <c r="E979" s="5" t="s">
        <v>1295</v>
      </c>
      <c r="F979" s="5" t="s">
        <v>985</v>
      </c>
      <c r="G979" s="5" t="s">
        <v>1296</v>
      </c>
      <c r="H979" s="148">
        <v>1</v>
      </c>
      <c r="I979" s="149">
        <v>9697</v>
      </c>
      <c r="J979" s="150">
        <v>0</v>
      </c>
      <c r="K979" s="149">
        <v>9697</v>
      </c>
      <c r="L979" s="149">
        <v>1975.76</v>
      </c>
      <c r="M979" s="5" t="s">
        <v>1126</v>
      </c>
      <c r="N979" s="5" t="s">
        <v>1297</v>
      </c>
      <c r="O979" s="5" t="s">
        <v>1298</v>
      </c>
      <c r="P979" s="5" t="s">
        <v>1299</v>
      </c>
      <c r="Q979" s="5" t="s">
        <v>1184</v>
      </c>
      <c r="R979" s="151">
        <v>3</v>
      </c>
      <c r="S979" s="143"/>
    </row>
    <row r="980" spans="1:19" x14ac:dyDescent="0.25">
      <c r="A980" s="5" t="s">
        <v>4265</v>
      </c>
      <c r="B980" s="147">
        <v>45966</v>
      </c>
      <c r="C980" s="5" t="s">
        <v>4266</v>
      </c>
      <c r="D980" s="5" t="s">
        <v>4267</v>
      </c>
      <c r="E980" s="5" t="s">
        <v>1342</v>
      </c>
      <c r="F980" s="5" t="s">
        <v>988</v>
      </c>
      <c r="G980" s="5" t="s">
        <v>1343</v>
      </c>
      <c r="H980" s="148">
        <v>2</v>
      </c>
      <c r="I980" s="149">
        <v>5480</v>
      </c>
      <c r="J980" s="150">
        <v>0.1</v>
      </c>
      <c r="K980" s="149">
        <v>9864</v>
      </c>
      <c r="L980" s="149">
        <v>2083.25</v>
      </c>
      <c r="M980" s="5" t="s">
        <v>1130</v>
      </c>
      <c r="N980" s="5" t="s">
        <v>1297</v>
      </c>
      <c r="O980" s="5" t="s">
        <v>1298</v>
      </c>
      <c r="P980" s="5" t="s">
        <v>1323</v>
      </c>
      <c r="Q980" s="5" t="s">
        <v>1204</v>
      </c>
      <c r="R980" s="151">
        <v>2</v>
      </c>
      <c r="S980" s="143"/>
    </row>
    <row r="981" spans="1:19" x14ac:dyDescent="0.25">
      <c r="A981" s="5" t="s">
        <v>4268</v>
      </c>
      <c r="B981" s="147">
        <v>45846</v>
      </c>
      <c r="C981" s="5" t="s">
        <v>4269</v>
      </c>
      <c r="D981" s="5" t="s">
        <v>4270</v>
      </c>
      <c r="E981" s="5" t="s">
        <v>1342</v>
      </c>
      <c r="F981" s="5" t="s">
        <v>988</v>
      </c>
      <c r="G981" s="5" t="s">
        <v>1343</v>
      </c>
      <c r="H981" s="148">
        <v>2</v>
      </c>
      <c r="I981" s="149">
        <v>10475</v>
      </c>
      <c r="J981" s="150">
        <v>0.15</v>
      </c>
      <c r="K981" s="149">
        <v>17807.5</v>
      </c>
      <c r="L981" s="149">
        <v>5234.22</v>
      </c>
      <c r="M981" s="5" t="s">
        <v>1126</v>
      </c>
      <c r="N981" s="5" t="s">
        <v>1362</v>
      </c>
      <c r="O981" s="5" t="s">
        <v>1363</v>
      </c>
      <c r="P981" s="5" t="s">
        <v>1323</v>
      </c>
      <c r="Q981" s="5" t="s">
        <v>1306</v>
      </c>
      <c r="R981" s="151">
        <v>4</v>
      </c>
      <c r="S981" s="143"/>
    </row>
    <row r="982" spans="1:19" x14ac:dyDescent="0.25">
      <c r="A982" s="5" t="s">
        <v>4271</v>
      </c>
      <c r="B982" s="147">
        <v>45709</v>
      </c>
      <c r="C982" s="5" t="s">
        <v>4272</v>
      </c>
      <c r="D982" s="5" t="s">
        <v>4273</v>
      </c>
      <c r="E982" s="5" t="s">
        <v>1342</v>
      </c>
      <c r="F982" s="5" t="s">
        <v>988</v>
      </c>
      <c r="G982" s="5" t="s">
        <v>1343</v>
      </c>
      <c r="H982" s="148">
        <v>3</v>
      </c>
      <c r="I982" s="149">
        <v>13724</v>
      </c>
      <c r="J982" s="150">
        <v>0.2</v>
      </c>
      <c r="K982" s="149">
        <v>32937.599999999999</v>
      </c>
      <c r="L982" s="149">
        <v>3764.38</v>
      </c>
      <c r="M982" s="5" t="s">
        <v>1130</v>
      </c>
      <c r="N982" s="5" t="s">
        <v>1352</v>
      </c>
      <c r="O982" s="5" t="s">
        <v>1352</v>
      </c>
      <c r="P982" s="5" t="s">
        <v>1348</v>
      </c>
      <c r="Q982" s="5" t="s">
        <v>1306</v>
      </c>
      <c r="R982" s="151">
        <v>3</v>
      </c>
      <c r="S982" s="143"/>
    </row>
    <row r="983" spans="1:19" x14ac:dyDescent="0.25">
      <c r="A983" s="5" t="s">
        <v>4274</v>
      </c>
      <c r="B983" s="147">
        <v>46004</v>
      </c>
      <c r="C983" s="5" t="s">
        <v>4275</v>
      </c>
      <c r="D983" s="5" t="s">
        <v>4276</v>
      </c>
      <c r="E983" s="5" t="s">
        <v>1310</v>
      </c>
      <c r="F983" s="5" t="s">
        <v>1311</v>
      </c>
      <c r="G983" s="5" t="s">
        <v>1312</v>
      </c>
      <c r="H983" s="148">
        <v>4</v>
      </c>
      <c r="I983" s="149">
        <v>862</v>
      </c>
      <c r="J983" s="150">
        <v>0.2</v>
      </c>
      <c r="K983" s="149">
        <v>2758.4</v>
      </c>
      <c r="L983" s="149">
        <v>331.06</v>
      </c>
      <c r="M983" s="5" t="s">
        <v>1313</v>
      </c>
      <c r="N983" s="5" t="s">
        <v>1304</v>
      </c>
      <c r="O983" s="5" t="s">
        <v>1305</v>
      </c>
      <c r="P983" s="5" t="s">
        <v>1314</v>
      </c>
      <c r="Q983" s="5" t="s">
        <v>1204</v>
      </c>
      <c r="R983" s="151">
        <v>3</v>
      </c>
      <c r="S983" s="143"/>
    </row>
    <row r="984" spans="1:19" x14ac:dyDescent="0.25">
      <c r="A984" s="5" t="s">
        <v>4277</v>
      </c>
      <c r="B984" s="147">
        <v>45719</v>
      </c>
      <c r="C984" s="5" t="s">
        <v>4278</v>
      </c>
      <c r="D984" s="5" t="s">
        <v>4279</v>
      </c>
      <c r="E984" s="5" t="s">
        <v>1295</v>
      </c>
      <c r="F984" s="5" t="s">
        <v>985</v>
      </c>
      <c r="G984" s="5" t="s">
        <v>1296</v>
      </c>
      <c r="H984" s="148">
        <v>5</v>
      </c>
      <c r="I984" s="149">
        <v>10272</v>
      </c>
      <c r="J984" s="150">
        <v>0.05</v>
      </c>
      <c r="K984" s="149">
        <v>48792</v>
      </c>
      <c r="L984" s="149">
        <v>13481.86</v>
      </c>
      <c r="M984" s="5" t="s">
        <v>1126</v>
      </c>
      <c r="N984" s="5" t="s">
        <v>1297</v>
      </c>
      <c r="O984" s="5" t="s">
        <v>1298</v>
      </c>
      <c r="P984" s="5" t="s">
        <v>1299</v>
      </c>
      <c r="Q984" s="5" t="s">
        <v>1300</v>
      </c>
      <c r="R984" s="151">
        <v>3</v>
      </c>
      <c r="S984" s="143"/>
    </row>
    <row r="985" spans="1:19" x14ac:dyDescent="0.25">
      <c r="A985" s="5" t="s">
        <v>4280</v>
      </c>
      <c r="B985" s="147">
        <v>45833</v>
      </c>
      <c r="C985" s="5" t="s">
        <v>4281</v>
      </c>
      <c r="D985" s="5" t="s">
        <v>4282</v>
      </c>
      <c r="E985" s="5" t="s">
        <v>1318</v>
      </c>
      <c r="F985" s="5" t="s">
        <v>1319</v>
      </c>
      <c r="G985" s="5" t="s">
        <v>1320</v>
      </c>
      <c r="H985" s="148">
        <v>3</v>
      </c>
      <c r="I985" s="149">
        <v>6952</v>
      </c>
      <c r="J985" s="150">
        <v>0</v>
      </c>
      <c r="K985" s="149">
        <v>20856</v>
      </c>
      <c r="L985" s="149">
        <v>5723.4</v>
      </c>
      <c r="M985" s="5" t="s">
        <v>1130</v>
      </c>
      <c r="N985" s="5" t="s">
        <v>1321</v>
      </c>
      <c r="O985" s="5" t="s">
        <v>1322</v>
      </c>
      <c r="P985" s="5" t="s">
        <v>1323</v>
      </c>
      <c r="Q985" s="5" t="s">
        <v>1184</v>
      </c>
      <c r="R985" s="151">
        <v>1</v>
      </c>
      <c r="S985" s="143"/>
    </row>
    <row r="986" spans="1:19" x14ac:dyDescent="0.25">
      <c r="A986" s="5" t="s">
        <v>4283</v>
      </c>
      <c r="B986" s="147">
        <v>45701</v>
      </c>
      <c r="C986" s="5" t="s">
        <v>4284</v>
      </c>
      <c r="D986" s="5" t="s">
        <v>4285</v>
      </c>
      <c r="E986" s="5" t="s">
        <v>1331</v>
      </c>
      <c r="F986" s="5" t="s">
        <v>988</v>
      </c>
      <c r="G986" s="5" t="s">
        <v>1332</v>
      </c>
      <c r="H986" s="148">
        <v>4</v>
      </c>
      <c r="I986" s="149">
        <v>5890</v>
      </c>
      <c r="J986" s="150">
        <v>0</v>
      </c>
      <c r="K986" s="149">
        <v>23560</v>
      </c>
      <c r="L986" s="149">
        <v>5308.57</v>
      </c>
      <c r="M986" s="5" t="s">
        <v>1313</v>
      </c>
      <c r="N986" s="5" t="s">
        <v>1304</v>
      </c>
      <c r="O986" s="5" t="s">
        <v>1305</v>
      </c>
      <c r="P986" s="5" t="s">
        <v>1348</v>
      </c>
      <c r="Q986" s="5" t="s">
        <v>1204</v>
      </c>
      <c r="R986" s="151">
        <v>5</v>
      </c>
      <c r="S986" s="143"/>
    </row>
    <row r="987" spans="1:19" x14ac:dyDescent="0.25">
      <c r="A987" s="5" t="s">
        <v>4286</v>
      </c>
      <c r="B987" s="147">
        <v>46008</v>
      </c>
      <c r="C987" s="5" t="s">
        <v>4287</v>
      </c>
      <c r="D987" s="5" t="s">
        <v>4288</v>
      </c>
      <c r="E987" s="5" t="s">
        <v>1370</v>
      </c>
      <c r="F987" s="5" t="s">
        <v>1160</v>
      </c>
      <c r="G987" s="5" t="s">
        <v>1371</v>
      </c>
      <c r="H987" s="148">
        <v>5</v>
      </c>
      <c r="I987" s="149">
        <v>9546</v>
      </c>
      <c r="J987" s="150">
        <v>0.2</v>
      </c>
      <c r="K987" s="149">
        <v>38184</v>
      </c>
      <c r="L987" s="149">
        <v>10551.65</v>
      </c>
      <c r="M987" s="5" t="s">
        <v>1130</v>
      </c>
      <c r="N987" s="5" t="s">
        <v>1362</v>
      </c>
      <c r="O987" s="5" t="s">
        <v>1363</v>
      </c>
      <c r="P987" s="5" t="s">
        <v>1323</v>
      </c>
      <c r="Q987" s="5" t="s">
        <v>1306</v>
      </c>
      <c r="R987" s="151">
        <v>1</v>
      </c>
      <c r="S987" s="143"/>
    </row>
    <row r="988" spans="1:19" x14ac:dyDescent="0.25">
      <c r="A988" s="5" t="s">
        <v>4289</v>
      </c>
      <c r="B988" s="147">
        <v>46001</v>
      </c>
      <c r="C988" s="5" t="s">
        <v>4290</v>
      </c>
      <c r="D988" s="5" t="s">
        <v>4291</v>
      </c>
      <c r="E988" s="5" t="s">
        <v>1195</v>
      </c>
      <c r="F988" s="5" t="s">
        <v>988</v>
      </c>
      <c r="G988" s="5" t="s">
        <v>1336</v>
      </c>
      <c r="H988" s="148">
        <v>4</v>
      </c>
      <c r="I988" s="149">
        <v>8187</v>
      </c>
      <c r="J988" s="150">
        <v>0.05</v>
      </c>
      <c r="K988" s="149">
        <v>31110.6</v>
      </c>
      <c r="L988" s="149">
        <v>8064.31</v>
      </c>
      <c r="M988" s="5" t="s">
        <v>1344</v>
      </c>
      <c r="N988" s="5" t="s">
        <v>1337</v>
      </c>
      <c r="O988" s="5" t="s">
        <v>1338</v>
      </c>
      <c r="P988" s="5" t="s">
        <v>1314</v>
      </c>
      <c r="Q988" s="5" t="s">
        <v>1300</v>
      </c>
      <c r="R988" s="151">
        <v>4</v>
      </c>
      <c r="S988" s="143"/>
    </row>
    <row r="989" spans="1:19" x14ac:dyDescent="0.25">
      <c r="A989" s="5" t="s">
        <v>4292</v>
      </c>
      <c r="B989" s="147">
        <v>45824</v>
      </c>
      <c r="C989" s="5" t="s">
        <v>4293</v>
      </c>
      <c r="D989" s="5" t="s">
        <v>4294</v>
      </c>
      <c r="E989" s="5" t="s">
        <v>1195</v>
      </c>
      <c r="F989" s="5" t="s">
        <v>988</v>
      </c>
      <c r="G989" s="5" t="s">
        <v>1336</v>
      </c>
      <c r="H989" s="148">
        <v>1</v>
      </c>
      <c r="I989" s="149">
        <v>10073</v>
      </c>
      <c r="J989" s="150">
        <v>0.1</v>
      </c>
      <c r="K989" s="149">
        <v>9065.7000000000007</v>
      </c>
      <c r="L989" s="149">
        <v>827.38</v>
      </c>
      <c r="M989" s="5" t="s">
        <v>1126</v>
      </c>
      <c r="N989" s="5" t="s">
        <v>1362</v>
      </c>
      <c r="O989" s="5" t="s">
        <v>1363</v>
      </c>
      <c r="P989" s="5" t="s">
        <v>1327</v>
      </c>
      <c r="Q989" s="5" t="s">
        <v>1300</v>
      </c>
      <c r="R989" s="151">
        <v>4</v>
      </c>
      <c r="S989" s="143"/>
    </row>
    <row r="990" spans="1:19" x14ac:dyDescent="0.25">
      <c r="A990" s="5" t="s">
        <v>4295</v>
      </c>
      <c r="B990" s="147">
        <v>45734</v>
      </c>
      <c r="C990" s="5" t="s">
        <v>4296</v>
      </c>
      <c r="D990" s="5" t="s">
        <v>4297</v>
      </c>
      <c r="E990" s="5" t="s">
        <v>1359</v>
      </c>
      <c r="F990" s="5" t="s">
        <v>1360</v>
      </c>
      <c r="G990" s="5" t="s">
        <v>1361</v>
      </c>
      <c r="H990" s="148">
        <v>3</v>
      </c>
      <c r="I990" s="149">
        <v>8997</v>
      </c>
      <c r="J990" s="150">
        <v>0.1</v>
      </c>
      <c r="K990" s="149">
        <v>24291.9</v>
      </c>
      <c r="L990" s="149">
        <v>5111.33</v>
      </c>
      <c r="M990" s="5" t="s">
        <v>1344</v>
      </c>
      <c r="N990" s="5" t="s">
        <v>1362</v>
      </c>
      <c r="O990" s="5" t="s">
        <v>1363</v>
      </c>
      <c r="P990" s="5" t="s">
        <v>1323</v>
      </c>
      <c r="Q990" s="5" t="s">
        <v>1306</v>
      </c>
      <c r="R990" s="151">
        <v>3</v>
      </c>
      <c r="S990" s="143"/>
    </row>
    <row r="991" spans="1:19" x14ac:dyDescent="0.25">
      <c r="A991" s="5" t="s">
        <v>4298</v>
      </c>
      <c r="B991" s="147">
        <v>45972</v>
      </c>
      <c r="C991" s="5" t="s">
        <v>4299</v>
      </c>
      <c r="D991" s="5" t="s">
        <v>4300</v>
      </c>
      <c r="E991" s="5" t="s">
        <v>1359</v>
      </c>
      <c r="F991" s="5" t="s">
        <v>1360</v>
      </c>
      <c r="G991" s="5" t="s">
        <v>1361</v>
      </c>
      <c r="H991" s="148">
        <v>1</v>
      </c>
      <c r="I991" s="149">
        <v>10287</v>
      </c>
      <c r="J991" s="150">
        <v>0.1</v>
      </c>
      <c r="K991" s="149">
        <v>9258.2999999999993</v>
      </c>
      <c r="L991" s="149">
        <v>886.32</v>
      </c>
      <c r="M991" s="5" t="s">
        <v>1130</v>
      </c>
      <c r="N991" s="5" t="s">
        <v>1304</v>
      </c>
      <c r="O991" s="5" t="s">
        <v>1305</v>
      </c>
      <c r="P991" s="5" t="s">
        <v>1348</v>
      </c>
      <c r="Q991" s="5" t="s">
        <v>1204</v>
      </c>
      <c r="R991" s="151">
        <v>2</v>
      </c>
      <c r="S991" s="143"/>
    </row>
    <row r="992" spans="1:19" x14ac:dyDescent="0.25">
      <c r="A992" s="5" t="s">
        <v>4301</v>
      </c>
      <c r="B992" s="147">
        <v>45943</v>
      </c>
      <c r="C992" s="5" t="s">
        <v>4302</v>
      </c>
      <c r="D992" s="5" t="s">
        <v>4303</v>
      </c>
      <c r="E992" s="5" t="s">
        <v>1359</v>
      </c>
      <c r="F992" s="5" t="s">
        <v>1360</v>
      </c>
      <c r="G992" s="5" t="s">
        <v>1361</v>
      </c>
      <c r="H992" s="148">
        <v>1</v>
      </c>
      <c r="I992" s="149">
        <v>6364</v>
      </c>
      <c r="J992" s="150">
        <v>0.1</v>
      </c>
      <c r="K992" s="149">
        <v>5727.6</v>
      </c>
      <c r="L992" s="149">
        <v>882.03</v>
      </c>
      <c r="M992" s="5" t="s">
        <v>1126</v>
      </c>
      <c r="N992" s="5" t="s">
        <v>1362</v>
      </c>
      <c r="O992" s="5" t="s">
        <v>1363</v>
      </c>
      <c r="P992" s="5" t="s">
        <v>1323</v>
      </c>
      <c r="Q992" s="5" t="s">
        <v>1204</v>
      </c>
      <c r="R992" s="151">
        <v>1</v>
      </c>
      <c r="S992" s="143"/>
    </row>
    <row r="993" spans="1:19" x14ac:dyDescent="0.25">
      <c r="A993" s="5" t="s">
        <v>4304</v>
      </c>
      <c r="B993" s="147">
        <v>45755</v>
      </c>
      <c r="C993" s="5" t="s">
        <v>4305</v>
      </c>
      <c r="D993" s="5" t="s">
        <v>4306</v>
      </c>
      <c r="E993" s="5" t="s">
        <v>1359</v>
      </c>
      <c r="F993" s="5" t="s">
        <v>1360</v>
      </c>
      <c r="G993" s="5" t="s">
        <v>1361</v>
      </c>
      <c r="H993" s="148">
        <v>2</v>
      </c>
      <c r="I993" s="149">
        <v>9175</v>
      </c>
      <c r="J993" s="150">
        <v>0.05</v>
      </c>
      <c r="K993" s="149">
        <v>17432.5</v>
      </c>
      <c r="L993" s="149">
        <v>4118.45</v>
      </c>
      <c r="M993" s="5" t="s">
        <v>1130</v>
      </c>
      <c r="N993" s="5" t="s">
        <v>1337</v>
      </c>
      <c r="O993" s="5" t="s">
        <v>1338</v>
      </c>
      <c r="P993" s="5" t="s">
        <v>1327</v>
      </c>
      <c r="Q993" s="5" t="s">
        <v>1300</v>
      </c>
      <c r="R993" s="151">
        <v>1</v>
      </c>
      <c r="S993" s="143"/>
    </row>
    <row r="994" spans="1:19" x14ac:dyDescent="0.25">
      <c r="A994" s="5" t="s">
        <v>4307</v>
      </c>
      <c r="B994" s="147">
        <v>45805</v>
      </c>
      <c r="C994" s="5" t="s">
        <v>4308</v>
      </c>
      <c r="D994" s="5" t="s">
        <v>4309</v>
      </c>
      <c r="E994" s="5" t="s">
        <v>1318</v>
      </c>
      <c r="F994" s="5" t="s">
        <v>1319</v>
      </c>
      <c r="G994" s="5" t="s">
        <v>1320</v>
      </c>
      <c r="H994" s="148">
        <v>5</v>
      </c>
      <c r="I994" s="149">
        <v>14129</v>
      </c>
      <c r="J994" s="150">
        <v>0.15</v>
      </c>
      <c r="K994" s="149">
        <v>60048.25</v>
      </c>
      <c r="L994" s="149">
        <v>17535.82</v>
      </c>
      <c r="M994" s="5" t="s">
        <v>1381</v>
      </c>
      <c r="N994" s="5" t="s">
        <v>1352</v>
      </c>
      <c r="O994" s="5" t="s">
        <v>1352</v>
      </c>
      <c r="P994" s="5" t="s">
        <v>1323</v>
      </c>
      <c r="Q994" s="5" t="s">
        <v>1204</v>
      </c>
      <c r="R994" s="151">
        <v>5</v>
      </c>
      <c r="S994" s="143"/>
    </row>
    <row r="995" spans="1:19" x14ac:dyDescent="0.25">
      <c r="A995" s="5" t="s">
        <v>4310</v>
      </c>
      <c r="B995" s="147">
        <v>45869</v>
      </c>
      <c r="C995" s="5" t="s">
        <v>4311</v>
      </c>
      <c r="D995" s="5" t="s">
        <v>4312</v>
      </c>
      <c r="E995" s="5" t="s">
        <v>1359</v>
      </c>
      <c r="F995" s="5" t="s">
        <v>1360</v>
      </c>
      <c r="G995" s="5" t="s">
        <v>1361</v>
      </c>
      <c r="H995" s="148">
        <v>3</v>
      </c>
      <c r="I995" s="149">
        <v>4296</v>
      </c>
      <c r="J995" s="150">
        <v>0</v>
      </c>
      <c r="K995" s="149">
        <v>12888</v>
      </c>
      <c r="L995" s="149">
        <v>3589.04</v>
      </c>
      <c r="M995" s="5" t="s">
        <v>1381</v>
      </c>
      <c r="N995" s="5" t="s">
        <v>1304</v>
      </c>
      <c r="O995" s="5" t="s">
        <v>1305</v>
      </c>
      <c r="P995" s="5" t="s">
        <v>1323</v>
      </c>
      <c r="Q995" s="5" t="s">
        <v>1204</v>
      </c>
      <c r="R995" s="151">
        <v>1</v>
      </c>
      <c r="S995" s="143"/>
    </row>
    <row r="996" spans="1:19" x14ac:dyDescent="0.25">
      <c r="A996" s="5" t="s">
        <v>4313</v>
      </c>
      <c r="B996" s="147">
        <v>45944</v>
      </c>
      <c r="C996" s="5" t="s">
        <v>4314</v>
      </c>
      <c r="D996" s="5" t="s">
        <v>4315</v>
      </c>
      <c r="E996" s="5" t="s">
        <v>1295</v>
      </c>
      <c r="F996" s="5" t="s">
        <v>985</v>
      </c>
      <c r="G996" s="5" t="s">
        <v>1296</v>
      </c>
      <c r="H996" s="148">
        <v>1</v>
      </c>
      <c r="I996" s="149">
        <v>7317</v>
      </c>
      <c r="J996" s="150">
        <v>0.2</v>
      </c>
      <c r="K996" s="149">
        <v>5853.6</v>
      </c>
      <c r="L996" s="149">
        <v>743.52</v>
      </c>
      <c r="M996" s="5" t="s">
        <v>1381</v>
      </c>
      <c r="N996" s="5" t="s">
        <v>1297</v>
      </c>
      <c r="O996" s="5" t="s">
        <v>1298</v>
      </c>
      <c r="P996" s="5" t="s">
        <v>1323</v>
      </c>
      <c r="Q996" s="5" t="s">
        <v>1300</v>
      </c>
      <c r="R996" s="151">
        <v>3</v>
      </c>
      <c r="S996" s="143"/>
    </row>
    <row r="997" spans="1:19" x14ac:dyDescent="0.25">
      <c r="A997" s="5" t="s">
        <v>4316</v>
      </c>
      <c r="B997" s="147">
        <v>45868</v>
      </c>
      <c r="C997" s="5" t="s">
        <v>4317</v>
      </c>
      <c r="D997" s="5" t="s">
        <v>4318</v>
      </c>
      <c r="E997" s="5" t="s">
        <v>1342</v>
      </c>
      <c r="F997" s="5" t="s">
        <v>988</v>
      </c>
      <c r="G997" s="5" t="s">
        <v>1343</v>
      </c>
      <c r="H997" s="148">
        <v>4</v>
      </c>
      <c r="I997" s="149">
        <v>1505</v>
      </c>
      <c r="J997" s="150">
        <v>0.2</v>
      </c>
      <c r="K997" s="149">
        <v>4816</v>
      </c>
      <c r="L997" s="149">
        <v>511.57</v>
      </c>
      <c r="M997" s="5" t="s">
        <v>1126</v>
      </c>
      <c r="N997" s="5" t="s">
        <v>1362</v>
      </c>
      <c r="O997" s="5" t="s">
        <v>1363</v>
      </c>
      <c r="P997" s="5" t="s">
        <v>1348</v>
      </c>
      <c r="Q997" s="5" t="s">
        <v>1306</v>
      </c>
      <c r="R997" s="151">
        <v>4</v>
      </c>
      <c r="S997" s="143"/>
    </row>
    <row r="998" spans="1:19" x14ac:dyDescent="0.25">
      <c r="A998" s="5" t="s">
        <v>4319</v>
      </c>
      <c r="B998" s="147">
        <v>45851</v>
      </c>
      <c r="C998" s="5" t="s">
        <v>4320</v>
      </c>
      <c r="D998" s="5" t="s">
        <v>4321</v>
      </c>
      <c r="E998" s="5" t="s">
        <v>1195</v>
      </c>
      <c r="F998" s="5" t="s">
        <v>988</v>
      </c>
      <c r="G998" s="5" t="s">
        <v>1336</v>
      </c>
      <c r="H998" s="148">
        <v>1</v>
      </c>
      <c r="I998" s="149">
        <v>5919</v>
      </c>
      <c r="J998" s="150">
        <v>0</v>
      </c>
      <c r="K998" s="149">
        <v>5919</v>
      </c>
      <c r="L998" s="149">
        <v>680.59</v>
      </c>
      <c r="M998" s="5" t="s">
        <v>1126</v>
      </c>
      <c r="N998" s="5" t="s">
        <v>1297</v>
      </c>
      <c r="O998" s="5" t="s">
        <v>1298</v>
      </c>
      <c r="P998" s="5" t="s">
        <v>1314</v>
      </c>
      <c r="Q998" s="5" t="s">
        <v>1306</v>
      </c>
      <c r="R998" s="151">
        <v>3</v>
      </c>
      <c r="S998" s="143"/>
    </row>
    <row r="999" spans="1:19" x14ac:dyDescent="0.25">
      <c r="A999" s="5" t="s">
        <v>4322</v>
      </c>
      <c r="B999" s="147">
        <v>45918</v>
      </c>
      <c r="C999" s="5" t="s">
        <v>4323</v>
      </c>
      <c r="D999" s="5" t="s">
        <v>4324</v>
      </c>
      <c r="E999" s="5" t="s">
        <v>1359</v>
      </c>
      <c r="F999" s="5" t="s">
        <v>1360</v>
      </c>
      <c r="G999" s="5" t="s">
        <v>1361</v>
      </c>
      <c r="H999" s="148">
        <v>5</v>
      </c>
      <c r="I999" s="149">
        <v>701</v>
      </c>
      <c r="J999" s="150">
        <v>0.1</v>
      </c>
      <c r="K999" s="149">
        <v>3154.5</v>
      </c>
      <c r="L999" s="149">
        <v>460.32</v>
      </c>
      <c r="M999" s="5" t="s">
        <v>1130</v>
      </c>
      <c r="N999" s="5" t="s">
        <v>1297</v>
      </c>
      <c r="O999" s="5" t="s">
        <v>1298</v>
      </c>
      <c r="P999" s="5" t="s">
        <v>1348</v>
      </c>
      <c r="Q999" s="5" t="s">
        <v>1184</v>
      </c>
      <c r="R999" s="151">
        <v>2</v>
      </c>
      <c r="S999" s="143"/>
    </row>
    <row r="1000" spans="1:19" x14ac:dyDescent="0.25">
      <c r="A1000" s="5" t="s">
        <v>4325</v>
      </c>
      <c r="B1000" s="147">
        <v>45680</v>
      </c>
      <c r="C1000" s="5" t="s">
        <v>4326</v>
      </c>
      <c r="D1000" s="5" t="s">
        <v>4327</v>
      </c>
      <c r="E1000" s="5" t="s">
        <v>1310</v>
      </c>
      <c r="F1000" s="5" t="s">
        <v>1311</v>
      </c>
      <c r="G1000" s="5" t="s">
        <v>1312</v>
      </c>
      <c r="H1000" s="148">
        <v>1</v>
      </c>
      <c r="I1000" s="149">
        <v>9578</v>
      </c>
      <c r="J1000" s="150">
        <v>0.1</v>
      </c>
      <c r="K1000" s="149">
        <v>8620.2000000000007</v>
      </c>
      <c r="L1000" s="149">
        <v>1226.19</v>
      </c>
      <c r="M1000" s="5" t="s">
        <v>1126</v>
      </c>
      <c r="N1000" s="5" t="s">
        <v>1362</v>
      </c>
      <c r="O1000" s="5" t="s">
        <v>1363</v>
      </c>
      <c r="P1000" s="5" t="s">
        <v>1323</v>
      </c>
      <c r="Q1000" s="5" t="s">
        <v>1204</v>
      </c>
      <c r="R1000" s="151">
        <v>1</v>
      </c>
      <c r="S1000" s="143"/>
    </row>
    <row r="1001" spans="1:19" x14ac:dyDescent="0.25">
      <c r="A1001" s="5" t="s">
        <v>4328</v>
      </c>
      <c r="B1001" s="147">
        <v>45787</v>
      </c>
      <c r="C1001" s="5" t="s">
        <v>4329</v>
      </c>
      <c r="D1001" s="5" t="s">
        <v>4330</v>
      </c>
      <c r="E1001" s="5" t="s">
        <v>1318</v>
      </c>
      <c r="F1001" s="5" t="s">
        <v>1319</v>
      </c>
      <c r="G1001" s="5" t="s">
        <v>1320</v>
      </c>
      <c r="H1001" s="148">
        <v>5</v>
      </c>
      <c r="I1001" s="149">
        <v>5977</v>
      </c>
      <c r="J1001" s="150">
        <v>0.15</v>
      </c>
      <c r="K1001" s="149">
        <v>25402.25</v>
      </c>
      <c r="L1001" s="149">
        <v>5802.19</v>
      </c>
      <c r="M1001" s="5" t="s">
        <v>1381</v>
      </c>
      <c r="N1001" s="5" t="s">
        <v>1297</v>
      </c>
      <c r="O1001" s="5" t="s">
        <v>1298</v>
      </c>
      <c r="P1001" s="5" t="s">
        <v>1327</v>
      </c>
      <c r="Q1001" s="5" t="s">
        <v>1204</v>
      </c>
      <c r="R1001" s="151">
        <v>3</v>
      </c>
      <c r="S1001" s="143"/>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B655-D7C9-4B78-AF1C-BE49429A4AC4}">
  <sheetPr codeName="Sheet42"/>
  <dimension ref="A3:O25"/>
  <sheetViews>
    <sheetView zoomScale="68" zoomScaleNormal="68" workbookViewId="0">
      <selection activeCell="J29" sqref="J29"/>
    </sheetView>
  </sheetViews>
  <sheetFormatPr defaultRowHeight="15" x14ac:dyDescent="0.25"/>
  <cols>
    <col min="1" max="1" width="18.42578125" bestFit="1" customWidth="1"/>
    <col min="2" max="2" width="22.85546875" bestFit="1" customWidth="1"/>
    <col min="4" max="4" width="21.140625" bestFit="1" customWidth="1"/>
    <col min="5" max="5" width="24.7109375" bestFit="1" customWidth="1"/>
    <col min="7" max="7" width="18.42578125" bestFit="1" customWidth="1"/>
    <col min="8" max="8" width="24.7109375" bestFit="1" customWidth="1"/>
    <col min="10" max="10" width="22.85546875" bestFit="1" customWidth="1"/>
    <col min="11" max="11" width="22.42578125" bestFit="1" customWidth="1"/>
    <col min="12" max="13" width="6.28515625" bestFit="1" customWidth="1"/>
    <col min="14" max="14" width="12.28515625" bestFit="1" customWidth="1"/>
    <col min="15" max="15" width="15.42578125" bestFit="1" customWidth="1"/>
  </cols>
  <sheetData>
    <row r="3" spans="1:15" x14ac:dyDescent="0.25">
      <c r="A3" s="134" t="s">
        <v>5001</v>
      </c>
      <c r="B3" t="s">
        <v>5002</v>
      </c>
      <c r="D3" s="134" t="s">
        <v>5001</v>
      </c>
      <c r="E3" t="s">
        <v>5003</v>
      </c>
      <c r="G3" s="134" t="s">
        <v>5001</v>
      </c>
      <c r="H3" t="s">
        <v>5002</v>
      </c>
      <c r="J3" s="134" t="s">
        <v>5002</v>
      </c>
      <c r="K3" s="134" t="s">
        <v>5005</v>
      </c>
    </row>
    <row r="4" spans="1:15" x14ac:dyDescent="0.25">
      <c r="A4" s="156" t="s">
        <v>4359</v>
      </c>
      <c r="B4" s="179">
        <v>55</v>
      </c>
      <c r="D4" s="156" t="s">
        <v>5006</v>
      </c>
      <c r="E4" s="179">
        <v>28</v>
      </c>
      <c r="G4" s="156" t="s">
        <v>116</v>
      </c>
      <c r="H4" s="179">
        <v>200</v>
      </c>
      <c r="J4" s="134" t="s">
        <v>5001</v>
      </c>
      <c r="K4" t="s">
        <v>116</v>
      </c>
      <c r="L4" t="s">
        <v>4361</v>
      </c>
      <c r="M4" t="s">
        <v>4367</v>
      </c>
      <c r="N4" t="s">
        <v>1256</v>
      </c>
      <c r="O4" t="s">
        <v>131</v>
      </c>
    </row>
    <row r="5" spans="1:15" x14ac:dyDescent="0.25">
      <c r="A5" s="156" t="s">
        <v>4353</v>
      </c>
      <c r="B5" s="179">
        <v>114</v>
      </c>
      <c r="D5" s="156" t="s">
        <v>4377</v>
      </c>
      <c r="E5" s="179">
        <v>26</v>
      </c>
      <c r="G5" s="156" t="s">
        <v>4361</v>
      </c>
      <c r="H5" s="179">
        <v>134</v>
      </c>
      <c r="J5" s="156" t="s">
        <v>5006</v>
      </c>
      <c r="K5" s="179">
        <v>7</v>
      </c>
      <c r="L5" s="179">
        <v>5</v>
      </c>
      <c r="M5" s="179">
        <v>7</v>
      </c>
      <c r="N5" s="179"/>
      <c r="O5" s="179">
        <v>19</v>
      </c>
    </row>
    <row r="6" spans="1:15" x14ac:dyDescent="0.25">
      <c r="A6" s="156" t="s">
        <v>4366</v>
      </c>
      <c r="B6" s="179">
        <v>125</v>
      </c>
      <c r="D6" s="156" t="s">
        <v>4395</v>
      </c>
      <c r="E6" s="179">
        <v>64</v>
      </c>
      <c r="G6" s="156" t="s">
        <v>4367</v>
      </c>
      <c r="H6" s="179">
        <v>254</v>
      </c>
      <c r="J6" s="156" t="s">
        <v>4377</v>
      </c>
      <c r="K6" s="179">
        <v>3</v>
      </c>
      <c r="L6" s="179">
        <v>4</v>
      </c>
      <c r="M6" s="179">
        <v>4</v>
      </c>
      <c r="N6" s="179">
        <v>1</v>
      </c>
      <c r="O6" s="179">
        <v>12</v>
      </c>
    </row>
    <row r="7" spans="1:15" x14ac:dyDescent="0.25">
      <c r="A7" s="156" t="s">
        <v>4415</v>
      </c>
      <c r="B7" s="179">
        <v>177</v>
      </c>
      <c r="D7" s="156" t="s">
        <v>4372</v>
      </c>
      <c r="E7" s="179">
        <v>56</v>
      </c>
      <c r="G7" s="156" t="s">
        <v>1256</v>
      </c>
      <c r="H7" s="179">
        <v>12</v>
      </c>
      <c r="J7" s="156" t="s">
        <v>4395</v>
      </c>
      <c r="K7" s="179">
        <v>5</v>
      </c>
      <c r="L7" s="179">
        <v>8</v>
      </c>
      <c r="M7" s="179">
        <v>17</v>
      </c>
      <c r="N7" s="179">
        <v>3</v>
      </c>
      <c r="O7" s="179">
        <v>33</v>
      </c>
    </row>
    <row r="8" spans="1:15" x14ac:dyDescent="0.25">
      <c r="A8" s="156" t="s">
        <v>4402</v>
      </c>
      <c r="B8" s="179">
        <v>117</v>
      </c>
      <c r="D8" s="156" t="s">
        <v>4386</v>
      </c>
      <c r="E8" s="179">
        <v>71</v>
      </c>
      <c r="G8" s="156" t="s">
        <v>131</v>
      </c>
      <c r="H8" s="179">
        <v>600</v>
      </c>
      <c r="J8" s="156" t="s">
        <v>4372</v>
      </c>
      <c r="K8" s="179">
        <v>4</v>
      </c>
      <c r="L8" s="179">
        <v>12</v>
      </c>
      <c r="M8" s="179">
        <v>10</v>
      </c>
      <c r="N8" s="179">
        <v>1</v>
      </c>
      <c r="O8" s="179">
        <v>27</v>
      </c>
    </row>
    <row r="9" spans="1:15" x14ac:dyDescent="0.25">
      <c r="A9" s="156" t="s">
        <v>1256</v>
      </c>
      <c r="B9" s="179">
        <v>12</v>
      </c>
      <c r="D9" s="156" t="s">
        <v>4382</v>
      </c>
      <c r="E9" s="179">
        <v>59</v>
      </c>
      <c r="J9" s="156" t="s">
        <v>4386</v>
      </c>
      <c r="K9" s="179">
        <v>14</v>
      </c>
      <c r="L9" s="179">
        <v>9</v>
      </c>
      <c r="M9" s="179">
        <v>13</v>
      </c>
      <c r="N9" s="179"/>
      <c r="O9" s="179">
        <v>36</v>
      </c>
    </row>
    <row r="10" spans="1:15" x14ac:dyDescent="0.25">
      <c r="A10" s="156" t="s">
        <v>131</v>
      </c>
      <c r="B10" s="179">
        <v>600</v>
      </c>
      <c r="D10" s="156" t="s">
        <v>4430</v>
      </c>
      <c r="E10" s="179">
        <v>37</v>
      </c>
      <c r="G10" s="134" t="s">
        <v>5001</v>
      </c>
      <c r="H10" t="s">
        <v>5004</v>
      </c>
      <c r="J10" s="156" t="s">
        <v>4382</v>
      </c>
      <c r="K10" s="179">
        <v>8</v>
      </c>
      <c r="L10" s="179">
        <v>9</v>
      </c>
      <c r="M10" s="179">
        <v>17</v>
      </c>
      <c r="N10" s="179"/>
      <c r="O10" s="179">
        <v>34</v>
      </c>
    </row>
    <row r="11" spans="1:15" x14ac:dyDescent="0.25">
      <c r="D11" s="156" t="s">
        <v>4387</v>
      </c>
      <c r="E11" s="179">
        <v>50</v>
      </c>
      <c r="G11" s="156" t="s">
        <v>4359</v>
      </c>
      <c r="H11" s="179">
        <v>43595.63636363636</v>
      </c>
      <c r="J11" s="156" t="s">
        <v>4430</v>
      </c>
      <c r="K11" s="179">
        <v>9</v>
      </c>
      <c r="L11" s="179">
        <v>3</v>
      </c>
      <c r="M11" s="179">
        <v>7</v>
      </c>
      <c r="N11" s="179">
        <v>4</v>
      </c>
      <c r="O11" s="179">
        <v>23</v>
      </c>
    </row>
    <row r="12" spans="1:15" x14ac:dyDescent="0.25">
      <c r="D12" s="156" t="s">
        <v>4373</v>
      </c>
      <c r="E12" s="179">
        <v>73</v>
      </c>
      <c r="G12" s="156" t="s">
        <v>4353</v>
      </c>
      <c r="H12" s="179">
        <v>43255.175438596489</v>
      </c>
      <c r="J12" s="156" t="s">
        <v>4387</v>
      </c>
      <c r="K12" s="179">
        <v>9</v>
      </c>
      <c r="L12" s="179">
        <v>9</v>
      </c>
      <c r="M12" s="179">
        <v>10</v>
      </c>
      <c r="N12" s="179"/>
      <c r="O12" s="179">
        <v>28</v>
      </c>
    </row>
    <row r="13" spans="1:15" x14ac:dyDescent="0.25">
      <c r="D13" s="156" t="s">
        <v>4360</v>
      </c>
      <c r="E13" s="179">
        <v>29</v>
      </c>
      <c r="G13" s="156" t="s">
        <v>4366</v>
      </c>
      <c r="H13" s="179">
        <v>41289.879999999997</v>
      </c>
      <c r="J13" s="156" t="s">
        <v>4373</v>
      </c>
      <c r="K13" s="179">
        <v>15</v>
      </c>
      <c r="L13" s="179">
        <v>7</v>
      </c>
      <c r="M13" s="179">
        <v>19</v>
      </c>
      <c r="N13" s="179"/>
      <c r="O13" s="179">
        <v>41</v>
      </c>
    </row>
    <row r="14" spans="1:15" x14ac:dyDescent="0.25">
      <c r="D14" s="156" t="s">
        <v>4354</v>
      </c>
      <c r="E14" s="179">
        <v>35</v>
      </c>
      <c r="G14" s="156" t="s">
        <v>4415</v>
      </c>
      <c r="H14" s="179">
        <v>45113.378531073446</v>
      </c>
      <c r="J14" s="156" t="s">
        <v>4360</v>
      </c>
      <c r="K14" s="179">
        <v>5</v>
      </c>
      <c r="L14" s="179">
        <v>3</v>
      </c>
      <c r="M14" s="179">
        <v>6</v>
      </c>
      <c r="N14" s="179"/>
      <c r="O14" s="179">
        <v>14</v>
      </c>
    </row>
    <row r="15" spans="1:15" x14ac:dyDescent="0.25">
      <c r="D15" s="156" t="s">
        <v>4424</v>
      </c>
      <c r="E15" s="179">
        <v>94</v>
      </c>
      <c r="G15" s="156" t="s">
        <v>4402</v>
      </c>
      <c r="H15" s="179">
        <v>48088.794871794875</v>
      </c>
      <c r="J15" s="156" t="s">
        <v>4354</v>
      </c>
      <c r="K15" s="179">
        <v>7</v>
      </c>
      <c r="L15" s="179">
        <v>3</v>
      </c>
      <c r="M15" s="179">
        <v>8</v>
      </c>
      <c r="N15" s="179"/>
      <c r="O15" s="179">
        <v>18</v>
      </c>
    </row>
    <row r="16" spans="1:15" x14ac:dyDescent="0.25">
      <c r="D16" s="156" t="s">
        <v>4403</v>
      </c>
      <c r="E16" s="179">
        <v>50</v>
      </c>
      <c r="G16" s="156" t="s">
        <v>1256</v>
      </c>
      <c r="H16" s="179">
        <v>52824.416666666664</v>
      </c>
      <c r="J16" s="156" t="s">
        <v>4424</v>
      </c>
      <c r="K16" s="179">
        <v>19</v>
      </c>
      <c r="L16" s="179">
        <v>9</v>
      </c>
      <c r="M16" s="179">
        <v>21</v>
      </c>
      <c r="N16" s="179"/>
      <c r="O16" s="179">
        <v>49</v>
      </c>
    </row>
    <row r="17" spans="4:15" x14ac:dyDescent="0.25">
      <c r="D17" s="156" t="s">
        <v>4412</v>
      </c>
      <c r="E17" s="179">
        <v>111</v>
      </c>
      <c r="G17" s="156" t="s">
        <v>131</v>
      </c>
      <c r="H17" s="179">
        <v>44559.058333333334</v>
      </c>
      <c r="J17" s="156" t="s">
        <v>4403</v>
      </c>
      <c r="K17" s="179">
        <v>14</v>
      </c>
      <c r="L17" s="179">
        <v>6</v>
      </c>
      <c r="M17" s="179">
        <v>12</v>
      </c>
      <c r="N17" s="179">
        <v>3</v>
      </c>
      <c r="O17" s="179">
        <v>35</v>
      </c>
    </row>
    <row r="18" spans="4:15" x14ac:dyDescent="0.25">
      <c r="D18" s="156" t="s">
        <v>4378</v>
      </c>
      <c r="E18" s="179">
        <v>102</v>
      </c>
      <c r="J18" s="156" t="s">
        <v>4412</v>
      </c>
      <c r="K18" s="179">
        <v>24</v>
      </c>
      <c r="L18" s="179">
        <v>11</v>
      </c>
      <c r="M18" s="179">
        <v>27</v>
      </c>
      <c r="N18" s="179"/>
      <c r="O18" s="179">
        <v>62</v>
      </c>
    </row>
    <row r="19" spans="4:15" x14ac:dyDescent="0.25">
      <c r="D19" s="156" t="s">
        <v>4470</v>
      </c>
      <c r="E19" s="179">
        <v>48</v>
      </c>
      <c r="G19" s="134" t="s">
        <v>5001</v>
      </c>
      <c r="H19" t="s">
        <v>5003</v>
      </c>
      <c r="J19" s="156" t="s">
        <v>4378</v>
      </c>
      <c r="K19" s="179">
        <v>14</v>
      </c>
      <c r="L19" s="179">
        <v>12</v>
      </c>
      <c r="M19" s="179">
        <v>25</v>
      </c>
      <c r="N19" s="179"/>
      <c r="O19" s="179">
        <v>51</v>
      </c>
    </row>
    <row r="20" spans="4:15" x14ac:dyDescent="0.25">
      <c r="D20" s="156" t="s">
        <v>4369</v>
      </c>
      <c r="E20" s="179">
        <v>86</v>
      </c>
      <c r="G20" s="156" t="s">
        <v>4357</v>
      </c>
      <c r="H20" s="179">
        <v>184</v>
      </c>
      <c r="J20" s="156" t="s">
        <v>4470</v>
      </c>
      <c r="K20" s="179">
        <v>11</v>
      </c>
      <c r="L20" s="179">
        <v>6</v>
      </c>
      <c r="M20" s="179">
        <v>10</v>
      </c>
      <c r="N20" s="179"/>
      <c r="O20" s="179">
        <v>27</v>
      </c>
    </row>
    <row r="21" spans="4:15" x14ac:dyDescent="0.25">
      <c r="D21" s="156" t="s">
        <v>4440</v>
      </c>
      <c r="E21" s="179">
        <v>88</v>
      </c>
      <c r="G21" s="156" t="s">
        <v>4389</v>
      </c>
      <c r="H21" s="179">
        <v>190</v>
      </c>
      <c r="J21" s="156" t="s">
        <v>4369</v>
      </c>
      <c r="K21" s="179">
        <v>11</v>
      </c>
      <c r="L21" s="179">
        <v>10</v>
      </c>
      <c r="M21" s="179">
        <v>20</v>
      </c>
      <c r="N21" s="179"/>
      <c r="O21" s="179">
        <v>41</v>
      </c>
    </row>
    <row r="22" spans="4:15" x14ac:dyDescent="0.25">
      <c r="D22" s="156" t="s">
        <v>1256</v>
      </c>
      <c r="E22" s="179">
        <v>12</v>
      </c>
      <c r="G22" s="156" t="s">
        <v>4370</v>
      </c>
      <c r="H22" s="179">
        <v>173</v>
      </c>
      <c r="J22" s="156" t="s">
        <v>4440</v>
      </c>
      <c r="K22" s="179">
        <v>17</v>
      </c>
      <c r="L22" s="179">
        <v>7</v>
      </c>
      <c r="M22" s="179">
        <v>19</v>
      </c>
      <c r="N22" s="179"/>
      <c r="O22" s="179">
        <v>43</v>
      </c>
    </row>
    <row r="23" spans="4:15" x14ac:dyDescent="0.25">
      <c r="D23" s="156" t="s">
        <v>131</v>
      </c>
      <c r="E23" s="179">
        <v>1119</v>
      </c>
      <c r="G23" s="156" t="s">
        <v>4364</v>
      </c>
      <c r="H23" s="179">
        <v>339</v>
      </c>
      <c r="J23" s="156" t="s">
        <v>1256</v>
      </c>
      <c r="K23" s="179">
        <v>4</v>
      </c>
      <c r="L23" s="179">
        <v>1</v>
      </c>
      <c r="M23" s="179">
        <v>2</v>
      </c>
      <c r="N23" s="179"/>
      <c r="O23" s="179">
        <v>7</v>
      </c>
    </row>
    <row r="24" spans="4:15" x14ac:dyDescent="0.25">
      <c r="G24" s="156" t="s">
        <v>1256</v>
      </c>
      <c r="H24" s="179">
        <v>233</v>
      </c>
      <c r="J24" s="156" t="s">
        <v>131</v>
      </c>
      <c r="K24" s="179">
        <v>200</v>
      </c>
      <c r="L24" s="179">
        <v>134</v>
      </c>
      <c r="M24" s="179">
        <v>254</v>
      </c>
      <c r="N24" s="179">
        <v>12</v>
      </c>
      <c r="O24" s="179">
        <v>600</v>
      </c>
    </row>
    <row r="25" spans="4:15" x14ac:dyDescent="0.25">
      <c r="G25" s="156" t="s">
        <v>131</v>
      </c>
      <c r="H25" s="179">
        <v>1119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8F63-B2E7-4757-9CA6-66FECBBF6A8E}">
  <sheetPr codeName="Sheet43"/>
  <dimension ref="A3:D4"/>
  <sheetViews>
    <sheetView workbookViewId="0">
      <selection activeCell="C4" sqref="C4"/>
    </sheetView>
  </sheetViews>
  <sheetFormatPr defaultRowHeight="15" x14ac:dyDescent="0.25"/>
  <cols>
    <col min="1" max="1" width="17" bestFit="1" customWidth="1"/>
    <col min="2" max="2" width="21.7109375" bestFit="1" customWidth="1"/>
    <col min="3" max="3" width="18.140625" bestFit="1" customWidth="1"/>
    <col min="4" max="4" width="18.5703125" bestFit="1" customWidth="1"/>
  </cols>
  <sheetData>
    <row r="3" spans="1:4" x14ac:dyDescent="0.25">
      <c r="A3" t="s">
        <v>5002</v>
      </c>
      <c r="B3" t="s">
        <v>5004</v>
      </c>
      <c r="C3" t="s">
        <v>5008</v>
      </c>
      <c r="D3" t="s">
        <v>5003</v>
      </c>
    </row>
    <row r="4" spans="1:4" x14ac:dyDescent="0.25">
      <c r="A4" s="179">
        <v>600</v>
      </c>
      <c r="B4" s="179">
        <v>44559.058333333334</v>
      </c>
      <c r="C4" s="179">
        <v>1035</v>
      </c>
      <c r="D4" s="179">
        <v>1119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12CC-03E5-4A56-B46C-4F25DE1BA5A5}">
  <sheetPr codeName="Sheet44"/>
  <dimension ref="A1:L601"/>
  <sheetViews>
    <sheetView workbookViewId="0">
      <selection activeCell="I11" sqref="I11"/>
    </sheetView>
  </sheetViews>
  <sheetFormatPr defaultRowHeight="15" x14ac:dyDescent="0.25"/>
  <cols>
    <col min="1" max="1" width="11.140625" bestFit="1" customWidth="1"/>
    <col min="2" max="2" width="13.42578125" bestFit="1" customWidth="1"/>
    <col min="3" max="3" width="15" bestFit="1" customWidth="1"/>
    <col min="4" max="5" width="18.7109375" bestFit="1" customWidth="1"/>
    <col min="6" max="6" width="14" bestFit="1" customWidth="1"/>
    <col min="7" max="7" width="13.5703125" bestFit="1" customWidth="1"/>
    <col min="8" max="8" width="17.85546875" bestFit="1" customWidth="1"/>
    <col min="9" max="9" width="13.5703125" bestFit="1" customWidth="1"/>
    <col min="10" max="10" width="26.42578125" bestFit="1" customWidth="1"/>
    <col min="11" max="11" width="14.5703125" bestFit="1" customWidth="1"/>
    <col min="12" max="12" width="9.5703125" bestFit="1" customWidth="1"/>
  </cols>
  <sheetData>
    <row r="1" spans="1:12" x14ac:dyDescent="0.25">
      <c r="A1" s="5" t="s">
        <v>4340</v>
      </c>
      <c r="B1" s="5" t="s">
        <v>4341</v>
      </c>
      <c r="C1" s="5" t="s">
        <v>4342</v>
      </c>
      <c r="D1" s="5" t="s">
        <v>4343</v>
      </c>
      <c r="E1" s="5" t="s">
        <v>4344</v>
      </c>
      <c r="F1" s="5" t="s">
        <v>4345</v>
      </c>
      <c r="G1" s="5" t="s">
        <v>4346</v>
      </c>
      <c r="H1" s="5" t="s">
        <v>4347</v>
      </c>
      <c r="I1" s="5" t="s">
        <v>4348</v>
      </c>
      <c r="J1" s="5" t="s">
        <v>4349</v>
      </c>
      <c r="K1" s="5" t="s">
        <v>4350</v>
      </c>
      <c r="L1" s="5" t="s">
        <v>4351</v>
      </c>
    </row>
    <row r="2" spans="1:12" x14ac:dyDescent="0.25">
      <c r="A2" s="5" t="s">
        <v>4414</v>
      </c>
      <c r="B2" s="157">
        <v>44780</v>
      </c>
      <c r="C2" s="5" t="s">
        <v>4415</v>
      </c>
      <c r="D2" s="5" t="s">
        <v>4373</v>
      </c>
      <c r="E2" s="5" t="s">
        <v>5006</v>
      </c>
      <c r="F2" s="5">
        <v>3</v>
      </c>
      <c r="G2" s="5">
        <v>2</v>
      </c>
      <c r="H2" s="5" t="s">
        <v>4367</v>
      </c>
      <c r="I2" s="5">
        <v>64034</v>
      </c>
      <c r="J2" s="5" t="s">
        <v>4383</v>
      </c>
      <c r="K2" s="5" t="s">
        <v>4375</v>
      </c>
      <c r="L2" s="5" t="s">
        <v>4364</v>
      </c>
    </row>
    <row r="3" spans="1:12" x14ac:dyDescent="0.25">
      <c r="A3" s="5" t="s">
        <v>4975</v>
      </c>
      <c r="B3" s="157">
        <v>44782</v>
      </c>
      <c r="C3" s="5" t="s">
        <v>4359</v>
      </c>
      <c r="D3" s="5" t="s">
        <v>4412</v>
      </c>
      <c r="E3" s="5" t="s">
        <v>4382</v>
      </c>
      <c r="F3" s="5">
        <v>2</v>
      </c>
      <c r="G3" s="5">
        <v>1</v>
      </c>
      <c r="H3" s="5" t="s">
        <v>4367</v>
      </c>
      <c r="I3" s="5">
        <v>49406</v>
      </c>
      <c r="J3" s="5" t="s">
        <v>4444</v>
      </c>
      <c r="K3" s="5" t="s">
        <v>4375</v>
      </c>
      <c r="L3" s="5" t="s">
        <v>4364</v>
      </c>
    </row>
    <row r="4" spans="1:12" x14ac:dyDescent="0.25">
      <c r="A4" s="5" t="s">
        <v>4352</v>
      </c>
      <c r="B4" s="157">
        <v>44787</v>
      </c>
      <c r="C4" s="5" t="s">
        <v>4353</v>
      </c>
      <c r="D4" s="5" t="s">
        <v>4412</v>
      </c>
      <c r="E4" s="5" t="s">
        <v>4354</v>
      </c>
      <c r="F4" s="5">
        <v>1</v>
      </c>
      <c r="G4" s="5">
        <v>3</v>
      </c>
      <c r="H4" s="5" t="s">
        <v>116</v>
      </c>
      <c r="I4" s="5">
        <v>17408</v>
      </c>
      <c r="J4" s="5" t="s">
        <v>4355</v>
      </c>
      <c r="K4" s="5" t="s">
        <v>4356</v>
      </c>
      <c r="L4" s="5" t="s">
        <v>4357</v>
      </c>
    </row>
    <row r="5" spans="1:12" x14ac:dyDescent="0.25">
      <c r="A5" s="5" t="s">
        <v>4575</v>
      </c>
      <c r="B5" s="157">
        <v>44788</v>
      </c>
      <c r="C5" s="5" t="s">
        <v>4366</v>
      </c>
      <c r="D5" s="5" t="s">
        <v>4373</v>
      </c>
      <c r="E5" s="5" t="s">
        <v>4360</v>
      </c>
      <c r="F5" s="5">
        <v>2</v>
      </c>
      <c r="G5" s="5">
        <v>1</v>
      </c>
      <c r="H5" s="5" t="s">
        <v>4367</v>
      </c>
      <c r="I5" s="5">
        <v>0</v>
      </c>
      <c r="J5" s="5" t="s">
        <v>4421</v>
      </c>
      <c r="K5" s="5" t="s">
        <v>4384</v>
      </c>
      <c r="L5" s="5" t="s">
        <v>4389</v>
      </c>
    </row>
    <row r="6" spans="1:12" x14ac:dyDescent="0.25">
      <c r="A6" s="5" t="s">
        <v>4569</v>
      </c>
      <c r="B6" s="157">
        <v>44789</v>
      </c>
      <c r="C6" s="5" t="s">
        <v>4415</v>
      </c>
      <c r="D6" s="5" t="s">
        <v>4403</v>
      </c>
      <c r="E6" s="5" t="s">
        <v>4424</v>
      </c>
      <c r="F6" s="5">
        <v>2</v>
      </c>
      <c r="G6" s="5">
        <v>1</v>
      </c>
      <c r="H6" s="5" t="s">
        <v>4367</v>
      </c>
      <c r="I6" s="5">
        <v>58334</v>
      </c>
      <c r="J6" s="5" t="s">
        <v>4442</v>
      </c>
      <c r="K6" s="5" t="s">
        <v>4384</v>
      </c>
      <c r="L6" s="5" t="s">
        <v>4364</v>
      </c>
    </row>
    <row r="7" spans="1:12" x14ac:dyDescent="0.25">
      <c r="A7" s="5" t="s">
        <v>4664</v>
      </c>
      <c r="B7" s="157">
        <v>44790</v>
      </c>
      <c r="C7" s="5" t="s">
        <v>4402</v>
      </c>
      <c r="D7" s="5" t="s">
        <v>4387</v>
      </c>
      <c r="E7" s="5" t="s">
        <v>4378</v>
      </c>
      <c r="F7" s="5">
        <v>1</v>
      </c>
      <c r="G7" s="5">
        <v>0</v>
      </c>
      <c r="H7" s="5" t="s">
        <v>4367</v>
      </c>
      <c r="I7" s="5">
        <v>36967</v>
      </c>
      <c r="J7" s="5" t="s">
        <v>4383</v>
      </c>
      <c r="K7" s="5" t="s">
        <v>4405</v>
      </c>
      <c r="L7" s="5" t="s">
        <v>4370</v>
      </c>
    </row>
    <row r="8" spans="1:12" x14ac:dyDescent="0.25">
      <c r="A8" s="5" t="s">
        <v>4801</v>
      </c>
      <c r="B8" s="157">
        <v>44791</v>
      </c>
      <c r="C8" s="5" t="s">
        <v>4366</v>
      </c>
      <c r="D8" s="5" t="s">
        <v>4403</v>
      </c>
      <c r="E8" s="5" t="s">
        <v>4387</v>
      </c>
      <c r="F8" s="5">
        <v>0</v>
      </c>
      <c r="G8" s="5">
        <v>1</v>
      </c>
      <c r="H8" s="5" t="s">
        <v>116</v>
      </c>
      <c r="I8" s="5">
        <v>21705</v>
      </c>
      <c r="J8" s="5" t="s">
        <v>4383</v>
      </c>
      <c r="K8" s="5" t="s">
        <v>4363</v>
      </c>
      <c r="L8" s="5" t="s">
        <v>4364</v>
      </c>
    </row>
    <row r="9" spans="1:12" x14ac:dyDescent="0.25">
      <c r="A9" s="5" t="s">
        <v>4597</v>
      </c>
      <c r="B9" s="157">
        <v>44792</v>
      </c>
      <c r="C9" s="5" t="s">
        <v>4402</v>
      </c>
      <c r="D9" s="5" t="s">
        <v>4360</v>
      </c>
      <c r="E9" s="5" t="s">
        <v>4373</v>
      </c>
      <c r="F9" s="5">
        <v>5</v>
      </c>
      <c r="G9" s="5">
        <v>2</v>
      </c>
      <c r="H9" s="5" t="s">
        <v>4367</v>
      </c>
      <c r="I9" s="5">
        <v>28815</v>
      </c>
      <c r="J9" s="5" t="s">
        <v>4383</v>
      </c>
      <c r="K9" s="5" t="s">
        <v>1256</v>
      </c>
      <c r="L9" s="5" t="s">
        <v>4389</v>
      </c>
    </row>
    <row r="10" spans="1:12" x14ac:dyDescent="0.25">
      <c r="A10" s="5" t="s">
        <v>4620</v>
      </c>
      <c r="B10" s="157">
        <v>44793</v>
      </c>
      <c r="C10" s="5" t="s">
        <v>4402</v>
      </c>
      <c r="D10" s="5" t="s">
        <v>4440</v>
      </c>
      <c r="E10" s="5" t="s">
        <v>4382</v>
      </c>
      <c r="F10" s="5">
        <v>4</v>
      </c>
      <c r="G10" s="5">
        <v>0</v>
      </c>
      <c r="H10" s="5" t="s">
        <v>4367</v>
      </c>
      <c r="I10" s="5">
        <v>48806</v>
      </c>
      <c r="J10" s="5" t="s">
        <v>4380</v>
      </c>
      <c r="K10" s="5" t="s">
        <v>4384</v>
      </c>
      <c r="L10" s="5" t="s">
        <v>4364</v>
      </c>
    </row>
    <row r="11" spans="1:12" x14ac:dyDescent="0.25">
      <c r="A11" s="5" t="s">
        <v>4973</v>
      </c>
      <c r="B11" s="157">
        <v>44795</v>
      </c>
      <c r="C11" s="5" t="s">
        <v>4366</v>
      </c>
      <c r="D11" s="5" t="s">
        <v>4440</v>
      </c>
      <c r="E11" s="5" t="s">
        <v>4369</v>
      </c>
      <c r="F11" s="5">
        <v>2</v>
      </c>
      <c r="G11" s="5">
        <v>3</v>
      </c>
      <c r="H11" s="5" t="s">
        <v>116</v>
      </c>
      <c r="I11" s="5">
        <v>30237</v>
      </c>
      <c r="J11" s="5" t="s">
        <v>4413</v>
      </c>
      <c r="K11" s="5" t="s">
        <v>1256</v>
      </c>
      <c r="L11" s="5" t="s">
        <v>4389</v>
      </c>
    </row>
    <row r="12" spans="1:12" x14ac:dyDescent="0.25">
      <c r="A12" s="5" t="s">
        <v>4499</v>
      </c>
      <c r="B12" s="157">
        <v>44795</v>
      </c>
      <c r="C12" s="5" t="s">
        <v>4415</v>
      </c>
      <c r="D12" s="5" t="s">
        <v>4424</v>
      </c>
      <c r="E12" s="5" t="s">
        <v>4403</v>
      </c>
      <c r="F12" s="5">
        <v>0</v>
      </c>
      <c r="G12" s="5">
        <v>3</v>
      </c>
      <c r="H12" s="5" t="s">
        <v>116</v>
      </c>
      <c r="I12" s="5">
        <v>53573</v>
      </c>
      <c r="J12" s="5" t="s">
        <v>4388</v>
      </c>
      <c r="K12" s="5" t="s">
        <v>1256</v>
      </c>
      <c r="L12" s="5" t="s">
        <v>4364</v>
      </c>
    </row>
    <row r="13" spans="1:12" x14ac:dyDescent="0.25">
      <c r="A13" s="5" t="s">
        <v>4450</v>
      </c>
      <c r="B13" s="157">
        <v>44797</v>
      </c>
      <c r="C13" s="5" t="s">
        <v>4366</v>
      </c>
      <c r="D13" s="5" t="s">
        <v>4424</v>
      </c>
      <c r="E13" s="5" t="s">
        <v>4387</v>
      </c>
      <c r="F13" s="5">
        <v>1</v>
      </c>
      <c r="G13" s="5">
        <v>4</v>
      </c>
      <c r="H13" s="5" t="s">
        <v>116</v>
      </c>
      <c r="I13" s="5">
        <v>76293</v>
      </c>
      <c r="J13" s="5" t="s">
        <v>4413</v>
      </c>
      <c r="K13" s="5" t="s">
        <v>4396</v>
      </c>
      <c r="L13" s="5" t="s">
        <v>4389</v>
      </c>
    </row>
    <row r="14" spans="1:12" x14ac:dyDescent="0.25">
      <c r="A14" s="5" t="s">
        <v>4572</v>
      </c>
      <c r="B14" s="157">
        <v>44799</v>
      </c>
      <c r="C14" s="5" t="s">
        <v>4402</v>
      </c>
      <c r="D14" s="5" t="s">
        <v>4412</v>
      </c>
      <c r="E14" s="5" t="s">
        <v>4470</v>
      </c>
      <c r="F14" s="5">
        <v>1</v>
      </c>
      <c r="G14" s="5">
        <v>1</v>
      </c>
      <c r="H14" s="5" t="s">
        <v>4361</v>
      </c>
      <c r="I14" s="5">
        <v>28171</v>
      </c>
      <c r="J14" s="5" t="s">
        <v>4444</v>
      </c>
      <c r="K14" s="5" t="s">
        <v>4399</v>
      </c>
      <c r="L14" s="5" t="s">
        <v>4364</v>
      </c>
    </row>
    <row r="15" spans="1:12" x14ac:dyDescent="0.25">
      <c r="A15" s="5" t="s">
        <v>4837</v>
      </c>
      <c r="B15" s="157">
        <v>44799</v>
      </c>
      <c r="C15" s="5" t="s">
        <v>4366</v>
      </c>
      <c r="D15" s="5" t="s">
        <v>4382</v>
      </c>
      <c r="E15" s="5" t="s">
        <v>4403</v>
      </c>
      <c r="F15" s="5">
        <v>2</v>
      </c>
      <c r="G15" s="5">
        <v>2</v>
      </c>
      <c r="H15" s="5" t="s">
        <v>4361</v>
      </c>
      <c r="I15" s="5">
        <v>37858</v>
      </c>
      <c r="J15" s="5" t="s">
        <v>4417</v>
      </c>
      <c r="K15" s="5" t="s">
        <v>4363</v>
      </c>
      <c r="L15" s="5" t="s">
        <v>4364</v>
      </c>
    </row>
    <row r="16" spans="1:12" x14ac:dyDescent="0.25">
      <c r="A16" s="5" t="s">
        <v>4818</v>
      </c>
      <c r="B16" s="157">
        <v>44802</v>
      </c>
      <c r="C16" s="5" t="s">
        <v>4415</v>
      </c>
      <c r="D16" s="5" t="s">
        <v>4386</v>
      </c>
      <c r="E16" s="5" t="s">
        <v>4412</v>
      </c>
      <c r="F16" s="5">
        <v>1</v>
      </c>
      <c r="G16" s="5">
        <v>0</v>
      </c>
      <c r="H16" s="5" t="s">
        <v>4367</v>
      </c>
      <c r="I16" s="5">
        <v>60663</v>
      </c>
      <c r="J16" s="5" t="s">
        <v>4442</v>
      </c>
      <c r="K16" s="5" t="s">
        <v>4396</v>
      </c>
      <c r="L16" s="5" t="s">
        <v>1256</v>
      </c>
    </row>
    <row r="17" spans="1:12" x14ac:dyDescent="0.25">
      <c r="A17" s="5" t="s">
        <v>4963</v>
      </c>
      <c r="B17" s="157">
        <v>44807</v>
      </c>
      <c r="C17" s="5" t="s">
        <v>4415</v>
      </c>
      <c r="D17" s="5" t="s">
        <v>4372</v>
      </c>
      <c r="E17" s="5" t="s">
        <v>4386</v>
      </c>
      <c r="F17" s="5">
        <v>2</v>
      </c>
      <c r="G17" s="5">
        <v>2</v>
      </c>
      <c r="H17" s="5" t="s">
        <v>4361</v>
      </c>
      <c r="I17" s="5">
        <v>46677</v>
      </c>
      <c r="J17" s="5" t="s">
        <v>4421</v>
      </c>
      <c r="K17" s="5" t="s">
        <v>4399</v>
      </c>
      <c r="L17" s="5" t="s">
        <v>4364</v>
      </c>
    </row>
    <row r="18" spans="1:12" x14ac:dyDescent="0.25">
      <c r="A18" s="5" t="s">
        <v>4513</v>
      </c>
      <c r="B18" s="157">
        <v>44807</v>
      </c>
      <c r="C18" s="5" t="s">
        <v>4353</v>
      </c>
      <c r="D18" s="5" t="s">
        <v>4373</v>
      </c>
      <c r="E18" s="5" t="s">
        <v>4387</v>
      </c>
      <c r="F18" s="5">
        <v>1</v>
      </c>
      <c r="G18" s="5">
        <v>0</v>
      </c>
      <c r="H18" s="5" t="s">
        <v>4367</v>
      </c>
      <c r="I18" s="5">
        <v>22087</v>
      </c>
      <c r="J18" s="5" t="s">
        <v>4413</v>
      </c>
      <c r="K18" s="5" t="s">
        <v>4363</v>
      </c>
      <c r="L18" s="5" t="s">
        <v>4389</v>
      </c>
    </row>
    <row r="19" spans="1:12" x14ac:dyDescent="0.25">
      <c r="A19" s="5" t="s">
        <v>4756</v>
      </c>
      <c r="B19" s="157">
        <v>44817</v>
      </c>
      <c r="C19" s="5" t="s">
        <v>4353</v>
      </c>
      <c r="D19" s="5" t="s">
        <v>4412</v>
      </c>
      <c r="E19" s="5" t="s">
        <v>4403</v>
      </c>
      <c r="F19" s="5">
        <v>2</v>
      </c>
      <c r="G19" s="5">
        <v>1</v>
      </c>
      <c r="H19" s="5" t="s">
        <v>4367</v>
      </c>
      <c r="I19" s="5">
        <v>9442</v>
      </c>
      <c r="J19" s="5" t="s">
        <v>4380</v>
      </c>
      <c r="K19" s="5" t="s">
        <v>4399</v>
      </c>
      <c r="L19" s="5" t="s">
        <v>4389</v>
      </c>
    </row>
    <row r="20" spans="1:12" x14ac:dyDescent="0.25">
      <c r="A20" s="5" t="s">
        <v>4884</v>
      </c>
      <c r="B20" s="157">
        <v>44825</v>
      </c>
      <c r="C20" s="5" t="s">
        <v>4415</v>
      </c>
      <c r="D20" s="5" t="s">
        <v>4382</v>
      </c>
      <c r="E20" s="5" t="s">
        <v>4424</v>
      </c>
      <c r="F20" s="5">
        <v>3</v>
      </c>
      <c r="G20" s="5">
        <v>1</v>
      </c>
      <c r="H20" s="5" t="s">
        <v>4367</v>
      </c>
      <c r="I20" s="5">
        <v>21934</v>
      </c>
      <c r="J20" s="5" t="s">
        <v>4417</v>
      </c>
      <c r="K20" s="5" t="s">
        <v>1256</v>
      </c>
      <c r="L20" s="5" t="s">
        <v>4357</v>
      </c>
    </row>
    <row r="21" spans="1:12" x14ac:dyDescent="0.25">
      <c r="A21" s="5" t="s">
        <v>4715</v>
      </c>
      <c r="B21" s="157">
        <v>44825</v>
      </c>
      <c r="C21" s="5" t="s">
        <v>4415</v>
      </c>
      <c r="D21" s="5" t="s">
        <v>4369</v>
      </c>
      <c r="E21" s="5" t="s">
        <v>412</v>
      </c>
      <c r="F21" s="5">
        <v>1</v>
      </c>
      <c r="G21" s="5">
        <v>0</v>
      </c>
      <c r="H21" s="5" t="s">
        <v>4367</v>
      </c>
      <c r="I21" s="5">
        <v>34701</v>
      </c>
      <c r="J21" s="5" t="s">
        <v>4388</v>
      </c>
      <c r="K21" s="5" t="s">
        <v>4356</v>
      </c>
      <c r="L21" s="5" t="s">
        <v>4370</v>
      </c>
    </row>
    <row r="22" spans="1:12" x14ac:dyDescent="0.25">
      <c r="A22" s="5" t="s">
        <v>4862</v>
      </c>
      <c r="B22" s="157">
        <v>44826</v>
      </c>
      <c r="C22" s="5" t="s">
        <v>4402</v>
      </c>
      <c r="D22" s="5" t="s">
        <v>4424</v>
      </c>
      <c r="E22" s="5" t="s">
        <v>4386</v>
      </c>
      <c r="F22" s="5">
        <v>4</v>
      </c>
      <c r="G22" s="5">
        <v>2</v>
      </c>
      <c r="H22" s="5" t="s">
        <v>4367</v>
      </c>
      <c r="I22" s="5">
        <v>60490</v>
      </c>
      <c r="J22" s="5" t="s">
        <v>4355</v>
      </c>
      <c r="K22" s="5" t="s">
        <v>4384</v>
      </c>
      <c r="L22" s="5" t="s">
        <v>4357</v>
      </c>
    </row>
    <row r="23" spans="1:12" x14ac:dyDescent="0.25">
      <c r="A23" s="5" t="s">
        <v>4534</v>
      </c>
      <c r="B23" s="157">
        <v>44826</v>
      </c>
      <c r="C23" s="5" t="s">
        <v>4353</v>
      </c>
      <c r="D23" s="5" t="s">
        <v>4424</v>
      </c>
      <c r="E23" s="5" t="s">
        <v>4387</v>
      </c>
      <c r="F23" s="5">
        <v>2</v>
      </c>
      <c r="G23" s="5">
        <v>6</v>
      </c>
      <c r="H23" s="5" t="s">
        <v>116</v>
      </c>
      <c r="I23" s="5">
        <v>63362</v>
      </c>
      <c r="J23" s="5" t="s">
        <v>4421</v>
      </c>
      <c r="K23" s="5" t="s">
        <v>1256</v>
      </c>
      <c r="L23" s="5" t="s">
        <v>1256</v>
      </c>
    </row>
    <row r="24" spans="1:12" x14ac:dyDescent="0.25">
      <c r="A24" s="5" t="s">
        <v>4939</v>
      </c>
      <c r="B24" s="157">
        <v>44827</v>
      </c>
      <c r="C24" s="5" t="s">
        <v>4402</v>
      </c>
      <c r="D24" s="5" t="s">
        <v>4430</v>
      </c>
      <c r="E24" s="5" t="s">
        <v>4424</v>
      </c>
      <c r="F24" s="5">
        <v>2</v>
      </c>
      <c r="G24" s="5">
        <v>1</v>
      </c>
      <c r="H24" s="5" t="s">
        <v>4367</v>
      </c>
      <c r="I24" s="5">
        <v>23935</v>
      </c>
      <c r="J24" s="5" t="s">
        <v>4388</v>
      </c>
      <c r="K24" s="5" t="s">
        <v>4396</v>
      </c>
      <c r="L24" s="5" t="s">
        <v>1256</v>
      </c>
    </row>
    <row r="25" spans="1:12" x14ac:dyDescent="0.25">
      <c r="A25" s="5" t="s">
        <v>4747</v>
      </c>
      <c r="B25" s="157">
        <v>44828</v>
      </c>
      <c r="C25" s="5" t="s">
        <v>4359</v>
      </c>
      <c r="D25" s="5" t="s">
        <v>4470</v>
      </c>
      <c r="E25" s="5" t="s">
        <v>4440</v>
      </c>
      <c r="F25" s="5">
        <v>1</v>
      </c>
      <c r="G25" s="5">
        <v>1</v>
      </c>
      <c r="H25" s="5" t="s">
        <v>4361</v>
      </c>
      <c r="I25" s="5">
        <v>39403</v>
      </c>
      <c r="J25" s="5" t="s">
        <v>4421</v>
      </c>
      <c r="K25" s="5" t="s">
        <v>4375</v>
      </c>
      <c r="L25" s="5" t="s">
        <v>4370</v>
      </c>
    </row>
    <row r="26" spans="1:12" x14ac:dyDescent="0.25">
      <c r="A26" s="5" t="s">
        <v>4721</v>
      </c>
      <c r="B26" s="157">
        <v>44832</v>
      </c>
      <c r="C26" s="5" t="s">
        <v>4366</v>
      </c>
      <c r="D26" s="5" t="s">
        <v>4412</v>
      </c>
      <c r="E26" s="5" t="s">
        <v>5006</v>
      </c>
      <c r="F26" s="5">
        <v>0</v>
      </c>
      <c r="G26" s="5">
        <v>4</v>
      </c>
      <c r="H26" s="5" t="s">
        <v>116</v>
      </c>
      <c r="I26" s="5">
        <v>43188</v>
      </c>
      <c r="J26" s="5" t="s">
        <v>4417</v>
      </c>
      <c r="K26" s="5" t="s">
        <v>4384</v>
      </c>
      <c r="L26" s="5" t="s">
        <v>4364</v>
      </c>
    </row>
    <row r="27" spans="1:12" x14ac:dyDescent="0.25">
      <c r="A27" s="5" t="s">
        <v>4564</v>
      </c>
      <c r="B27" s="157">
        <v>44837</v>
      </c>
      <c r="C27" s="5" t="s">
        <v>4402</v>
      </c>
      <c r="D27" s="5" t="s">
        <v>4382</v>
      </c>
      <c r="E27" s="5" t="s">
        <v>4395</v>
      </c>
      <c r="F27" s="5">
        <v>0</v>
      </c>
      <c r="G27" s="5">
        <v>2</v>
      </c>
      <c r="H27" s="5" t="s">
        <v>116</v>
      </c>
      <c r="I27" s="5">
        <v>13061</v>
      </c>
      <c r="J27" s="5" t="s">
        <v>4444</v>
      </c>
      <c r="K27" s="5" t="s">
        <v>4375</v>
      </c>
      <c r="L27" s="5" t="s">
        <v>4389</v>
      </c>
    </row>
    <row r="28" spans="1:12" x14ac:dyDescent="0.25">
      <c r="A28" s="5" t="s">
        <v>4898</v>
      </c>
      <c r="B28" s="157">
        <v>44838</v>
      </c>
      <c r="C28" s="5" t="s">
        <v>4353</v>
      </c>
      <c r="D28" s="5" t="s">
        <v>4412</v>
      </c>
      <c r="E28" s="5" t="s">
        <v>4470</v>
      </c>
      <c r="F28" s="5">
        <v>3</v>
      </c>
      <c r="G28" s="5">
        <v>0</v>
      </c>
      <c r="H28" s="5" t="s">
        <v>4367</v>
      </c>
      <c r="I28" s="5">
        <v>0</v>
      </c>
      <c r="J28" s="5" t="s">
        <v>4417</v>
      </c>
      <c r="K28" s="5" t="s">
        <v>1256</v>
      </c>
      <c r="L28" s="5" t="s">
        <v>4389</v>
      </c>
    </row>
    <row r="29" spans="1:12" x14ac:dyDescent="0.25">
      <c r="A29" s="5" t="s">
        <v>4583</v>
      </c>
      <c r="B29" s="157">
        <v>44839</v>
      </c>
      <c r="C29" s="5" t="s">
        <v>4366</v>
      </c>
      <c r="D29" s="5" t="s">
        <v>4386</v>
      </c>
      <c r="E29" s="5" t="s">
        <v>4378</v>
      </c>
      <c r="F29" s="5">
        <v>0</v>
      </c>
      <c r="G29" s="5">
        <v>1</v>
      </c>
      <c r="H29" s="5" t="s">
        <v>116</v>
      </c>
      <c r="I29" s="5">
        <v>11978</v>
      </c>
      <c r="J29" s="5" t="s">
        <v>4442</v>
      </c>
      <c r="K29" s="5" t="s">
        <v>4384</v>
      </c>
      <c r="L29" s="5" t="s">
        <v>1256</v>
      </c>
    </row>
    <row r="30" spans="1:12" x14ac:dyDescent="0.25">
      <c r="A30" s="5" t="s">
        <v>4778</v>
      </c>
      <c r="B30" s="157">
        <v>44839</v>
      </c>
      <c r="C30" s="5" t="s">
        <v>4415</v>
      </c>
      <c r="D30" s="5" t="s">
        <v>4373</v>
      </c>
      <c r="E30" s="5" t="s">
        <v>5006</v>
      </c>
      <c r="F30" s="5">
        <v>3</v>
      </c>
      <c r="G30" s="5">
        <v>1</v>
      </c>
      <c r="H30" s="5" t="s">
        <v>4367</v>
      </c>
      <c r="I30" s="5">
        <v>36153</v>
      </c>
      <c r="J30" s="5" t="s">
        <v>4362</v>
      </c>
      <c r="K30" s="5" t="s">
        <v>4363</v>
      </c>
      <c r="L30" s="5" t="s">
        <v>4389</v>
      </c>
    </row>
    <row r="31" spans="1:12" x14ac:dyDescent="0.25">
      <c r="A31" s="5" t="s">
        <v>4468</v>
      </c>
      <c r="B31" s="157">
        <v>44849</v>
      </c>
      <c r="C31" s="5" t="s">
        <v>4366</v>
      </c>
      <c r="D31" s="5" t="s">
        <v>4395</v>
      </c>
      <c r="E31" s="5" t="s">
        <v>4377</v>
      </c>
      <c r="F31" s="5">
        <v>2</v>
      </c>
      <c r="G31" s="5">
        <v>2</v>
      </c>
      <c r="H31" s="5" t="s">
        <v>4361</v>
      </c>
      <c r="I31" s="5">
        <v>70379</v>
      </c>
      <c r="J31" s="5" t="s">
        <v>4417</v>
      </c>
      <c r="K31" s="5" t="s">
        <v>4356</v>
      </c>
      <c r="L31" s="5" t="s">
        <v>4370</v>
      </c>
    </row>
    <row r="32" spans="1:12" x14ac:dyDescent="0.25">
      <c r="A32" s="5" t="s">
        <v>4727</v>
      </c>
      <c r="B32" s="157">
        <v>44854</v>
      </c>
      <c r="C32" s="5" t="s">
        <v>4402</v>
      </c>
      <c r="D32" s="5" t="s">
        <v>4382</v>
      </c>
      <c r="E32" s="5" t="s">
        <v>4395</v>
      </c>
      <c r="F32" s="5">
        <v>1</v>
      </c>
      <c r="G32" s="5">
        <v>1</v>
      </c>
      <c r="H32" s="5" t="s">
        <v>4361</v>
      </c>
      <c r="I32" s="5">
        <v>77190</v>
      </c>
      <c r="J32" s="5" t="s">
        <v>4442</v>
      </c>
      <c r="K32" s="5" t="s">
        <v>4356</v>
      </c>
      <c r="L32" s="5" t="s">
        <v>4370</v>
      </c>
    </row>
    <row r="33" spans="1:12" x14ac:dyDescent="0.25">
      <c r="A33" s="5" t="s">
        <v>4601</v>
      </c>
      <c r="B33" s="157">
        <v>44857</v>
      </c>
      <c r="C33" s="5" t="s">
        <v>4415</v>
      </c>
      <c r="D33" s="5" t="s">
        <v>4373</v>
      </c>
      <c r="E33" s="5" t="s">
        <v>4369</v>
      </c>
      <c r="F33" s="5">
        <v>2</v>
      </c>
      <c r="G33" s="5">
        <v>3</v>
      </c>
      <c r="H33" s="5" t="s">
        <v>116</v>
      </c>
      <c r="I33" s="5">
        <v>36798</v>
      </c>
      <c r="J33" s="5" t="s">
        <v>4442</v>
      </c>
      <c r="K33" s="5" t="s">
        <v>4375</v>
      </c>
      <c r="L33" s="5" t="s">
        <v>4357</v>
      </c>
    </row>
    <row r="34" spans="1:12" x14ac:dyDescent="0.25">
      <c r="A34" s="5" t="s">
        <v>4670</v>
      </c>
      <c r="B34" s="157">
        <v>44864</v>
      </c>
      <c r="C34" s="5" t="s">
        <v>4366</v>
      </c>
      <c r="D34" s="5" t="s">
        <v>4395</v>
      </c>
      <c r="E34" s="5" t="s">
        <v>4373</v>
      </c>
      <c r="F34" s="5">
        <v>2</v>
      </c>
      <c r="G34" s="5">
        <v>0</v>
      </c>
      <c r="H34" s="5" t="s">
        <v>4367</v>
      </c>
      <c r="I34" s="5">
        <v>34325</v>
      </c>
      <c r="J34" s="5" t="s">
        <v>4383</v>
      </c>
      <c r="K34" s="5" t="s">
        <v>4405</v>
      </c>
      <c r="L34" s="5" t="s">
        <v>4357</v>
      </c>
    </row>
    <row r="35" spans="1:12" x14ac:dyDescent="0.25">
      <c r="A35" s="5" t="s">
        <v>4451</v>
      </c>
      <c r="B35" s="157">
        <v>44864</v>
      </c>
      <c r="C35" s="5" t="s">
        <v>4402</v>
      </c>
      <c r="D35" s="5" t="s">
        <v>4382</v>
      </c>
      <c r="E35" s="5" t="s">
        <v>4372</v>
      </c>
      <c r="F35" s="5">
        <v>2</v>
      </c>
      <c r="G35" s="5">
        <v>2</v>
      </c>
      <c r="H35" s="5" t="s">
        <v>4361</v>
      </c>
      <c r="I35" s="5">
        <v>51963</v>
      </c>
      <c r="J35" s="5" t="s">
        <v>4413</v>
      </c>
      <c r="K35" s="5" t="s">
        <v>4405</v>
      </c>
      <c r="L35" s="5" t="s">
        <v>4357</v>
      </c>
    </row>
    <row r="36" spans="1:12" x14ac:dyDescent="0.25">
      <c r="A36" s="5" t="s">
        <v>4476</v>
      </c>
      <c r="B36" s="157">
        <v>44865</v>
      </c>
      <c r="C36" s="5" t="s">
        <v>4353</v>
      </c>
      <c r="D36" s="5" t="s">
        <v>4395</v>
      </c>
      <c r="E36" s="5" t="s">
        <v>4378</v>
      </c>
      <c r="F36" s="5">
        <v>1</v>
      </c>
      <c r="G36" s="5">
        <v>1</v>
      </c>
      <c r="H36" s="5" t="s">
        <v>4361</v>
      </c>
      <c r="I36" s="5">
        <v>0</v>
      </c>
      <c r="J36" s="5" t="s">
        <v>1256</v>
      </c>
      <c r="K36" s="5" t="s">
        <v>4399</v>
      </c>
      <c r="L36" s="5" t="s">
        <v>4389</v>
      </c>
    </row>
    <row r="37" spans="1:12" x14ac:dyDescent="0.25">
      <c r="A37" s="5" t="s">
        <v>4537</v>
      </c>
      <c r="B37" s="157">
        <v>44870</v>
      </c>
      <c r="C37" s="5" t="s">
        <v>4415</v>
      </c>
      <c r="D37" s="5" t="s">
        <v>4412</v>
      </c>
      <c r="E37" s="5" t="s">
        <v>4354</v>
      </c>
      <c r="F37" s="5">
        <v>3</v>
      </c>
      <c r="G37" s="5">
        <v>0</v>
      </c>
      <c r="H37" s="5" t="s">
        <v>4367</v>
      </c>
      <c r="I37" s="5">
        <v>63833</v>
      </c>
      <c r="J37" s="5" t="s">
        <v>4362</v>
      </c>
      <c r="K37" s="5" t="s">
        <v>4375</v>
      </c>
      <c r="L37" s="5" t="s">
        <v>4364</v>
      </c>
    </row>
    <row r="38" spans="1:12" x14ac:dyDescent="0.25">
      <c r="A38" s="5" t="s">
        <v>4616</v>
      </c>
      <c r="B38" s="157">
        <v>44873</v>
      </c>
      <c r="C38" s="5" t="s">
        <v>4402</v>
      </c>
      <c r="D38" s="5" t="s">
        <v>4470</v>
      </c>
      <c r="E38" s="5" t="s">
        <v>4382</v>
      </c>
      <c r="F38" s="5">
        <v>0</v>
      </c>
      <c r="G38" s="5">
        <v>2</v>
      </c>
      <c r="H38" s="5" t="s">
        <v>116</v>
      </c>
      <c r="I38" s="5">
        <v>10634</v>
      </c>
      <c r="J38" s="5" t="s">
        <v>4380</v>
      </c>
      <c r="K38" s="5" t="s">
        <v>4356</v>
      </c>
      <c r="L38" s="5" t="s">
        <v>4364</v>
      </c>
    </row>
    <row r="39" spans="1:12" x14ac:dyDescent="0.25">
      <c r="A39" s="5" t="s">
        <v>4531</v>
      </c>
      <c r="B39" s="157">
        <v>44875</v>
      </c>
      <c r="C39" s="5" t="s">
        <v>4402</v>
      </c>
      <c r="D39" s="5" t="s">
        <v>4354</v>
      </c>
      <c r="E39" s="5" t="s">
        <v>4372</v>
      </c>
      <c r="F39" s="5">
        <v>2</v>
      </c>
      <c r="G39" s="5">
        <v>1</v>
      </c>
      <c r="H39" s="5" t="s">
        <v>4367</v>
      </c>
      <c r="I39" s="5">
        <v>72156</v>
      </c>
      <c r="J39" s="5" t="s">
        <v>4362</v>
      </c>
      <c r="K39" s="5" t="s">
        <v>1256</v>
      </c>
      <c r="L39" s="5" t="s">
        <v>4364</v>
      </c>
    </row>
    <row r="40" spans="1:12" x14ac:dyDescent="0.25">
      <c r="A40" s="5" t="s">
        <v>4643</v>
      </c>
      <c r="B40" s="157">
        <v>44875</v>
      </c>
      <c r="C40" s="5" t="s">
        <v>4402</v>
      </c>
      <c r="D40" s="5" t="s">
        <v>4373</v>
      </c>
      <c r="E40" s="5" t="s">
        <v>4424</v>
      </c>
      <c r="F40" s="5">
        <v>1</v>
      </c>
      <c r="G40" s="5">
        <v>2</v>
      </c>
      <c r="H40" s="5" t="s">
        <v>116</v>
      </c>
      <c r="I40" s="5">
        <v>0</v>
      </c>
      <c r="J40" s="5" t="s">
        <v>4374</v>
      </c>
      <c r="K40" s="5" t="s">
        <v>1256</v>
      </c>
      <c r="L40" s="5" t="s">
        <v>4357</v>
      </c>
    </row>
    <row r="41" spans="1:12" x14ac:dyDescent="0.25">
      <c r="A41" s="5" t="s">
        <v>4677</v>
      </c>
      <c r="B41" s="157">
        <v>44875</v>
      </c>
      <c r="C41" s="5" t="s">
        <v>4353</v>
      </c>
      <c r="D41" s="5" t="s">
        <v>4412</v>
      </c>
      <c r="E41" s="5" t="s">
        <v>4440</v>
      </c>
      <c r="F41" s="5">
        <v>1</v>
      </c>
      <c r="G41" s="5">
        <v>2</v>
      </c>
      <c r="H41" s="5" t="s">
        <v>116</v>
      </c>
      <c r="I41" s="5">
        <v>37512</v>
      </c>
      <c r="J41" s="5" t="s">
        <v>4417</v>
      </c>
      <c r="K41" s="5" t="s">
        <v>4384</v>
      </c>
      <c r="L41" s="5" t="s">
        <v>1256</v>
      </c>
    </row>
    <row r="42" spans="1:12" x14ac:dyDescent="0.25">
      <c r="A42" s="5" t="s">
        <v>4700</v>
      </c>
      <c r="B42" s="157">
        <v>44881</v>
      </c>
      <c r="C42" s="5" t="s">
        <v>4402</v>
      </c>
      <c r="D42" s="5" t="s">
        <v>4382</v>
      </c>
      <c r="E42" s="5" t="s">
        <v>4373</v>
      </c>
      <c r="F42" s="5">
        <v>0</v>
      </c>
      <c r="G42" s="5">
        <v>1</v>
      </c>
      <c r="H42" s="5" t="s">
        <v>116</v>
      </c>
      <c r="I42" s="5">
        <v>21678</v>
      </c>
      <c r="J42" s="5" t="s">
        <v>4417</v>
      </c>
      <c r="K42" s="5" t="s">
        <v>4356</v>
      </c>
      <c r="L42" s="5" t="s">
        <v>4357</v>
      </c>
    </row>
    <row r="43" spans="1:12" x14ac:dyDescent="0.25">
      <c r="A43" s="5" t="s">
        <v>4719</v>
      </c>
      <c r="B43" s="157">
        <v>44887</v>
      </c>
      <c r="C43" s="5" t="s">
        <v>4353</v>
      </c>
      <c r="D43" s="5" t="s">
        <v>4369</v>
      </c>
      <c r="E43" s="5" t="s">
        <v>4377</v>
      </c>
      <c r="F43" s="5">
        <v>3</v>
      </c>
      <c r="G43" s="5">
        <v>2</v>
      </c>
      <c r="H43" s="5" t="s">
        <v>4367</v>
      </c>
      <c r="I43" s="5">
        <v>30081</v>
      </c>
      <c r="J43" s="5" t="s">
        <v>4444</v>
      </c>
      <c r="K43" s="5" t="s">
        <v>4363</v>
      </c>
      <c r="L43" s="5" t="s">
        <v>1256</v>
      </c>
    </row>
    <row r="44" spans="1:12" x14ac:dyDescent="0.25">
      <c r="A44" s="5" t="s">
        <v>4432</v>
      </c>
      <c r="B44" s="157">
        <v>44888</v>
      </c>
      <c r="C44" s="5" t="s">
        <v>4366</v>
      </c>
      <c r="D44" s="5" t="s">
        <v>4386</v>
      </c>
      <c r="E44" s="5" t="s">
        <v>5006</v>
      </c>
      <c r="F44" s="5">
        <v>3</v>
      </c>
      <c r="G44" s="5">
        <v>4</v>
      </c>
      <c r="H44" s="5" t="s">
        <v>116</v>
      </c>
      <c r="I44" s="5">
        <v>59411</v>
      </c>
      <c r="J44" s="5" t="s">
        <v>4383</v>
      </c>
      <c r="K44" s="5" t="s">
        <v>4356</v>
      </c>
      <c r="L44" s="5" t="s">
        <v>4389</v>
      </c>
    </row>
    <row r="45" spans="1:12" x14ac:dyDescent="0.25">
      <c r="A45" s="5" t="s">
        <v>4596</v>
      </c>
      <c r="B45" s="157">
        <v>44889</v>
      </c>
      <c r="C45" s="5" t="s">
        <v>4366</v>
      </c>
      <c r="D45" s="5" t="s">
        <v>4412</v>
      </c>
      <c r="E45" s="5" t="s">
        <v>4412</v>
      </c>
      <c r="F45" s="5">
        <v>1</v>
      </c>
      <c r="G45" s="5">
        <v>1</v>
      </c>
      <c r="H45" s="5" t="s">
        <v>4361</v>
      </c>
      <c r="I45" s="5">
        <v>71150</v>
      </c>
      <c r="J45" s="5" t="s">
        <v>4374</v>
      </c>
      <c r="K45" s="5" t="s">
        <v>4363</v>
      </c>
      <c r="L45" s="5" t="s">
        <v>4364</v>
      </c>
    </row>
    <row r="46" spans="1:12" x14ac:dyDescent="0.25">
      <c r="A46" s="5" t="s">
        <v>4593</v>
      </c>
      <c r="B46" s="157">
        <v>44890</v>
      </c>
      <c r="C46" s="5" t="s">
        <v>4366</v>
      </c>
      <c r="D46" s="5" t="s">
        <v>4354</v>
      </c>
      <c r="E46" s="5" t="s">
        <v>4373</v>
      </c>
      <c r="F46" s="5">
        <v>3</v>
      </c>
      <c r="G46" s="5">
        <v>3</v>
      </c>
      <c r="H46" s="5" t="s">
        <v>4361</v>
      </c>
      <c r="I46" s="5">
        <v>61465</v>
      </c>
      <c r="J46" s="5" t="s">
        <v>4417</v>
      </c>
      <c r="K46" s="5" t="s">
        <v>4363</v>
      </c>
      <c r="L46" s="5" t="s">
        <v>1256</v>
      </c>
    </row>
    <row r="47" spans="1:12" x14ac:dyDescent="0.25">
      <c r="A47" s="5" t="s">
        <v>4580</v>
      </c>
      <c r="B47" s="157">
        <v>44898</v>
      </c>
      <c r="C47" s="5" t="s">
        <v>4402</v>
      </c>
      <c r="D47" s="5" t="s">
        <v>4360</v>
      </c>
      <c r="E47" s="5" t="s">
        <v>4382</v>
      </c>
      <c r="F47" s="5">
        <v>1</v>
      </c>
      <c r="G47" s="5">
        <v>2</v>
      </c>
      <c r="H47" s="5" t="s">
        <v>116</v>
      </c>
      <c r="I47" s="5">
        <v>56874</v>
      </c>
      <c r="J47" s="5" t="s">
        <v>4413</v>
      </c>
      <c r="K47" s="5" t="s">
        <v>4399</v>
      </c>
      <c r="L47" s="5" t="s">
        <v>4364</v>
      </c>
    </row>
    <row r="48" spans="1:12" x14ac:dyDescent="0.25">
      <c r="A48" s="5" t="s">
        <v>4505</v>
      </c>
      <c r="B48" s="157">
        <v>44912</v>
      </c>
      <c r="C48" s="5" t="s">
        <v>4415</v>
      </c>
      <c r="D48" s="5" t="s">
        <v>4373</v>
      </c>
      <c r="E48" s="5" t="s">
        <v>4387</v>
      </c>
      <c r="F48" s="5">
        <v>1</v>
      </c>
      <c r="G48" s="5">
        <v>3</v>
      </c>
      <c r="H48" s="5" t="s">
        <v>116</v>
      </c>
      <c r="I48" s="5">
        <v>14810</v>
      </c>
      <c r="J48" s="5" t="s">
        <v>4421</v>
      </c>
      <c r="K48" s="5" t="s">
        <v>1256</v>
      </c>
      <c r="L48" s="5" t="s">
        <v>1256</v>
      </c>
    </row>
    <row r="49" spans="1:12" x14ac:dyDescent="0.25">
      <c r="A49" s="5" t="s">
        <v>4811</v>
      </c>
      <c r="B49" s="157">
        <v>44913</v>
      </c>
      <c r="C49" s="5" t="s">
        <v>4415</v>
      </c>
      <c r="D49" s="5" t="s">
        <v>4412</v>
      </c>
      <c r="E49" s="5" t="s">
        <v>4372</v>
      </c>
      <c r="F49" s="5">
        <v>2</v>
      </c>
      <c r="G49" s="5">
        <v>1</v>
      </c>
      <c r="H49" s="5" t="s">
        <v>4367</v>
      </c>
      <c r="I49" s="5">
        <v>40771</v>
      </c>
      <c r="J49" s="5" t="s">
        <v>4362</v>
      </c>
      <c r="K49" s="5" t="s">
        <v>4399</v>
      </c>
      <c r="L49" s="5" t="s">
        <v>4364</v>
      </c>
    </row>
    <row r="50" spans="1:12" x14ac:dyDescent="0.25">
      <c r="A50" s="5" t="s">
        <v>4590</v>
      </c>
      <c r="B50" s="157">
        <v>44914</v>
      </c>
      <c r="C50" s="5" t="s">
        <v>4353</v>
      </c>
      <c r="D50" s="5" t="s">
        <v>4412</v>
      </c>
      <c r="E50" s="5" t="s">
        <v>4372</v>
      </c>
      <c r="F50" s="5">
        <v>1</v>
      </c>
      <c r="G50" s="5">
        <v>2</v>
      </c>
      <c r="H50" s="5" t="s">
        <v>116</v>
      </c>
      <c r="I50" s="5">
        <v>38317</v>
      </c>
      <c r="J50" s="5" t="s">
        <v>4355</v>
      </c>
      <c r="K50" s="5" t="s">
        <v>4375</v>
      </c>
      <c r="L50" s="5" t="s">
        <v>4364</v>
      </c>
    </row>
    <row r="51" spans="1:12" x14ac:dyDescent="0.25">
      <c r="A51" s="5" t="s">
        <v>4408</v>
      </c>
      <c r="B51" s="157">
        <v>44914</v>
      </c>
      <c r="C51" s="5" t="s">
        <v>4415</v>
      </c>
      <c r="D51" s="5" t="s">
        <v>4372</v>
      </c>
      <c r="E51" s="5" t="s">
        <v>4386</v>
      </c>
      <c r="F51" s="5">
        <v>1</v>
      </c>
      <c r="G51" s="5">
        <v>1</v>
      </c>
      <c r="H51" s="5" t="s">
        <v>4361</v>
      </c>
      <c r="I51" s="5">
        <v>10670</v>
      </c>
      <c r="J51" s="5" t="s">
        <v>4409</v>
      </c>
      <c r="K51" s="5" t="s">
        <v>1256</v>
      </c>
      <c r="L51" s="5" t="s">
        <v>4364</v>
      </c>
    </row>
    <row r="52" spans="1:12" x14ac:dyDescent="0.25">
      <c r="A52" s="5" t="s">
        <v>4967</v>
      </c>
      <c r="B52" s="157">
        <v>44914</v>
      </c>
      <c r="C52" s="5" t="s">
        <v>4402</v>
      </c>
      <c r="D52" s="5" t="s">
        <v>4395</v>
      </c>
      <c r="E52" s="5" t="s">
        <v>4470</v>
      </c>
      <c r="F52" s="5">
        <v>1</v>
      </c>
      <c r="G52" s="5">
        <v>1</v>
      </c>
      <c r="H52" s="5" t="s">
        <v>4361</v>
      </c>
      <c r="I52" s="5">
        <v>67845</v>
      </c>
      <c r="J52" s="5" t="s">
        <v>4388</v>
      </c>
      <c r="K52" s="5" t="s">
        <v>1256</v>
      </c>
      <c r="L52" s="5" t="s">
        <v>4389</v>
      </c>
    </row>
    <row r="53" spans="1:12" x14ac:dyDescent="0.25">
      <c r="A53" s="5" t="s">
        <v>4737</v>
      </c>
      <c r="B53" s="157">
        <v>44915</v>
      </c>
      <c r="C53" s="5" t="s">
        <v>4353</v>
      </c>
      <c r="D53" s="5" t="s">
        <v>4412</v>
      </c>
      <c r="E53" s="5" t="s">
        <v>4377</v>
      </c>
      <c r="F53" s="5">
        <v>5</v>
      </c>
      <c r="G53" s="5">
        <v>1</v>
      </c>
      <c r="H53" s="5" t="s">
        <v>4367</v>
      </c>
      <c r="I53" s="5">
        <v>0</v>
      </c>
      <c r="J53" s="5" t="s">
        <v>4444</v>
      </c>
      <c r="K53" s="5" t="s">
        <v>4356</v>
      </c>
      <c r="L53" s="5" t="s">
        <v>1256</v>
      </c>
    </row>
    <row r="54" spans="1:12" x14ac:dyDescent="0.25">
      <c r="A54" s="5" t="s">
        <v>4407</v>
      </c>
      <c r="B54" s="157">
        <v>44922</v>
      </c>
      <c r="C54" s="5" t="s">
        <v>4353</v>
      </c>
      <c r="D54" s="5" t="s">
        <v>4386</v>
      </c>
      <c r="E54" s="5" t="s">
        <v>4412</v>
      </c>
      <c r="F54" s="5">
        <v>1</v>
      </c>
      <c r="G54" s="5">
        <v>2</v>
      </c>
      <c r="H54" s="5" t="s">
        <v>116</v>
      </c>
      <c r="I54" s="5">
        <v>47998</v>
      </c>
      <c r="J54" s="5" t="s">
        <v>4362</v>
      </c>
      <c r="K54" s="5" t="s">
        <v>4375</v>
      </c>
      <c r="L54" s="5" t="s">
        <v>4370</v>
      </c>
    </row>
    <row r="55" spans="1:12" x14ac:dyDescent="0.25">
      <c r="A55" s="5" t="s">
        <v>4515</v>
      </c>
      <c r="B55" s="157">
        <v>44922</v>
      </c>
      <c r="C55" s="5" t="s">
        <v>4415</v>
      </c>
      <c r="D55" s="5" t="s">
        <v>4424</v>
      </c>
      <c r="E55" s="5" t="s">
        <v>4386</v>
      </c>
      <c r="F55" s="5">
        <v>2</v>
      </c>
      <c r="G55" s="5">
        <v>1</v>
      </c>
      <c r="H55" s="5" t="s">
        <v>4367</v>
      </c>
      <c r="I55" s="5">
        <v>75777</v>
      </c>
      <c r="J55" s="5" t="s">
        <v>4388</v>
      </c>
      <c r="K55" s="5" t="s">
        <v>1256</v>
      </c>
      <c r="L55" s="5" t="s">
        <v>4364</v>
      </c>
    </row>
    <row r="56" spans="1:12" x14ac:dyDescent="0.25">
      <c r="A56" s="5" t="s">
        <v>4530</v>
      </c>
      <c r="B56" s="157">
        <v>44923</v>
      </c>
      <c r="C56" s="5" t="s">
        <v>4415</v>
      </c>
      <c r="D56" s="5" t="s">
        <v>4382</v>
      </c>
      <c r="E56" s="5" t="s">
        <v>4386</v>
      </c>
      <c r="F56" s="5">
        <v>1</v>
      </c>
      <c r="G56" s="5">
        <v>0</v>
      </c>
      <c r="H56" s="5" t="s">
        <v>4367</v>
      </c>
      <c r="I56" s="5">
        <v>0</v>
      </c>
      <c r="J56" s="5" t="s">
        <v>4355</v>
      </c>
      <c r="K56" s="5" t="s">
        <v>1256</v>
      </c>
      <c r="L56" s="5" t="s">
        <v>4370</v>
      </c>
    </row>
    <row r="57" spans="1:12" x14ac:dyDescent="0.25">
      <c r="A57" s="5" t="s">
        <v>4814</v>
      </c>
      <c r="B57" s="157">
        <v>44924</v>
      </c>
      <c r="C57" s="5" t="s">
        <v>4415</v>
      </c>
      <c r="D57" s="5" t="s">
        <v>4386</v>
      </c>
      <c r="E57" s="5" t="s">
        <v>4424</v>
      </c>
      <c r="F57" s="5">
        <v>2</v>
      </c>
      <c r="G57" s="5">
        <v>2</v>
      </c>
      <c r="H57" s="5" t="s">
        <v>4361</v>
      </c>
      <c r="I57" s="5">
        <v>54245</v>
      </c>
      <c r="J57" s="5" t="s">
        <v>4380</v>
      </c>
      <c r="K57" s="5" t="s">
        <v>4384</v>
      </c>
      <c r="L57" s="5" t="s">
        <v>4370</v>
      </c>
    </row>
    <row r="58" spans="1:12" x14ac:dyDescent="0.25">
      <c r="A58" s="5" t="s">
        <v>4519</v>
      </c>
      <c r="B58" s="157">
        <v>44925</v>
      </c>
      <c r="C58" s="5" t="s">
        <v>4415</v>
      </c>
      <c r="D58" s="5" t="s">
        <v>4430</v>
      </c>
      <c r="E58" s="5" t="s">
        <v>4424</v>
      </c>
      <c r="F58" s="5">
        <v>1</v>
      </c>
      <c r="G58" s="5">
        <v>0</v>
      </c>
      <c r="H58" s="5" t="s">
        <v>1256</v>
      </c>
      <c r="I58" s="5">
        <v>18330</v>
      </c>
      <c r="J58" s="5" t="s">
        <v>4442</v>
      </c>
      <c r="K58" s="5" t="s">
        <v>4375</v>
      </c>
      <c r="L58" s="5" t="s">
        <v>4370</v>
      </c>
    </row>
    <row r="59" spans="1:12" x14ac:dyDescent="0.25">
      <c r="A59" s="5" t="s">
        <v>4581</v>
      </c>
      <c r="B59" s="157">
        <v>44928</v>
      </c>
      <c r="C59" s="5" t="s">
        <v>4366</v>
      </c>
      <c r="D59" s="5" t="s">
        <v>4378</v>
      </c>
      <c r="E59" s="5" t="s">
        <v>4373</v>
      </c>
      <c r="F59" s="5">
        <v>1</v>
      </c>
      <c r="G59" s="5">
        <v>3</v>
      </c>
      <c r="H59" s="5" t="s">
        <v>116</v>
      </c>
      <c r="I59" s="5">
        <v>21333</v>
      </c>
      <c r="J59" s="5" t="s">
        <v>4374</v>
      </c>
      <c r="K59" s="5" t="s">
        <v>1256</v>
      </c>
      <c r="L59" s="5" t="s">
        <v>1256</v>
      </c>
    </row>
    <row r="60" spans="1:12" x14ac:dyDescent="0.25">
      <c r="A60" s="5" t="s">
        <v>4483</v>
      </c>
      <c r="B60" s="157">
        <v>44930</v>
      </c>
      <c r="C60" s="5" t="s">
        <v>4366</v>
      </c>
      <c r="D60" s="5" t="s">
        <v>4470</v>
      </c>
      <c r="E60" s="5" t="s">
        <v>4382</v>
      </c>
      <c r="F60" s="5">
        <v>2</v>
      </c>
      <c r="G60" s="5">
        <v>4</v>
      </c>
      <c r="H60" s="5" t="s">
        <v>116</v>
      </c>
      <c r="I60" s="5">
        <v>12588</v>
      </c>
      <c r="J60" s="5" t="s">
        <v>4398</v>
      </c>
      <c r="K60" s="5" t="s">
        <v>4405</v>
      </c>
      <c r="L60" s="5" t="s">
        <v>4364</v>
      </c>
    </row>
    <row r="61" spans="1:12" x14ac:dyDescent="0.25">
      <c r="A61" s="5" t="s">
        <v>4560</v>
      </c>
      <c r="B61" s="157">
        <v>44931</v>
      </c>
      <c r="C61" s="5" t="s">
        <v>4402</v>
      </c>
      <c r="D61" s="5" t="s">
        <v>4440</v>
      </c>
      <c r="E61" s="5" t="s">
        <v>4378</v>
      </c>
      <c r="F61" s="5">
        <v>2</v>
      </c>
      <c r="G61" s="5">
        <v>2</v>
      </c>
      <c r="H61" s="5" t="s">
        <v>4361</v>
      </c>
      <c r="I61" s="5">
        <v>49707</v>
      </c>
      <c r="J61" s="5" t="s">
        <v>4417</v>
      </c>
      <c r="K61" s="5" t="s">
        <v>4396</v>
      </c>
      <c r="L61" s="5" t="s">
        <v>1256</v>
      </c>
    </row>
    <row r="62" spans="1:12" x14ac:dyDescent="0.25">
      <c r="A62" s="5" t="s">
        <v>4713</v>
      </c>
      <c r="B62" s="157">
        <v>44935</v>
      </c>
      <c r="C62" s="5" t="s">
        <v>4415</v>
      </c>
      <c r="D62" s="5" t="s">
        <v>4412</v>
      </c>
      <c r="E62" s="5" t="s">
        <v>4403</v>
      </c>
      <c r="F62" s="5">
        <v>2</v>
      </c>
      <c r="G62" s="5">
        <v>1</v>
      </c>
      <c r="H62" s="5" t="s">
        <v>4367</v>
      </c>
      <c r="I62" s="5">
        <v>78805</v>
      </c>
      <c r="J62" s="5" t="s">
        <v>1256</v>
      </c>
      <c r="K62" s="5" t="s">
        <v>4405</v>
      </c>
      <c r="L62" s="5" t="s">
        <v>4364</v>
      </c>
    </row>
    <row r="63" spans="1:12" x14ac:dyDescent="0.25">
      <c r="A63" s="5" t="s">
        <v>4787</v>
      </c>
      <c r="B63" s="157">
        <v>44937</v>
      </c>
      <c r="C63" s="5" t="s">
        <v>1256</v>
      </c>
      <c r="D63" s="5" t="s">
        <v>4373</v>
      </c>
      <c r="E63" s="5" t="s">
        <v>4440</v>
      </c>
      <c r="F63" s="5">
        <v>2</v>
      </c>
      <c r="G63" s="5">
        <v>2</v>
      </c>
      <c r="H63" s="5" t="s">
        <v>4361</v>
      </c>
      <c r="I63" s="5">
        <v>76789</v>
      </c>
      <c r="J63" s="5" t="s">
        <v>4388</v>
      </c>
      <c r="K63" s="5" t="s">
        <v>4399</v>
      </c>
      <c r="L63" s="5" t="s">
        <v>4389</v>
      </c>
    </row>
    <row r="64" spans="1:12" x14ac:dyDescent="0.25">
      <c r="A64" s="5" t="s">
        <v>4810</v>
      </c>
      <c r="B64" s="157">
        <v>44941</v>
      </c>
      <c r="C64" s="5" t="s">
        <v>4359</v>
      </c>
      <c r="D64" s="5" t="s">
        <v>4354</v>
      </c>
      <c r="E64" s="5" t="s">
        <v>4372</v>
      </c>
      <c r="F64" s="5">
        <v>2</v>
      </c>
      <c r="G64" s="5">
        <v>2</v>
      </c>
      <c r="H64" s="5" t="s">
        <v>4361</v>
      </c>
      <c r="I64" s="5">
        <v>18737</v>
      </c>
      <c r="J64" s="5" t="s">
        <v>4362</v>
      </c>
      <c r="K64" s="5" t="s">
        <v>4375</v>
      </c>
      <c r="L64" s="5" t="s">
        <v>4357</v>
      </c>
    </row>
    <row r="65" spans="1:12" x14ac:dyDescent="0.25">
      <c r="A65" s="5" t="s">
        <v>4754</v>
      </c>
      <c r="B65" s="157">
        <v>44942</v>
      </c>
      <c r="C65" s="5" t="s">
        <v>4415</v>
      </c>
      <c r="D65" s="5" t="s">
        <v>4387</v>
      </c>
      <c r="E65" s="5" t="s">
        <v>1256</v>
      </c>
      <c r="F65" s="5">
        <v>1</v>
      </c>
      <c r="G65" s="5">
        <v>1</v>
      </c>
      <c r="H65" s="5" t="s">
        <v>4361</v>
      </c>
      <c r="I65" s="5">
        <v>59568</v>
      </c>
      <c r="J65" s="5" t="s">
        <v>4383</v>
      </c>
      <c r="K65" s="5" t="s">
        <v>4363</v>
      </c>
      <c r="L65" s="5" t="s">
        <v>4357</v>
      </c>
    </row>
    <row r="66" spans="1:12" x14ac:dyDescent="0.25">
      <c r="A66" s="5" t="s">
        <v>4491</v>
      </c>
      <c r="B66" s="157">
        <v>44946</v>
      </c>
      <c r="C66" s="5" t="s">
        <v>4366</v>
      </c>
      <c r="D66" s="5" t="s">
        <v>4373</v>
      </c>
      <c r="E66" s="5" t="s">
        <v>4382</v>
      </c>
      <c r="F66" s="5">
        <v>1</v>
      </c>
      <c r="G66" s="5">
        <v>2</v>
      </c>
      <c r="H66" s="5" t="s">
        <v>116</v>
      </c>
      <c r="I66" s="5">
        <v>45845</v>
      </c>
      <c r="J66" s="5" t="s">
        <v>4413</v>
      </c>
      <c r="K66" s="5" t="s">
        <v>4399</v>
      </c>
      <c r="L66" s="5" t="s">
        <v>1256</v>
      </c>
    </row>
    <row r="67" spans="1:12" x14ac:dyDescent="0.25">
      <c r="A67" s="5" t="s">
        <v>4894</v>
      </c>
      <c r="B67" s="157">
        <v>44949</v>
      </c>
      <c r="C67" s="5" t="s">
        <v>4366</v>
      </c>
      <c r="D67" s="5" t="s">
        <v>1256</v>
      </c>
      <c r="E67" s="5" t="s">
        <v>4412</v>
      </c>
      <c r="F67" s="5">
        <v>2</v>
      </c>
      <c r="G67" s="5">
        <v>3</v>
      </c>
      <c r="H67" s="5" t="s">
        <v>116</v>
      </c>
      <c r="I67" s="5">
        <v>24983</v>
      </c>
      <c r="J67" s="5" t="s">
        <v>1256</v>
      </c>
      <c r="K67" s="5" t="s">
        <v>1256</v>
      </c>
      <c r="L67" s="5" t="s">
        <v>4364</v>
      </c>
    </row>
    <row r="68" spans="1:12" x14ac:dyDescent="0.25">
      <c r="A68" s="5" t="s">
        <v>4998</v>
      </c>
      <c r="B68" s="157">
        <v>44949</v>
      </c>
      <c r="C68" s="5" t="s">
        <v>4415</v>
      </c>
      <c r="D68" s="5" t="s">
        <v>4378</v>
      </c>
      <c r="E68" s="5" t="s">
        <v>4377</v>
      </c>
      <c r="F68" s="5">
        <v>0</v>
      </c>
      <c r="G68" s="5">
        <v>4</v>
      </c>
      <c r="H68" s="5" t="s">
        <v>116</v>
      </c>
      <c r="I68" s="5">
        <v>54156</v>
      </c>
      <c r="J68" s="5" t="s">
        <v>4388</v>
      </c>
      <c r="K68" s="5" t="s">
        <v>4363</v>
      </c>
      <c r="L68" s="5" t="s">
        <v>4364</v>
      </c>
    </row>
    <row r="69" spans="1:12" x14ac:dyDescent="0.25">
      <c r="A69" s="5" t="s">
        <v>4774</v>
      </c>
      <c r="B69" s="157">
        <v>44954</v>
      </c>
      <c r="C69" s="5" t="s">
        <v>4402</v>
      </c>
      <c r="D69" s="5" t="s">
        <v>4360</v>
      </c>
      <c r="E69" s="5" t="s">
        <v>4354</v>
      </c>
      <c r="F69" s="5">
        <v>0</v>
      </c>
      <c r="G69" s="5">
        <v>1</v>
      </c>
      <c r="H69" s="5" t="s">
        <v>116</v>
      </c>
      <c r="I69" s="5">
        <v>61373</v>
      </c>
      <c r="J69" s="5" t="s">
        <v>4421</v>
      </c>
      <c r="K69" s="5" t="s">
        <v>1256</v>
      </c>
      <c r="L69" s="5" t="s">
        <v>4364</v>
      </c>
    </row>
    <row r="70" spans="1:12" x14ac:dyDescent="0.25">
      <c r="A70" s="5" t="s">
        <v>4459</v>
      </c>
      <c r="B70" s="157">
        <v>44958</v>
      </c>
      <c r="C70" s="5" t="s">
        <v>4366</v>
      </c>
      <c r="D70" s="5" t="s">
        <v>1256</v>
      </c>
      <c r="E70" s="5" t="s">
        <v>4412</v>
      </c>
      <c r="F70" s="5">
        <v>2</v>
      </c>
      <c r="G70" s="5">
        <v>2</v>
      </c>
      <c r="H70" s="5" t="s">
        <v>4361</v>
      </c>
      <c r="I70" s="5">
        <v>54125</v>
      </c>
      <c r="J70" s="5" t="s">
        <v>4383</v>
      </c>
      <c r="K70" s="5" t="s">
        <v>4396</v>
      </c>
      <c r="L70" s="5" t="s">
        <v>4389</v>
      </c>
    </row>
    <row r="71" spans="1:12" x14ac:dyDescent="0.25">
      <c r="A71" s="5" t="s">
        <v>4984</v>
      </c>
      <c r="B71" s="157">
        <v>44959</v>
      </c>
      <c r="C71" s="5" t="s">
        <v>4366</v>
      </c>
      <c r="D71" s="5" t="s">
        <v>4470</v>
      </c>
      <c r="E71" s="5" t="s">
        <v>4424</v>
      </c>
      <c r="F71" s="5">
        <v>1</v>
      </c>
      <c r="G71" s="5">
        <v>2</v>
      </c>
      <c r="H71" s="5" t="s">
        <v>116</v>
      </c>
      <c r="I71" s="5">
        <v>13786</v>
      </c>
      <c r="J71" s="5" t="s">
        <v>4409</v>
      </c>
      <c r="K71" s="5" t="s">
        <v>4363</v>
      </c>
      <c r="L71" s="5" t="s">
        <v>4389</v>
      </c>
    </row>
    <row r="72" spans="1:12" x14ac:dyDescent="0.25">
      <c r="A72" s="5" t="s">
        <v>4730</v>
      </c>
      <c r="B72" s="157">
        <v>44960</v>
      </c>
      <c r="C72" s="5" t="s">
        <v>4353</v>
      </c>
      <c r="D72" s="5" t="s">
        <v>4386</v>
      </c>
      <c r="E72" s="5" t="s">
        <v>4412</v>
      </c>
      <c r="F72" s="5">
        <v>3</v>
      </c>
      <c r="G72" s="5">
        <v>5</v>
      </c>
      <c r="H72" s="5" t="s">
        <v>116</v>
      </c>
      <c r="I72" s="5">
        <v>75128</v>
      </c>
      <c r="J72" s="5" t="s">
        <v>4442</v>
      </c>
      <c r="K72" s="5" t="s">
        <v>4384</v>
      </c>
      <c r="L72" s="5" t="s">
        <v>1256</v>
      </c>
    </row>
    <row r="73" spans="1:12" x14ac:dyDescent="0.25">
      <c r="A73" s="5" t="s">
        <v>4995</v>
      </c>
      <c r="B73" s="157">
        <v>44960</v>
      </c>
      <c r="C73" s="5" t="s">
        <v>4366</v>
      </c>
      <c r="D73" s="5" t="s">
        <v>4412</v>
      </c>
      <c r="E73" s="5" t="s">
        <v>4360</v>
      </c>
      <c r="F73" s="5">
        <v>3</v>
      </c>
      <c r="G73" s="5">
        <v>1</v>
      </c>
      <c r="H73" s="5" t="s">
        <v>4367</v>
      </c>
      <c r="I73" s="5">
        <v>65565</v>
      </c>
      <c r="J73" s="5" t="s">
        <v>4380</v>
      </c>
      <c r="K73" s="5" t="s">
        <v>4375</v>
      </c>
      <c r="L73" s="5" t="s">
        <v>4370</v>
      </c>
    </row>
    <row r="74" spans="1:12" x14ac:dyDescent="0.25">
      <c r="A74" s="5" t="s">
        <v>4652</v>
      </c>
      <c r="B74" s="157">
        <v>44961</v>
      </c>
      <c r="C74" s="5" t="s">
        <v>4415</v>
      </c>
      <c r="D74" s="5" t="s">
        <v>4395</v>
      </c>
      <c r="E74" s="5" t="s">
        <v>4369</v>
      </c>
      <c r="F74" s="5">
        <v>2</v>
      </c>
      <c r="G74" s="5">
        <v>1</v>
      </c>
      <c r="H74" s="5" t="s">
        <v>4367</v>
      </c>
      <c r="I74" s="5">
        <v>16334</v>
      </c>
      <c r="J74" s="5" t="s">
        <v>4383</v>
      </c>
      <c r="K74" s="5" t="s">
        <v>4356</v>
      </c>
      <c r="L74" s="5" t="s">
        <v>1256</v>
      </c>
    </row>
    <row r="75" spans="1:12" x14ac:dyDescent="0.25">
      <c r="A75" s="5" t="s">
        <v>4889</v>
      </c>
      <c r="B75" s="157">
        <v>44964</v>
      </c>
      <c r="C75" s="5" t="s">
        <v>4366</v>
      </c>
      <c r="D75" s="5" t="s">
        <v>4354</v>
      </c>
      <c r="E75" s="5" t="s">
        <v>4424</v>
      </c>
      <c r="F75" s="5">
        <v>2</v>
      </c>
      <c r="G75" s="5">
        <v>0</v>
      </c>
      <c r="H75" s="5" t="s">
        <v>4367</v>
      </c>
      <c r="I75" s="5">
        <v>79185</v>
      </c>
      <c r="J75" s="5" t="s">
        <v>4398</v>
      </c>
      <c r="K75" s="5" t="s">
        <v>4399</v>
      </c>
      <c r="L75" s="5" t="s">
        <v>1256</v>
      </c>
    </row>
    <row r="76" spans="1:12" x14ac:dyDescent="0.25">
      <c r="A76" s="5" t="s">
        <v>4732</v>
      </c>
      <c r="B76" s="157">
        <v>44968</v>
      </c>
      <c r="C76" s="5" t="s">
        <v>4415</v>
      </c>
      <c r="D76" s="5" t="s">
        <v>4387</v>
      </c>
      <c r="E76" s="5" t="s">
        <v>4424</v>
      </c>
      <c r="F76" s="5">
        <v>3</v>
      </c>
      <c r="G76" s="5">
        <v>4</v>
      </c>
      <c r="H76" s="5" t="s">
        <v>116</v>
      </c>
      <c r="I76" s="5">
        <v>26639</v>
      </c>
      <c r="J76" s="5" t="s">
        <v>4417</v>
      </c>
      <c r="K76" s="5" t="s">
        <v>4356</v>
      </c>
      <c r="L76" s="5" t="s">
        <v>4370</v>
      </c>
    </row>
    <row r="77" spans="1:12" x14ac:dyDescent="0.25">
      <c r="A77" s="5" t="s">
        <v>4952</v>
      </c>
      <c r="B77" s="157">
        <v>44977</v>
      </c>
      <c r="C77" s="5" t="s">
        <v>4353</v>
      </c>
      <c r="D77" s="5" t="s">
        <v>4430</v>
      </c>
      <c r="E77" s="5" t="s">
        <v>4387</v>
      </c>
      <c r="F77" s="5">
        <v>4</v>
      </c>
      <c r="G77" s="5">
        <v>1</v>
      </c>
      <c r="H77" s="5" t="s">
        <v>4367</v>
      </c>
      <c r="I77" s="5">
        <v>43187</v>
      </c>
      <c r="J77" s="5" t="s">
        <v>4417</v>
      </c>
      <c r="K77" s="5" t="s">
        <v>4375</v>
      </c>
      <c r="L77" s="5" t="s">
        <v>4389</v>
      </c>
    </row>
    <row r="78" spans="1:12" x14ac:dyDescent="0.25">
      <c r="A78" s="5" t="s">
        <v>4466</v>
      </c>
      <c r="B78" s="157">
        <v>44978</v>
      </c>
      <c r="C78" s="5" t="s">
        <v>4353</v>
      </c>
      <c r="D78" s="5" t="s">
        <v>4378</v>
      </c>
      <c r="E78" s="5" t="s">
        <v>4412</v>
      </c>
      <c r="F78" s="5">
        <v>3</v>
      </c>
      <c r="G78" s="5">
        <v>3</v>
      </c>
      <c r="H78" s="5" t="s">
        <v>4361</v>
      </c>
      <c r="I78" s="5">
        <v>55714</v>
      </c>
      <c r="J78" s="5" t="s">
        <v>4413</v>
      </c>
      <c r="K78" s="5" t="s">
        <v>4363</v>
      </c>
      <c r="L78" s="5" t="s">
        <v>4364</v>
      </c>
    </row>
    <row r="79" spans="1:12" x14ac:dyDescent="0.25">
      <c r="A79" s="5" t="s">
        <v>4992</v>
      </c>
      <c r="B79" s="157">
        <v>44979</v>
      </c>
      <c r="C79" s="5" t="s">
        <v>4402</v>
      </c>
      <c r="D79" s="5" t="s">
        <v>4412</v>
      </c>
      <c r="E79" s="5" t="s">
        <v>4470</v>
      </c>
      <c r="F79" s="5">
        <v>0</v>
      </c>
      <c r="G79" s="5">
        <v>0</v>
      </c>
      <c r="H79" s="5" t="s">
        <v>4361</v>
      </c>
      <c r="I79" s="5">
        <v>54576</v>
      </c>
      <c r="J79" s="5" t="s">
        <v>4421</v>
      </c>
      <c r="K79" s="5" t="s">
        <v>4363</v>
      </c>
      <c r="L79" s="5" t="s">
        <v>4389</v>
      </c>
    </row>
    <row r="80" spans="1:12" x14ac:dyDescent="0.25">
      <c r="A80" s="5" t="s">
        <v>4419</v>
      </c>
      <c r="B80" s="157">
        <v>44980</v>
      </c>
      <c r="C80" s="5" t="s">
        <v>4359</v>
      </c>
      <c r="D80" s="5" t="s">
        <v>4386</v>
      </c>
      <c r="E80" s="5" t="s">
        <v>4354</v>
      </c>
      <c r="F80" s="5">
        <v>3</v>
      </c>
      <c r="G80" s="5">
        <v>3</v>
      </c>
      <c r="H80" s="5" t="s">
        <v>4361</v>
      </c>
      <c r="I80" s="5">
        <v>62356</v>
      </c>
      <c r="J80" s="5" t="s">
        <v>4388</v>
      </c>
      <c r="K80" s="5" t="s">
        <v>4405</v>
      </c>
      <c r="L80" s="5" t="s">
        <v>1256</v>
      </c>
    </row>
    <row r="81" spans="1:12" x14ac:dyDescent="0.25">
      <c r="A81" s="5" t="s">
        <v>4864</v>
      </c>
      <c r="B81" s="157">
        <v>44980</v>
      </c>
      <c r="C81" s="5" t="s">
        <v>4366</v>
      </c>
      <c r="D81" s="5" t="s">
        <v>4378</v>
      </c>
      <c r="E81" s="5" t="s">
        <v>4382</v>
      </c>
      <c r="F81" s="5">
        <v>2</v>
      </c>
      <c r="G81" s="5">
        <v>1</v>
      </c>
      <c r="H81" s="5" t="s">
        <v>4367</v>
      </c>
      <c r="I81" s="5">
        <v>26478</v>
      </c>
      <c r="J81" s="5" t="s">
        <v>4421</v>
      </c>
      <c r="K81" s="5" t="s">
        <v>4375</v>
      </c>
      <c r="L81" s="5" t="s">
        <v>4364</v>
      </c>
    </row>
    <row r="82" spans="1:12" x14ac:dyDescent="0.25">
      <c r="A82" s="5" t="s">
        <v>4647</v>
      </c>
      <c r="B82" s="157">
        <v>44986</v>
      </c>
      <c r="C82" s="5" t="s">
        <v>4415</v>
      </c>
      <c r="D82" s="5" t="s">
        <v>4377</v>
      </c>
      <c r="E82" s="5" t="s">
        <v>4382</v>
      </c>
      <c r="F82" s="5">
        <v>4</v>
      </c>
      <c r="G82" s="5">
        <v>0</v>
      </c>
      <c r="H82" s="5" t="s">
        <v>4367</v>
      </c>
      <c r="I82" s="5">
        <v>22529</v>
      </c>
      <c r="J82" s="5" t="s">
        <v>4355</v>
      </c>
      <c r="K82" s="5" t="s">
        <v>1256</v>
      </c>
      <c r="L82" s="5" t="s">
        <v>4389</v>
      </c>
    </row>
    <row r="83" spans="1:12" x14ac:dyDescent="0.25">
      <c r="A83" s="5" t="s">
        <v>4879</v>
      </c>
      <c r="B83" s="157">
        <v>44991</v>
      </c>
      <c r="C83" s="5" t="s">
        <v>4353</v>
      </c>
      <c r="D83" s="5" t="s">
        <v>4369</v>
      </c>
      <c r="E83" s="5" t="s">
        <v>4386</v>
      </c>
      <c r="F83" s="5">
        <v>1</v>
      </c>
      <c r="G83" s="5">
        <v>1</v>
      </c>
      <c r="H83" s="5" t="s">
        <v>4361</v>
      </c>
      <c r="I83" s="5">
        <v>67429</v>
      </c>
      <c r="J83" s="5" t="s">
        <v>4409</v>
      </c>
      <c r="K83" s="5" t="s">
        <v>4356</v>
      </c>
      <c r="L83" s="5" t="s">
        <v>4357</v>
      </c>
    </row>
    <row r="84" spans="1:12" x14ac:dyDescent="0.25">
      <c r="A84" s="5" t="s">
        <v>4690</v>
      </c>
      <c r="B84" s="157">
        <v>44993</v>
      </c>
      <c r="C84" s="5" t="s">
        <v>4366</v>
      </c>
      <c r="D84" s="5" t="s">
        <v>4386</v>
      </c>
      <c r="E84" s="5" t="s">
        <v>4360</v>
      </c>
      <c r="F84" s="5">
        <v>0</v>
      </c>
      <c r="G84" s="5">
        <v>1</v>
      </c>
      <c r="H84" s="5" t="s">
        <v>116</v>
      </c>
      <c r="I84" s="5">
        <v>54023</v>
      </c>
      <c r="J84" s="5" t="s">
        <v>4413</v>
      </c>
      <c r="K84" s="5" t="s">
        <v>1256</v>
      </c>
      <c r="L84" s="5" t="s">
        <v>1256</v>
      </c>
    </row>
    <row r="85" spans="1:12" x14ac:dyDescent="0.25">
      <c r="A85" s="5" t="s">
        <v>4838</v>
      </c>
      <c r="B85" s="157">
        <v>44994</v>
      </c>
      <c r="C85" s="5" t="s">
        <v>4359</v>
      </c>
      <c r="D85" s="5" t="s">
        <v>4386</v>
      </c>
      <c r="E85" s="5" t="s">
        <v>4412</v>
      </c>
      <c r="F85" s="5">
        <v>1</v>
      </c>
      <c r="G85" s="5">
        <v>3</v>
      </c>
      <c r="H85" s="5" t="s">
        <v>116</v>
      </c>
      <c r="I85" s="5">
        <v>61355</v>
      </c>
      <c r="J85" s="5" t="s">
        <v>4383</v>
      </c>
      <c r="K85" s="5" t="s">
        <v>4399</v>
      </c>
      <c r="L85" s="5" t="s">
        <v>4364</v>
      </c>
    </row>
    <row r="86" spans="1:12" x14ac:dyDescent="0.25">
      <c r="A86" s="5" t="s">
        <v>4550</v>
      </c>
      <c r="B86" s="157">
        <v>44997</v>
      </c>
      <c r="C86" s="5" t="s">
        <v>4402</v>
      </c>
      <c r="D86" s="5" t="s">
        <v>4403</v>
      </c>
      <c r="E86" s="5" t="s">
        <v>4360</v>
      </c>
      <c r="F86" s="5">
        <v>1</v>
      </c>
      <c r="G86" s="5">
        <v>1</v>
      </c>
      <c r="H86" s="5" t="s">
        <v>4361</v>
      </c>
      <c r="I86" s="5">
        <v>26873</v>
      </c>
      <c r="J86" s="5" t="s">
        <v>4421</v>
      </c>
      <c r="K86" s="5" t="s">
        <v>4356</v>
      </c>
      <c r="L86" s="5" t="s">
        <v>4370</v>
      </c>
    </row>
    <row r="87" spans="1:12" x14ac:dyDescent="0.25">
      <c r="A87" s="5" t="s">
        <v>4462</v>
      </c>
      <c r="B87" s="157">
        <v>44997</v>
      </c>
      <c r="C87" s="5" t="s">
        <v>4353</v>
      </c>
      <c r="D87" s="5" t="s">
        <v>4373</v>
      </c>
      <c r="E87" s="5" t="s">
        <v>4424</v>
      </c>
      <c r="F87" s="5">
        <v>2</v>
      </c>
      <c r="G87" s="5">
        <v>2</v>
      </c>
      <c r="H87" s="5" t="s">
        <v>4361</v>
      </c>
      <c r="I87" s="5">
        <v>15153</v>
      </c>
      <c r="J87" s="5" t="s">
        <v>4417</v>
      </c>
      <c r="K87" s="5" t="s">
        <v>1256</v>
      </c>
      <c r="L87" s="5" t="s">
        <v>4389</v>
      </c>
    </row>
    <row r="88" spans="1:12" x14ac:dyDescent="0.25">
      <c r="A88" s="5" t="s">
        <v>4614</v>
      </c>
      <c r="B88" s="157">
        <v>44999</v>
      </c>
      <c r="C88" s="5" t="s">
        <v>4415</v>
      </c>
      <c r="D88" s="5" t="s">
        <v>4360</v>
      </c>
      <c r="E88" s="5" t="s">
        <v>4395</v>
      </c>
      <c r="F88" s="5">
        <v>2</v>
      </c>
      <c r="G88" s="5">
        <v>0</v>
      </c>
      <c r="H88" s="5" t="s">
        <v>4367</v>
      </c>
      <c r="I88" s="5">
        <v>55455</v>
      </c>
      <c r="J88" s="5" t="s">
        <v>4413</v>
      </c>
      <c r="K88" s="5" t="s">
        <v>1256</v>
      </c>
      <c r="L88" s="5" t="s">
        <v>1256</v>
      </c>
    </row>
    <row r="89" spans="1:12" x14ac:dyDescent="0.25">
      <c r="A89" s="5" t="s">
        <v>4429</v>
      </c>
      <c r="B89" s="157">
        <v>44999</v>
      </c>
      <c r="C89" s="5" t="s">
        <v>4402</v>
      </c>
      <c r="D89" s="5" t="s">
        <v>4386</v>
      </c>
      <c r="E89" s="5" t="s">
        <v>4430</v>
      </c>
      <c r="F89" s="5">
        <v>1</v>
      </c>
      <c r="G89" s="5">
        <v>1</v>
      </c>
      <c r="H89" s="5" t="s">
        <v>4361</v>
      </c>
      <c r="I89" s="5">
        <v>28348</v>
      </c>
      <c r="J89" s="5" t="s">
        <v>4421</v>
      </c>
      <c r="K89" s="5" t="s">
        <v>4384</v>
      </c>
      <c r="L89" s="5" t="s">
        <v>4364</v>
      </c>
    </row>
    <row r="90" spans="1:12" x14ac:dyDescent="0.25">
      <c r="A90" s="5" t="s">
        <v>4872</v>
      </c>
      <c r="B90" s="157">
        <v>45004</v>
      </c>
      <c r="C90" s="5" t="s">
        <v>4415</v>
      </c>
      <c r="D90" s="5" t="s">
        <v>4369</v>
      </c>
      <c r="E90" s="5" t="s">
        <v>4440</v>
      </c>
      <c r="F90" s="5">
        <v>1</v>
      </c>
      <c r="G90" s="5">
        <v>2</v>
      </c>
      <c r="H90" s="5" t="s">
        <v>116</v>
      </c>
      <c r="I90" s="5">
        <v>77743</v>
      </c>
      <c r="J90" s="5" t="s">
        <v>4374</v>
      </c>
      <c r="K90" s="5" t="s">
        <v>4363</v>
      </c>
      <c r="L90" s="5" t="s">
        <v>4370</v>
      </c>
    </row>
    <row r="91" spans="1:12" x14ac:dyDescent="0.25">
      <c r="A91" s="5" t="s">
        <v>4410</v>
      </c>
      <c r="B91" s="157">
        <v>45009</v>
      </c>
      <c r="C91" s="5" t="s">
        <v>4415</v>
      </c>
      <c r="D91" s="5" t="s">
        <v>4412</v>
      </c>
      <c r="E91" s="5" t="s">
        <v>4360</v>
      </c>
      <c r="F91" s="5">
        <v>0</v>
      </c>
      <c r="G91" s="5">
        <v>1</v>
      </c>
      <c r="H91" s="5" t="s">
        <v>116</v>
      </c>
      <c r="I91" s="5">
        <v>30042</v>
      </c>
      <c r="J91" s="5" t="s">
        <v>4355</v>
      </c>
      <c r="K91" s="5" t="s">
        <v>4384</v>
      </c>
      <c r="L91" s="5" t="s">
        <v>1256</v>
      </c>
    </row>
    <row r="92" spans="1:12" x14ac:dyDescent="0.25">
      <c r="A92" s="5" t="s">
        <v>4544</v>
      </c>
      <c r="B92" s="157">
        <v>45011</v>
      </c>
      <c r="C92" s="5" t="s">
        <v>4415</v>
      </c>
      <c r="D92" s="5" t="s">
        <v>4403</v>
      </c>
      <c r="E92" s="5" t="s">
        <v>4369</v>
      </c>
      <c r="F92" s="5">
        <v>0</v>
      </c>
      <c r="G92" s="5">
        <v>3</v>
      </c>
      <c r="H92" s="5" t="s">
        <v>116</v>
      </c>
      <c r="I92" s="5">
        <v>59440</v>
      </c>
      <c r="J92" s="5" t="s">
        <v>4393</v>
      </c>
      <c r="K92" s="5" t="s">
        <v>4363</v>
      </c>
      <c r="L92" s="5" t="s">
        <v>1256</v>
      </c>
    </row>
    <row r="93" spans="1:12" x14ac:dyDescent="0.25">
      <c r="A93" s="5" t="s">
        <v>4977</v>
      </c>
      <c r="B93" s="157">
        <v>45014</v>
      </c>
      <c r="C93" s="5" t="s">
        <v>4366</v>
      </c>
      <c r="D93" s="5" t="s">
        <v>4378</v>
      </c>
      <c r="E93" s="5" t="s">
        <v>4470</v>
      </c>
      <c r="F93" s="5">
        <v>3</v>
      </c>
      <c r="G93" s="5">
        <v>1</v>
      </c>
      <c r="H93" s="5" t="s">
        <v>4367</v>
      </c>
      <c r="I93" s="5">
        <v>54457</v>
      </c>
      <c r="J93" s="5" t="s">
        <v>4398</v>
      </c>
      <c r="K93" s="5" t="s">
        <v>1256</v>
      </c>
      <c r="L93" s="5" t="s">
        <v>4389</v>
      </c>
    </row>
    <row r="94" spans="1:12" x14ac:dyDescent="0.25">
      <c r="A94" s="5" t="s">
        <v>4961</v>
      </c>
      <c r="B94" s="157">
        <v>45015</v>
      </c>
      <c r="C94" s="5" t="s">
        <v>4402</v>
      </c>
      <c r="D94" s="5" t="s">
        <v>4387</v>
      </c>
      <c r="E94" s="5" t="s">
        <v>4372</v>
      </c>
      <c r="F94" s="5">
        <v>1</v>
      </c>
      <c r="G94" s="5">
        <v>3</v>
      </c>
      <c r="H94" s="5" t="s">
        <v>116</v>
      </c>
      <c r="I94" s="5">
        <v>34537</v>
      </c>
      <c r="J94" s="5" t="s">
        <v>4362</v>
      </c>
      <c r="K94" s="5" t="s">
        <v>4384</v>
      </c>
      <c r="L94" s="5" t="s">
        <v>4370</v>
      </c>
    </row>
    <row r="95" spans="1:12" x14ac:dyDescent="0.25">
      <c r="A95" s="5" t="s">
        <v>4486</v>
      </c>
      <c r="B95" s="157">
        <v>45021</v>
      </c>
      <c r="C95" s="5" t="s">
        <v>4353</v>
      </c>
      <c r="D95" s="5" t="s">
        <v>4403</v>
      </c>
      <c r="E95" s="5" t="s">
        <v>4378</v>
      </c>
      <c r="F95" s="5">
        <v>0</v>
      </c>
      <c r="G95" s="5">
        <v>5</v>
      </c>
      <c r="H95" s="5" t="s">
        <v>1256</v>
      </c>
      <c r="I95" s="5">
        <v>67733</v>
      </c>
      <c r="J95" s="5" t="s">
        <v>4388</v>
      </c>
      <c r="K95" s="5" t="s">
        <v>1256</v>
      </c>
      <c r="L95" s="5" t="s">
        <v>4370</v>
      </c>
    </row>
    <row r="96" spans="1:12" x14ac:dyDescent="0.25">
      <c r="A96" s="5" t="s">
        <v>4553</v>
      </c>
      <c r="B96" s="157">
        <v>45023</v>
      </c>
      <c r="C96" s="5" t="s">
        <v>4366</v>
      </c>
      <c r="D96" s="5" t="s">
        <v>4373</v>
      </c>
      <c r="E96" s="5" t="s">
        <v>4403</v>
      </c>
      <c r="F96" s="5">
        <v>0</v>
      </c>
      <c r="G96" s="5">
        <v>1</v>
      </c>
      <c r="H96" s="5" t="s">
        <v>116</v>
      </c>
      <c r="I96" s="5">
        <v>68414</v>
      </c>
      <c r="J96" s="5" t="s">
        <v>4380</v>
      </c>
      <c r="K96" s="5" t="s">
        <v>4375</v>
      </c>
      <c r="L96" s="5" t="s">
        <v>4364</v>
      </c>
    </row>
    <row r="97" spans="1:12" x14ac:dyDescent="0.25">
      <c r="A97" s="5" t="s">
        <v>4793</v>
      </c>
      <c r="B97" s="157">
        <v>45026</v>
      </c>
      <c r="C97" s="5" t="s">
        <v>4415</v>
      </c>
      <c r="D97" s="5" t="s">
        <v>4369</v>
      </c>
      <c r="E97" s="5" t="s">
        <v>4395</v>
      </c>
      <c r="F97" s="5">
        <v>1</v>
      </c>
      <c r="G97" s="5">
        <v>2</v>
      </c>
      <c r="H97" s="5" t="s">
        <v>116</v>
      </c>
      <c r="I97" s="5">
        <v>57677</v>
      </c>
      <c r="J97" s="5" t="s">
        <v>4417</v>
      </c>
      <c r="K97" s="5" t="s">
        <v>4396</v>
      </c>
      <c r="L97" s="5" t="s">
        <v>4364</v>
      </c>
    </row>
    <row r="98" spans="1:12" x14ac:dyDescent="0.25">
      <c r="A98" s="5" t="s">
        <v>4679</v>
      </c>
      <c r="B98" s="157">
        <v>45027</v>
      </c>
      <c r="C98" s="5" t="s">
        <v>4415</v>
      </c>
      <c r="D98" s="5" t="s">
        <v>4378</v>
      </c>
      <c r="E98" s="5" t="s">
        <v>4440</v>
      </c>
      <c r="F98" s="5">
        <v>2</v>
      </c>
      <c r="G98" s="5">
        <v>1</v>
      </c>
      <c r="H98" s="5" t="s">
        <v>4367</v>
      </c>
      <c r="I98" s="5">
        <v>35434</v>
      </c>
      <c r="J98" s="5" t="s">
        <v>4355</v>
      </c>
      <c r="K98" s="5" t="s">
        <v>4399</v>
      </c>
      <c r="L98" s="5" t="s">
        <v>4370</v>
      </c>
    </row>
    <row r="99" spans="1:12" x14ac:dyDescent="0.25">
      <c r="A99" s="5" t="s">
        <v>4649</v>
      </c>
      <c r="B99" s="157">
        <v>45028</v>
      </c>
      <c r="C99" s="5" t="s">
        <v>4402</v>
      </c>
      <c r="D99" s="5" t="s">
        <v>4403</v>
      </c>
      <c r="E99" s="5" t="s">
        <v>4373</v>
      </c>
      <c r="F99" s="5">
        <v>3</v>
      </c>
      <c r="G99" s="5">
        <v>1</v>
      </c>
      <c r="H99" s="5" t="s">
        <v>4367</v>
      </c>
      <c r="I99" s="5">
        <v>0</v>
      </c>
      <c r="J99" s="5" t="s">
        <v>4421</v>
      </c>
      <c r="K99" s="5" t="s">
        <v>4363</v>
      </c>
      <c r="L99" s="5" t="s">
        <v>4389</v>
      </c>
    </row>
    <row r="100" spans="1:12" x14ac:dyDescent="0.25">
      <c r="A100" s="5" t="s">
        <v>4426</v>
      </c>
      <c r="B100" s="157">
        <v>45036</v>
      </c>
      <c r="C100" s="5" t="s">
        <v>4366</v>
      </c>
      <c r="D100" s="5" t="s">
        <v>4369</v>
      </c>
      <c r="E100" s="5" t="s">
        <v>1256</v>
      </c>
      <c r="F100" s="5">
        <v>3</v>
      </c>
      <c r="G100" s="5">
        <v>3</v>
      </c>
      <c r="H100" s="5" t="s">
        <v>4361</v>
      </c>
      <c r="I100" s="5">
        <v>32350</v>
      </c>
      <c r="J100" s="5" t="s">
        <v>4413</v>
      </c>
      <c r="K100" s="5" t="s">
        <v>4356</v>
      </c>
      <c r="L100" s="5" t="s">
        <v>4364</v>
      </c>
    </row>
    <row r="101" spans="1:12" x14ac:dyDescent="0.25">
      <c r="A101" s="5" t="s">
        <v>4986</v>
      </c>
      <c r="B101" s="157">
        <v>45039</v>
      </c>
      <c r="C101" s="5" t="s">
        <v>4353</v>
      </c>
      <c r="D101" s="5" t="s">
        <v>4360</v>
      </c>
      <c r="E101" s="5" t="s">
        <v>4386</v>
      </c>
      <c r="F101" s="5">
        <v>2</v>
      </c>
      <c r="G101" s="5">
        <v>0</v>
      </c>
      <c r="H101" s="5" t="s">
        <v>4367</v>
      </c>
      <c r="I101" s="5">
        <v>0</v>
      </c>
      <c r="J101" s="5" t="s">
        <v>4355</v>
      </c>
      <c r="K101" s="5" t="s">
        <v>1256</v>
      </c>
      <c r="L101" s="5" t="s">
        <v>4364</v>
      </c>
    </row>
    <row r="102" spans="1:12" x14ac:dyDescent="0.25">
      <c r="A102" s="5" t="s">
        <v>4540</v>
      </c>
      <c r="B102" s="157">
        <v>45041</v>
      </c>
      <c r="C102" s="5" t="s">
        <v>4359</v>
      </c>
      <c r="D102" s="5" t="s">
        <v>1256</v>
      </c>
      <c r="E102" s="5" t="s">
        <v>4360</v>
      </c>
      <c r="F102" s="5">
        <v>1</v>
      </c>
      <c r="G102" s="5">
        <v>0</v>
      </c>
      <c r="H102" s="5" t="s">
        <v>4367</v>
      </c>
      <c r="I102" s="5">
        <v>16306</v>
      </c>
      <c r="J102" s="5" t="s">
        <v>4374</v>
      </c>
      <c r="K102" s="5" t="s">
        <v>4356</v>
      </c>
      <c r="L102" s="5" t="s">
        <v>4364</v>
      </c>
    </row>
    <row r="103" spans="1:12" x14ac:dyDescent="0.25">
      <c r="A103" s="5" t="s">
        <v>4824</v>
      </c>
      <c r="B103" s="157">
        <v>45041</v>
      </c>
      <c r="C103" s="5" t="s">
        <v>4402</v>
      </c>
      <c r="D103" s="5" t="s">
        <v>4470</v>
      </c>
      <c r="E103" s="5" t="s">
        <v>5006</v>
      </c>
      <c r="F103" s="5">
        <v>2</v>
      </c>
      <c r="G103" s="5">
        <v>1</v>
      </c>
      <c r="H103" s="5" t="s">
        <v>4367</v>
      </c>
      <c r="I103" s="5">
        <v>66261</v>
      </c>
      <c r="J103" s="5" t="s">
        <v>4374</v>
      </c>
      <c r="K103" s="5" t="s">
        <v>4375</v>
      </c>
      <c r="L103" s="5" t="s">
        <v>4370</v>
      </c>
    </row>
    <row r="104" spans="1:12" x14ac:dyDescent="0.25">
      <c r="A104" s="5" t="s">
        <v>4750</v>
      </c>
      <c r="B104" s="157">
        <v>45042</v>
      </c>
      <c r="C104" s="5" t="s">
        <v>4359</v>
      </c>
      <c r="D104" s="5" t="s">
        <v>4373</v>
      </c>
      <c r="E104" s="5" t="s">
        <v>4440</v>
      </c>
      <c r="F104" s="5">
        <v>2</v>
      </c>
      <c r="G104" s="5">
        <v>1</v>
      </c>
      <c r="H104" s="5" t="s">
        <v>4367</v>
      </c>
      <c r="I104" s="5">
        <v>18008</v>
      </c>
      <c r="J104" s="5" t="s">
        <v>4374</v>
      </c>
      <c r="K104" s="5" t="s">
        <v>1256</v>
      </c>
      <c r="L104" s="5" t="s">
        <v>4364</v>
      </c>
    </row>
    <row r="105" spans="1:12" x14ac:dyDescent="0.25">
      <c r="A105" s="5" t="s">
        <v>4923</v>
      </c>
      <c r="B105" s="157">
        <v>45046</v>
      </c>
      <c r="C105" s="5" t="s">
        <v>4415</v>
      </c>
      <c r="D105" s="5" t="s">
        <v>4424</v>
      </c>
      <c r="E105" s="5" t="s">
        <v>4440</v>
      </c>
      <c r="F105" s="5">
        <v>2</v>
      </c>
      <c r="G105" s="5">
        <v>2</v>
      </c>
      <c r="H105" s="5" t="s">
        <v>4361</v>
      </c>
      <c r="I105" s="5">
        <v>78034</v>
      </c>
      <c r="J105" s="5" t="s">
        <v>4362</v>
      </c>
      <c r="K105" s="5" t="s">
        <v>4399</v>
      </c>
      <c r="L105" s="5" t="s">
        <v>4364</v>
      </c>
    </row>
    <row r="106" spans="1:12" x14ac:dyDescent="0.25">
      <c r="A106" s="5" t="s">
        <v>4856</v>
      </c>
      <c r="B106" s="157">
        <v>45048</v>
      </c>
      <c r="C106" s="5" t="s">
        <v>4353</v>
      </c>
      <c r="D106" s="5" t="s">
        <v>4369</v>
      </c>
      <c r="E106" s="5" t="s">
        <v>4470</v>
      </c>
      <c r="F106" s="5">
        <v>3</v>
      </c>
      <c r="G106" s="5">
        <v>1</v>
      </c>
      <c r="H106" s="5" t="s">
        <v>4367</v>
      </c>
      <c r="I106" s="5">
        <v>23264</v>
      </c>
      <c r="J106" s="5" t="s">
        <v>4383</v>
      </c>
      <c r="K106" s="5" t="s">
        <v>4356</v>
      </c>
      <c r="L106" s="5" t="s">
        <v>1256</v>
      </c>
    </row>
    <row r="107" spans="1:12" x14ac:dyDescent="0.25">
      <c r="A107" s="5" t="s">
        <v>4381</v>
      </c>
      <c r="B107" s="157">
        <v>45051</v>
      </c>
      <c r="C107" s="5" t="s">
        <v>4353</v>
      </c>
      <c r="D107" s="5" t="s">
        <v>4382</v>
      </c>
      <c r="E107" s="5" t="s">
        <v>4378</v>
      </c>
      <c r="F107" s="5">
        <v>3</v>
      </c>
      <c r="G107" s="5">
        <v>1</v>
      </c>
      <c r="H107" s="5" t="s">
        <v>4367</v>
      </c>
      <c r="I107" s="5">
        <v>58189</v>
      </c>
      <c r="J107" s="5" t="s">
        <v>4383</v>
      </c>
      <c r="K107" s="5" t="s">
        <v>4384</v>
      </c>
      <c r="L107" s="5" t="s">
        <v>4364</v>
      </c>
    </row>
    <row r="108" spans="1:12" x14ac:dyDescent="0.25">
      <c r="A108" s="5" t="s">
        <v>4557</v>
      </c>
      <c r="B108" s="157">
        <v>45051</v>
      </c>
      <c r="C108" s="5" t="s">
        <v>4415</v>
      </c>
      <c r="D108" s="5" t="s">
        <v>5006</v>
      </c>
      <c r="E108" s="5" t="s">
        <v>4424</v>
      </c>
      <c r="F108" s="5">
        <v>5</v>
      </c>
      <c r="G108" s="5">
        <v>3</v>
      </c>
      <c r="H108" s="5" t="s">
        <v>4367</v>
      </c>
      <c r="I108" s="5">
        <v>44849</v>
      </c>
      <c r="J108" s="5" t="s">
        <v>4398</v>
      </c>
      <c r="K108" s="5" t="s">
        <v>4356</v>
      </c>
      <c r="L108" s="5" t="s">
        <v>1256</v>
      </c>
    </row>
    <row r="109" spans="1:12" x14ac:dyDescent="0.25">
      <c r="A109" s="5" t="s">
        <v>4976</v>
      </c>
      <c r="B109" s="157">
        <v>45051</v>
      </c>
      <c r="C109" s="5" t="s">
        <v>4366</v>
      </c>
      <c r="D109" s="5" t="s">
        <v>4369</v>
      </c>
      <c r="E109" s="5" t="s">
        <v>4440</v>
      </c>
      <c r="F109" s="5">
        <v>3</v>
      </c>
      <c r="G109" s="5">
        <v>2</v>
      </c>
      <c r="H109" s="5" t="s">
        <v>4367</v>
      </c>
      <c r="I109" s="5">
        <v>12294</v>
      </c>
      <c r="J109" s="5" t="s">
        <v>4444</v>
      </c>
      <c r="K109" s="5" t="s">
        <v>4384</v>
      </c>
      <c r="L109" s="5" t="s">
        <v>4389</v>
      </c>
    </row>
    <row r="110" spans="1:12" x14ac:dyDescent="0.25">
      <c r="A110" s="5" t="s">
        <v>4907</v>
      </c>
      <c r="B110" s="157">
        <v>45052</v>
      </c>
      <c r="C110" s="5" t="s">
        <v>4415</v>
      </c>
      <c r="D110" s="5" t="s">
        <v>4430</v>
      </c>
      <c r="E110" s="5" t="s">
        <v>4395</v>
      </c>
      <c r="F110" s="5">
        <v>3</v>
      </c>
      <c r="G110" s="5">
        <v>2</v>
      </c>
      <c r="H110" s="5" t="s">
        <v>4367</v>
      </c>
      <c r="I110" s="5">
        <v>22348</v>
      </c>
      <c r="J110" s="5" t="s">
        <v>4444</v>
      </c>
      <c r="K110" s="5" t="s">
        <v>1256</v>
      </c>
      <c r="L110" s="5" t="s">
        <v>1256</v>
      </c>
    </row>
    <row r="111" spans="1:12" x14ac:dyDescent="0.25">
      <c r="A111" s="5" t="s">
        <v>4358</v>
      </c>
      <c r="B111" s="157">
        <v>45058</v>
      </c>
      <c r="C111" s="5" t="s">
        <v>4359</v>
      </c>
      <c r="D111" s="5" t="s">
        <v>4395</v>
      </c>
      <c r="E111" s="5" t="s">
        <v>4360</v>
      </c>
      <c r="F111" s="5">
        <v>1</v>
      </c>
      <c r="G111" s="5">
        <v>1</v>
      </c>
      <c r="H111" s="5" t="s">
        <v>4361</v>
      </c>
      <c r="I111" s="5">
        <v>81116</v>
      </c>
      <c r="J111" s="5" t="s">
        <v>4362</v>
      </c>
      <c r="K111" s="5" t="s">
        <v>4363</v>
      </c>
      <c r="L111" s="5" t="s">
        <v>4364</v>
      </c>
    </row>
    <row r="112" spans="1:12" x14ac:dyDescent="0.25">
      <c r="A112" s="5" t="s">
        <v>4932</v>
      </c>
      <c r="B112" s="157">
        <v>45058</v>
      </c>
      <c r="C112" s="5" t="s">
        <v>4366</v>
      </c>
      <c r="D112" s="5" t="s">
        <v>4412</v>
      </c>
      <c r="E112" s="5" t="s">
        <v>4369</v>
      </c>
      <c r="F112" s="5">
        <v>1</v>
      </c>
      <c r="G112" s="5">
        <v>1</v>
      </c>
      <c r="H112" s="5" t="s">
        <v>4361</v>
      </c>
      <c r="I112" s="5">
        <v>45306</v>
      </c>
      <c r="J112" s="5" t="s">
        <v>4409</v>
      </c>
      <c r="K112" s="5" t="s">
        <v>4356</v>
      </c>
      <c r="L112" s="5" t="s">
        <v>4389</v>
      </c>
    </row>
    <row r="113" spans="1:12" x14ac:dyDescent="0.25">
      <c r="A113" s="5" t="s">
        <v>4930</v>
      </c>
      <c r="B113" s="157">
        <v>45061</v>
      </c>
      <c r="C113" s="5" t="s">
        <v>4415</v>
      </c>
      <c r="D113" s="5" t="s">
        <v>4424</v>
      </c>
      <c r="E113" s="5" t="s">
        <v>4395</v>
      </c>
      <c r="F113" s="5">
        <v>2</v>
      </c>
      <c r="G113" s="5">
        <v>4</v>
      </c>
      <c r="H113" s="5" t="s">
        <v>116</v>
      </c>
      <c r="I113" s="5">
        <v>42681</v>
      </c>
      <c r="J113" s="5" t="s">
        <v>4421</v>
      </c>
      <c r="K113" s="5" t="s">
        <v>4384</v>
      </c>
      <c r="L113" s="5" t="s">
        <v>4364</v>
      </c>
    </row>
    <row r="114" spans="1:12" x14ac:dyDescent="0.25">
      <c r="A114" s="5" t="s">
        <v>4853</v>
      </c>
      <c r="B114" s="157">
        <v>45064</v>
      </c>
      <c r="C114" s="5" t="s">
        <v>4359</v>
      </c>
      <c r="D114" s="5" t="s">
        <v>4387</v>
      </c>
      <c r="E114" s="5" t="s">
        <v>4377</v>
      </c>
      <c r="F114" s="5">
        <v>3</v>
      </c>
      <c r="G114" s="5">
        <v>3</v>
      </c>
      <c r="H114" s="5" t="s">
        <v>4361</v>
      </c>
      <c r="I114" s="5">
        <v>18006</v>
      </c>
      <c r="J114" s="5" t="s">
        <v>4383</v>
      </c>
      <c r="K114" s="5" t="s">
        <v>4405</v>
      </c>
      <c r="L114" s="5" t="s">
        <v>4364</v>
      </c>
    </row>
    <row r="115" spans="1:12" x14ac:dyDescent="0.25">
      <c r="A115" s="5" t="s">
        <v>4974</v>
      </c>
      <c r="B115" s="157">
        <v>45069</v>
      </c>
      <c r="C115" s="5" t="s">
        <v>4366</v>
      </c>
      <c r="D115" s="5" t="s">
        <v>4430</v>
      </c>
      <c r="E115" s="5" t="s">
        <v>4440</v>
      </c>
      <c r="F115" s="5">
        <v>1</v>
      </c>
      <c r="G115" s="5">
        <v>2</v>
      </c>
      <c r="H115" s="5" t="s">
        <v>116</v>
      </c>
      <c r="I115" s="5">
        <v>13776</v>
      </c>
      <c r="J115" s="5" t="s">
        <v>4374</v>
      </c>
      <c r="K115" s="5" t="s">
        <v>4399</v>
      </c>
      <c r="L115" s="5" t="s">
        <v>4389</v>
      </c>
    </row>
    <row r="116" spans="1:12" x14ac:dyDescent="0.25">
      <c r="A116" s="5" t="s">
        <v>4739</v>
      </c>
      <c r="B116" s="157">
        <v>45070</v>
      </c>
      <c r="C116" s="5" t="s">
        <v>4359</v>
      </c>
      <c r="D116" s="5" t="s">
        <v>4382</v>
      </c>
      <c r="E116" s="5" t="s">
        <v>4430</v>
      </c>
      <c r="F116" s="5">
        <v>3</v>
      </c>
      <c r="G116" s="5">
        <v>2</v>
      </c>
      <c r="H116" s="5" t="s">
        <v>4367</v>
      </c>
      <c r="I116" s="5">
        <v>63788</v>
      </c>
      <c r="J116" s="5" t="s">
        <v>4417</v>
      </c>
      <c r="K116" s="5" t="s">
        <v>4405</v>
      </c>
      <c r="L116" s="5" t="s">
        <v>4357</v>
      </c>
    </row>
    <row r="117" spans="1:12" x14ac:dyDescent="0.25">
      <c r="A117" s="5" t="s">
        <v>4549</v>
      </c>
      <c r="B117" s="157">
        <v>45072</v>
      </c>
      <c r="C117" s="5" t="s">
        <v>4402</v>
      </c>
      <c r="D117" s="5" t="s">
        <v>4373</v>
      </c>
      <c r="E117" s="5" t="s">
        <v>4369</v>
      </c>
      <c r="F117" s="5">
        <v>0</v>
      </c>
      <c r="G117" s="5">
        <v>1</v>
      </c>
      <c r="H117" s="5" t="s">
        <v>116</v>
      </c>
      <c r="I117" s="5">
        <v>47789</v>
      </c>
      <c r="J117" s="5" t="s">
        <v>4393</v>
      </c>
      <c r="K117" s="5" t="s">
        <v>4375</v>
      </c>
      <c r="L117" s="5" t="s">
        <v>4370</v>
      </c>
    </row>
    <row r="118" spans="1:12" x14ac:dyDescent="0.25">
      <c r="A118" s="5" t="s">
        <v>4903</v>
      </c>
      <c r="B118" s="157">
        <v>45073</v>
      </c>
      <c r="C118" s="5" t="s">
        <v>4353</v>
      </c>
      <c r="D118" s="5" t="s">
        <v>4382</v>
      </c>
      <c r="E118" s="5" t="s">
        <v>4373</v>
      </c>
      <c r="F118" s="5">
        <v>3</v>
      </c>
      <c r="G118" s="5">
        <v>2</v>
      </c>
      <c r="H118" s="5" t="s">
        <v>4367</v>
      </c>
      <c r="I118" s="5">
        <v>35238</v>
      </c>
      <c r="J118" s="5" t="s">
        <v>4413</v>
      </c>
      <c r="K118" s="5" t="s">
        <v>1256</v>
      </c>
      <c r="L118" s="5" t="s">
        <v>4357</v>
      </c>
    </row>
    <row r="119" spans="1:12" x14ac:dyDescent="0.25">
      <c r="A119" s="5" t="s">
        <v>4446</v>
      </c>
      <c r="B119" s="157">
        <v>45076</v>
      </c>
      <c r="C119" s="5" t="s">
        <v>4353</v>
      </c>
      <c r="D119" s="5" t="s">
        <v>4403</v>
      </c>
      <c r="E119" s="5" t="s">
        <v>4354</v>
      </c>
      <c r="F119" s="5">
        <v>3</v>
      </c>
      <c r="G119" s="5">
        <v>2</v>
      </c>
      <c r="H119" s="5" t="s">
        <v>4367</v>
      </c>
      <c r="I119" s="5">
        <v>27464</v>
      </c>
      <c r="J119" s="5" t="s">
        <v>4444</v>
      </c>
      <c r="K119" s="5" t="s">
        <v>1256</v>
      </c>
      <c r="L119" s="5" t="s">
        <v>4370</v>
      </c>
    </row>
    <row r="120" spans="1:12" x14ac:dyDescent="0.25">
      <c r="A120" s="5" t="s">
        <v>4433</v>
      </c>
      <c r="B120" s="157">
        <v>45080</v>
      </c>
      <c r="C120" s="5" t="s">
        <v>4366</v>
      </c>
      <c r="D120" s="5" t="s">
        <v>4382</v>
      </c>
      <c r="E120" s="5" t="s">
        <v>4378</v>
      </c>
      <c r="F120" s="5">
        <v>2</v>
      </c>
      <c r="G120" s="5">
        <v>0</v>
      </c>
      <c r="H120" s="5" t="s">
        <v>4367</v>
      </c>
      <c r="I120" s="5">
        <v>13616</v>
      </c>
      <c r="J120" s="5" t="s">
        <v>4413</v>
      </c>
      <c r="K120" s="5" t="s">
        <v>1256</v>
      </c>
      <c r="L120" s="5" t="s">
        <v>4364</v>
      </c>
    </row>
    <row r="121" spans="1:12" x14ac:dyDescent="0.25">
      <c r="A121" s="5" t="s">
        <v>4955</v>
      </c>
      <c r="B121" s="157">
        <v>45080</v>
      </c>
      <c r="C121" s="5" t="s">
        <v>4402</v>
      </c>
      <c r="D121" s="5" t="s">
        <v>4424</v>
      </c>
      <c r="E121" s="5" t="s">
        <v>4360</v>
      </c>
      <c r="F121" s="5">
        <v>2</v>
      </c>
      <c r="G121" s="5">
        <v>0</v>
      </c>
      <c r="H121" s="5" t="s">
        <v>4367</v>
      </c>
      <c r="I121" s="5">
        <v>73983</v>
      </c>
      <c r="J121" s="5" t="s">
        <v>4444</v>
      </c>
      <c r="K121" s="5" t="s">
        <v>1256</v>
      </c>
      <c r="L121" s="5" t="s">
        <v>4364</v>
      </c>
    </row>
    <row r="122" spans="1:12" x14ac:dyDescent="0.25">
      <c r="A122" s="5" t="s">
        <v>4608</v>
      </c>
      <c r="B122" s="157">
        <v>45085</v>
      </c>
      <c r="C122" s="5" t="s">
        <v>4415</v>
      </c>
      <c r="D122" s="5" t="s">
        <v>4403</v>
      </c>
      <c r="E122" s="5" t="s">
        <v>4412</v>
      </c>
      <c r="F122" s="5">
        <v>0</v>
      </c>
      <c r="G122" s="5">
        <v>2</v>
      </c>
      <c r="H122" s="5" t="s">
        <v>116</v>
      </c>
      <c r="I122" s="5">
        <v>21905</v>
      </c>
      <c r="J122" s="5" t="s">
        <v>4388</v>
      </c>
      <c r="K122" s="5" t="s">
        <v>1256</v>
      </c>
      <c r="L122" s="5" t="s">
        <v>4389</v>
      </c>
    </row>
    <row r="123" spans="1:12" x14ac:dyDescent="0.25">
      <c r="A123" s="5" t="s">
        <v>4453</v>
      </c>
      <c r="B123" s="157">
        <v>45086</v>
      </c>
      <c r="C123" s="5" t="s">
        <v>4402</v>
      </c>
      <c r="D123" s="5" t="s">
        <v>4440</v>
      </c>
      <c r="E123" s="5" t="s">
        <v>4387</v>
      </c>
      <c r="F123" s="5">
        <v>2</v>
      </c>
      <c r="G123" s="5">
        <v>0</v>
      </c>
      <c r="H123" s="5" t="s">
        <v>4367</v>
      </c>
      <c r="I123" s="5">
        <v>51869</v>
      </c>
      <c r="J123" s="5" t="s">
        <v>4442</v>
      </c>
      <c r="K123" s="5" t="s">
        <v>1256</v>
      </c>
      <c r="L123" s="5" t="s">
        <v>4364</v>
      </c>
    </row>
    <row r="124" spans="1:12" x14ac:dyDescent="0.25">
      <c r="A124" s="5" t="s">
        <v>4919</v>
      </c>
      <c r="B124" s="157">
        <v>45091</v>
      </c>
      <c r="C124" s="5" t="s">
        <v>4415</v>
      </c>
      <c r="D124" s="5" t="s">
        <v>4387</v>
      </c>
      <c r="E124" s="5" t="s">
        <v>4369</v>
      </c>
      <c r="F124" s="5">
        <v>1</v>
      </c>
      <c r="G124" s="5">
        <v>1</v>
      </c>
      <c r="H124" s="5" t="s">
        <v>4361</v>
      </c>
      <c r="I124" s="5">
        <v>79566</v>
      </c>
      <c r="J124" s="5" t="s">
        <v>4374</v>
      </c>
      <c r="K124" s="5" t="s">
        <v>4363</v>
      </c>
      <c r="L124" s="5" t="s">
        <v>4357</v>
      </c>
    </row>
    <row r="125" spans="1:12" x14ac:dyDescent="0.25">
      <c r="A125" s="5" t="s">
        <v>4660</v>
      </c>
      <c r="B125" s="157">
        <v>45092</v>
      </c>
      <c r="C125" s="5" t="s">
        <v>4402</v>
      </c>
      <c r="D125" s="5" t="s">
        <v>4373</v>
      </c>
      <c r="E125" s="5" t="s">
        <v>4372</v>
      </c>
      <c r="F125" s="5">
        <v>0</v>
      </c>
      <c r="G125" s="5">
        <v>4</v>
      </c>
      <c r="H125" s="5" t="s">
        <v>116</v>
      </c>
      <c r="I125" s="5">
        <v>49049</v>
      </c>
      <c r="J125" s="5" t="s">
        <v>4409</v>
      </c>
      <c r="K125" s="5" t="s">
        <v>4384</v>
      </c>
      <c r="L125" s="5" t="s">
        <v>1256</v>
      </c>
    </row>
    <row r="126" spans="1:12" x14ac:dyDescent="0.25">
      <c r="A126" s="5" t="s">
        <v>4890</v>
      </c>
      <c r="B126" s="157">
        <v>45097</v>
      </c>
      <c r="C126" s="5" t="s">
        <v>4402</v>
      </c>
      <c r="D126" s="5" t="s">
        <v>4430</v>
      </c>
      <c r="E126" s="5" t="s">
        <v>4386</v>
      </c>
      <c r="F126" s="5">
        <v>1</v>
      </c>
      <c r="G126" s="5">
        <v>0</v>
      </c>
      <c r="H126" s="5" t="s">
        <v>1256</v>
      </c>
      <c r="I126" s="5">
        <v>71080</v>
      </c>
      <c r="J126" s="5" t="s">
        <v>4417</v>
      </c>
      <c r="K126" s="5" t="s">
        <v>4384</v>
      </c>
      <c r="L126" s="5" t="s">
        <v>1256</v>
      </c>
    </row>
    <row r="127" spans="1:12" x14ac:dyDescent="0.25">
      <c r="A127" s="5" t="s">
        <v>4768</v>
      </c>
      <c r="B127" s="157">
        <v>45101</v>
      </c>
      <c r="C127" s="5" t="s">
        <v>4402</v>
      </c>
      <c r="D127" s="5" t="s">
        <v>4395</v>
      </c>
      <c r="E127" s="5" t="s">
        <v>4386</v>
      </c>
      <c r="F127" s="5">
        <v>1</v>
      </c>
      <c r="G127" s="5">
        <v>1</v>
      </c>
      <c r="H127" s="5" t="s">
        <v>4361</v>
      </c>
      <c r="I127" s="5">
        <v>38889</v>
      </c>
      <c r="J127" s="5" t="s">
        <v>4413</v>
      </c>
      <c r="K127" s="5" t="s">
        <v>4405</v>
      </c>
      <c r="L127" s="5" t="s">
        <v>1256</v>
      </c>
    </row>
    <row r="128" spans="1:12" x14ac:dyDescent="0.25">
      <c r="A128" s="5" t="s">
        <v>4697</v>
      </c>
      <c r="B128" s="157">
        <v>45102</v>
      </c>
      <c r="C128" s="5" t="s">
        <v>4415</v>
      </c>
      <c r="D128" s="5" t="s">
        <v>4412</v>
      </c>
      <c r="E128" s="5" t="s">
        <v>4354</v>
      </c>
      <c r="F128" s="5">
        <v>1</v>
      </c>
      <c r="G128" s="5">
        <v>4</v>
      </c>
      <c r="H128" s="5" t="s">
        <v>116</v>
      </c>
      <c r="I128" s="5">
        <v>65840</v>
      </c>
      <c r="J128" s="5" t="s">
        <v>4380</v>
      </c>
      <c r="K128" s="5" t="s">
        <v>4384</v>
      </c>
      <c r="L128" s="5" t="s">
        <v>4364</v>
      </c>
    </row>
    <row r="129" spans="1:12" x14ac:dyDescent="0.25">
      <c r="A129" s="5" t="s">
        <v>4592</v>
      </c>
      <c r="B129" s="157">
        <v>45104</v>
      </c>
      <c r="C129" s="5" t="s">
        <v>4366</v>
      </c>
      <c r="D129" s="5" t="s">
        <v>4440</v>
      </c>
      <c r="E129" s="5" t="s">
        <v>4354</v>
      </c>
      <c r="F129" s="5">
        <v>2</v>
      </c>
      <c r="G129" s="5">
        <v>3</v>
      </c>
      <c r="H129" s="5" t="s">
        <v>116</v>
      </c>
      <c r="I129" s="5">
        <v>8574</v>
      </c>
      <c r="J129" s="5" t="s">
        <v>4362</v>
      </c>
      <c r="K129" s="5" t="s">
        <v>4363</v>
      </c>
      <c r="L129" s="5" t="s">
        <v>4364</v>
      </c>
    </row>
    <row r="130" spans="1:12" x14ac:dyDescent="0.25">
      <c r="A130" s="5" t="s">
        <v>4482</v>
      </c>
      <c r="B130" s="157">
        <v>45107</v>
      </c>
      <c r="C130" s="5" t="s">
        <v>4353</v>
      </c>
      <c r="D130" s="5" t="s">
        <v>5006</v>
      </c>
      <c r="E130" s="5" t="s">
        <v>4440</v>
      </c>
      <c r="F130" s="5">
        <v>1</v>
      </c>
      <c r="G130" s="5">
        <v>1</v>
      </c>
      <c r="H130" s="5" t="s">
        <v>4361</v>
      </c>
      <c r="I130" s="5">
        <v>17858</v>
      </c>
      <c r="J130" s="5" t="s">
        <v>4362</v>
      </c>
      <c r="K130" s="5" t="s">
        <v>4356</v>
      </c>
      <c r="L130" s="5" t="s">
        <v>4364</v>
      </c>
    </row>
    <row r="131" spans="1:12" x14ac:dyDescent="0.25">
      <c r="A131" s="5" t="s">
        <v>4661</v>
      </c>
      <c r="B131" s="157">
        <v>45108</v>
      </c>
      <c r="C131" s="5" t="s">
        <v>4366</v>
      </c>
      <c r="D131" s="5" t="s">
        <v>4387</v>
      </c>
      <c r="E131" s="5" t="s">
        <v>1256</v>
      </c>
      <c r="F131" s="5">
        <v>2</v>
      </c>
      <c r="G131" s="5">
        <v>1</v>
      </c>
      <c r="H131" s="5" t="s">
        <v>4367</v>
      </c>
      <c r="I131" s="5">
        <v>37285</v>
      </c>
      <c r="J131" s="5" t="s">
        <v>4417</v>
      </c>
      <c r="K131" s="5" t="s">
        <v>4363</v>
      </c>
      <c r="L131" s="5" t="s">
        <v>4357</v>
      </c>
    </row>
    <row r="132" spans="1:12" x14ac:dyDescent="0.25">
      <c r="A132" s="5" t="s">
        <v>4790</v>
      </c>
      <c r="B132" s="157">
        <v>45115</v>
      </c>
      <c r="C132" s="5" t="s">
        <v>4415</v>
      </c>
      <c r="D132" s="5" t="s">
        <v>4470</v>
      </c>
      <c r="E132" s="5" t="s">
        <v>4360</v>
      </c>
      <c r="F132" s="5">
        <v>0</v>
      </c>
      <c r="G132" s="5">
        <v>2</v>
      </c>
      <c r="H132" s="5" t="s">
        <v>116</v>
      </c>
      <c r="I132" s="5">
        <v>29392</v>
      </c>
      <c r="J132" s="5" t="s">
        <v>4380</v>
      </c>
      <c r="K132" s="5" t="s">
        <v>4405</v>
      </c>
      <c r="L132" s="5" t="s">
        <v>4364</v>
      </c>
    </row>
    <row r="133" spans="1:12" x14ac:dyDescent="0.25">
      <c r="A133" s="5" t="s">
        <v>4522</v>
      </c>
      <c r="B133" s="157">
        <v>45117</v>
      </c>
      <c r="C133" s="5" t="s">
        <v>4359</v>
      </c>
      <c r="D133" s="5" t="s">
        <v>4440</v>
      </c>
      <c r="E133" s="5" t="s">
        <v>4403</v>
      </c>
      <c r="F133" s="5">
        <v>2</v>
      </c>
      <c r="G133" s="5">
        <v>5</v>
      </c>
      <c r="H133" s="5" t="s">
        <v>116</v>
      </c>
      <c r="I133" s="5">
        <v>67040</v>
      </c>
      <c r="J133" s="5" t="s">
        <v>4374</v>
      </c>
      <c r="K133" s="5" t="s">
        <v>1256</v>
      </c>
      <c r="L133" s="5" t="s">
        <v>4389</v>
      </c>
    </row>
    <row r="134" spans="1:12" x14ac:dyDescent="0.25">
      <c r="A134" s="5" t="s">
        <v>4982</v>
      </c>
      <c r="B134" s="157">
        <v>45121</v>
      </c>
      <c r="C134" s="5" t="s">
        <v>4366</v>
      </c>
      <c r="D134" s="5" t="s">
        <v>4369</v>
      </c>
      <c r="E134" s="5" t="s">
        <v>4360</v>
      </c>
      <c r="F134" s="5">
        <v>2</v>
      </c>
      <c r="G134" s="5">
        <v>1</v>
      </c>
      <c r="H134" s="5" t="s">
        <v>4367</v>
      </c>
      <c r="I134" s="5">
        <v>52433</v>
      </c>
      <c r="J134" s="5" t="s">
        <v>4380</v>
      </c>
      <c r="K134" s="5" t="s">
        <v>4384</v>
      </c>
      <c r="L134" s="5" t="s">
        <v>1256</v>
      </c>
    </row>
    <row r="135" spans="1:12" x14ac:dyDescent="0.25">
      <c r="A135" s="5" t="s">
        <v>4567</v>
      </c>
      <c r="B135" s="157">
        <v>45125</v>
      </c>
      <c r="C135" s="5" t="s">
        <v>4359</v>
      </c>
      <c r="D135" s="5" t="s">
        <v>4430</v>
      </c>
      <c r="E135" s="5" t="s">
        <v>4403</v>
      </c>
      <c r="F135" s="5">
        <v>3</v>
      </c>
      <c r="G135" s="5">
        <v>2</v>
      </c>
      <c r="H135" s="5" t="s">
        <v>4367</v>
      </c>
      <c r="I135" s="5">
        <v>20051</v>
      </c>
      <c r="J135" s="5" t="s">
        <v>4421</v>
      </c>
      <c r="K135" s="5" t="s">
        <v>1256</v>
      </c>
      <c r="L135" s="5" t="s">
        <v>4389</v>
      </c>
    </row>
    <row r="136" spans="1:12" x14ac:dyDescent="0.25">
      <c r="A136" s="5" t="s">
        <v>4400</v>
      </c>
      <c r="B136" s="157">
        <v>45127</v>
      </c>
      <c r="C136" s="5" t="s">
        <v>4353</v>
      </c>
      <c r="D136" s="5" t="s">
        <v>4382</v>
      </c>
      <c r="E136" s="5" t="s">
        <v>4378</v>
      </c>
      <c r="F136" s="5">
        <v>1</v>
      </c>
      <c r="G136" s="5">
        <v>4</v>
      </c>
      <c r="H136" s="5" t="s">
        <v>116</v>
      </c>
      <c r="I136" s="5">
        <v>45181</v>
      </c>
      <c r="J136" s="5" t="s">
        <v>4393</v>
      </c>
      <c r="K136" s="5" t="s">
        <v>4356</v>
      </c>
      <c r="L136" s="5" t="s">
        <v>4357</v>
      </c>
    </row>
    <row r="137" spans="1:12" x14ac:dyDescent="0.25">
      <c r="A137" s="5" t="s">
        <v>4916</v>
      </c>
      <c r="B137" s="157">
        <v>45130</v>
      </c>
      <c r="C137" s="5" t="s">
        <v>4366</v>
      </c>
      <c r="D137" s="5" t="s">
        <v>4387</v>
      </c>
      <c r="E137" s="5" t="s">
        <v>4470</v>
      </c>
      <c r="F137" s="5">
        <v>2</v>
      </c>
      <c r="G137" s="5">
        <v>1</v>
      </c>
      <c r="H137" s="5" t="s">
        <v>4367</v>
      </c>
      <c r="I137" s="5">
        <v>8553</v>
      </c>
      <c r="J137" s="5" t="s">
        <v>4388</v>
      </c>
      <c r="K137" s="5" t="s">
        <v>4396</v>
      </c>
      <c r="L137" s="5" t="s">
        <v>4389</v>
      </c>
    </row>
    <row r="138" spans="1:12" x14ac:dyDescent="0.25">
      <c r="A138" s="5" t="s">
        <v>4759</v>
      </c>
      <c r="B138" s="157">
        <v>45130</v>
      </c>
      <c r="C138" s="5" t="s">
        <v>4402</v>
      </c>
      <c r="D138" s="5" t="s">
        <v>4403</v>
      </c>
      <c r="E138" s="5" t="s">
        <v>4412</v>
      </c>
      <c r="F138" s="5">
        <v>1</v>
      </c>
      <c r="G138" s="5">
        <v>0</v>
      </c>
      <c r="H138" s="5" t="s">
        <v>4367</v>
      </c>
      <c r="I138" s="5">
        <v>77455</v>
      </c>
      <c r="J138" s="5" t="s">
        <v>4380</v>
      </c>
      <c r="K138" s="5" t="s">
        <v>4375</v>
      </c>
      <c r="L138" s="5" t="s">
        <v>4364</v>
      </c>
    </row>
    <row r="139" spans="1:12" x14ac:dyDescent="0.25">
      <c r="A139" s="5" t="s">
        <v>4645</v>
      </c>
      <c r="B139" s="157">
        <v>45133</v>
      </c>
      <c r="C139" s="5" t="s">
        <v>4359</v>
      </c>
      <c r="D139" s="5" t="s">
        <v>4387</v>
      </c>
      <c r="E139" s="5" t="s">
        <v>4378</v>
      </c>
      <c r="F139" s="5">
        <v>1</v>
      </c>
      <c r="G139" s="5">
        <v>3</v>
      </c>
      <c r="H139" s="5" t="s">
        <v>116</v>
      </c>
      <c r="I139" s="5">
        <v>78079</v>
      </c>
      <c r="J139" s="5" t="s">
        <v>4442</v>
      </c>
      <c r="K139" s="5" t="s">
        <v>1256</v>
      </c>
      <c r="L139" s="5" t="s">
        <v>4389</v>
      </c>
    </row>
    <row r="140" spans="1:12" x14ac:dyDescent="0.25">
      <c r="A140" s="5" t="s">
        <v>4574</v>
      </c>
      <c r="B140" s="157">
        <v>45134</v>
      </c>
      <c r="C140" s="5" t="s">
        <v>4402</v>
      </c>
      <c r="D140" s="5" t="s">
        <v>4378</v>
      </c>
      <c r="E140" s="5" t="s">
        <v>4470</v>
      </c>
      <c r="F140" s="5">
        <v>4</v>
      </c>
      <c r="G140" s="5">
        <v>0</v>
      </c>
      <c r="H140" s="5" t="s">
        <v>4367</v>
      </c>
      <c r="I140" s="5">
        <v>73430</v>
      </c>
      <c r="J140" s="5" t="s">
        <v>4444</v>
      </c>
      <c r="K140" s="5" t="s">
        <v>4396</v>
      </c>
      <c r="L140" s="5" t="s">
        <v>4357</v>
      </c>
    </row>
    <row r="141" spans="1:12" x14ac:dyDescent="0.25">
      <c r="A141" s="5" t="s">
        <v>4726</v>
      </c>
      <c r="B141" s="157">
        <v>45138</v>
      </c>
      <c r="C141" s="5" t="s">
        <v>4366</v>
      </c>
      <c r="D141" s="5" t="s">
        <v>4412</v>
      </c>
      <c r="E141" s="5" t="s">
        <v>4412</v>
      </c>
      <c r="F141" s="5">
        <v>3</v>
      </c>
      <c r="G141" s="5">
        <v>2</v>
      </c>
      <c r="H141" s="5" t="s">
        <v>4367</v>
      </c>
      <c r="I141" s="5">
        <v>38337</v>
      </c>
      <c r="J141" s="5" t="s">
        <v>4388</v>
      </c>
      <c r="K141" s="5" t="s">
        <v>4405</v>
      </c>
      <c r="L141" s="5" t="s">
        <v>4364</v>
      </c>
    </row>
    <row r="142" spans="1:12" x14ac:dyDescent="0.25">
      <c r="A142" s="5" t="s">
        <v>4803</v>
      </c>
      <c r="B142" s="157">
        <v>45140</v>
      </c>
      <c r="C142" s="5" t="s">
        <v>4415</v>
      </c>
      <c r="D142" s="5" t="s">
        <v>4378</v>
      </c>
      <c r="E142" s="5" t="s">
        <v>4395</v>
      </c>
      <c r="F142" s="5">
        <v>2</v>
      </c>
      <c r="G142" s="5">
        <v>2</v>
      </c>
      <c r="H142" s="5" t="s">
        <v>4361</v>
      </c>
      <c r="I142" s="5">
        <v>71873</v>
      </c>
      <c r="J142" s="5" t="s">
        <v>4383</v>
      </c>
      <c r="K142" s="5" t="s">
        <v>4399</v>
      </c>
      <c r="L142" s="5" t="s">
        <v>4389</v>
      </c>
    </row>
    <row r="143" spans="1:12" x14ac:dyDescent="0.25">
      <c r="A143" s="5" t="s">
        <v>4682</v>
      </c>
      <c r="B143" s="157">
        <v>45143</v>
      </c>
      <c r="C143" s="5" t="s">
        <v>4415</v>
      </c>
      <c r="D143" s="5" t="s">
        <v>4378</v>
      </c>
      <c r="E143" s="5" t="s">
        <v>4372</v>
      </c>
      <c r="F143" s="5">
        <v>2</v>
      </c>
      <c r="G143" s="5">
        <v>1</v>
      </c>
      <c r="H143" s="5" t="s">
        <v>4367</v>
      </c>
      <c r="I143" s="5">
        <v>51481</v>
      </c>
      <c r="J143" s="5" t="s">
        <v>4417</v>
      </c>
      <c r="K143" s="5" t="s">
        <v>4396</v>
      </c>
      <c r="L143" s="5" t="s">
        <v>1256</v>
      </c>
    </row>
    <row r="144" spans="1:12" x14ac:dyDescent="0.25">
      <c r="A144" s="5" t="s">
        <v>4524</v>
      </c>
      <c r="B144" s="157">
        <v>45146</v>
      </c>
      <c r="C144" s="5" t="s">
        <v>4353</v>
      </c>
      <c r="D144" s="5" t="s">
        <v>4470</v>
      </c>
      <c r="E144" s="5" t="s">
        <v>4403</v>
      </c>
      <c r="F144" s="5">
        <v>2</v>
      </c>
      <c r="G144" s="5">
        <v>1</v>
      </c>
      <c r="H144" s="5" t="s">
        <v>4367</v>
      </c>
      <c r="I144" s="5">
        <v>53108</v>
      </c>
      <c r="J144" s="5" t="s">
        <v>4388</v>
      </c>
      <c r="K144" s="5" t="s">
        <v>4396</v>
      </c>
      <c r="L144" s="5" t="s">
        <v>4364</v>
      </c>
    </row>
    <row r="145" spans="1:12" x14ac:dyDescent="0.25">
      <c r="A145" s="5" t="s">
        <v>4692</v>
      </c>
      <c r="B145" s="157">
        <v>45157</v>
      </c>
      <c r="C145" s="5" t="s">
        <v>4402</v>
      </c>
      <c r="D145" s="5" t="s">
        <v>4470</v>
      </c>
      <c r="E145" s="5" t="s">
        <v>4373</v>
      </c>
      <c r="F145" s="5">
        <v>2</v>
      </c>
      <c r="G145" s="5">
        <v>1</v>
      </c>
      <c r="H145" s="5" t="s">
        <v>4367</v>
      </c>
      <c r="I145" s="5">
        <v>53470</v>
      </c>
      <c r="J145" s="5" t="s">
        <v>4383</v>
      </c>
      <c r="K145" s="5" t="s">
        <v>4356</v>
      </c>
      <c r="L145" s="5" t="s">
        <v>4364</v>
      </c>
    </row>
    <row r="146" spans="1:12" x14ac:dyDescent="0.25">
      <c r="A146" s="5" t="s">
        <v>4769</v>
      </c>
      <c r="B146" s="157">
        <v>45163</v>
      </c>
      <c r="C146" s="5" t="s">
        <v>4366</v>
      </c>
      <c r="D146" s="5" t="s">
        <v>4403</v>
      </c>
      <c r="E146" s="5" t="s">
        <v>4395</v>
      </c>
      <c r="F146" s="5">
        <v>0</v>
      </c>
      <c r="G146" s="5">
        <v>2</v>
      </c>
      <c r="H146" s="5" t="s">
        <v>1256</v>
      </c>
      <c r="I146" s="5">
        <v>43268</v>
      </c>
      <c r="J146" s="5" t="s">
        <v>4417</v>
      </c>
      <c r="K146" s="5" t="s">
        <v>4396</v>
      </c>
      <c r="L146" s="5" t="s">
        <v>4370</v>
      </c>
    </row>
    <row r="147" spans="1:12" x14ac:dyDescent="0.25">
      <c r="A147" s="5" t="s">
        <v>4691</v>
      </c>
      <c r="B147" s="157">
        <v>45164</v>
      </c>
      <c r="C147" s="5" t="s">
        <v>4402</v>
      </c>
      <c r="D147" s="5" t="s">
        <v>4378</v>
      </c>
      <c r="E147" s="5" t="s">
        <v>5006</v>
      </c>
      <c r="F147" s="5">
        <v>2</v>
      </c>
      <c r="G147" s="5">
        <v>0</v>
      </c>
      <c r="H147" s="5" t="s">
        <v>4367</v>
      </c>
      <c r="I147" s="5">
        <v>0</v>
      </c>
      <c r="J147" s="5" t="s">
        <v>4417</v>
      </c>
      <c r="K147" s="5" t="s">
        <v>4375</v>
      </c>
      <c r="L147" s="5" t="s">
        <v>4364</v>
      </c>
    </row>
    <row r="148" spans="1:12" x14ac:dyDescent="0.25">
      <c r="A148" s="5" t="s">
        <v>4926</v>
      </c>
      <c r="B148" s="157">
        <v>45165</v>
      </c>
      <c r="C148" s="5" t="s">
        <v>4402</v>
      </c>
      <c r="D148" s="5" t="s">
        <v>4412</v>
      </c>
      <c r="E148" s="5" t="s">
        <v>4369</v>
      </c>
      <c r="F148" s="5">
        <v>0</v>
      </c>
      <c r="G148" s="5">
        <v>2</v>
      </c>
      <c r="H148" s="5" t="s">
        <v>116</v>
      </c>
      <c r="I148" s="5">
        <v>81268</v>
      </c>
      <c r="J148" s="5" t="s">
        <v>4413</v>
      </c>
      <c r="K148" s="5" t="s">
        <v>4384</v>
      </c>
      <c r="L148" s="5" t="s">
        <v>1256</v>
      </c>
    </row>
    <row r="149" spans="1:12" x14ac:dyDescent="0.25">
      <c r="A149" s="5" t="s">
        <v>4822</v>
      </c>
      <c r="B149" s="157">
        <v>45166</v>
      </c>
      <c r="C149" s="5" t="s">
        <v>4402</v>
      </c>
      <c r="D149" s="5" t="s">
        <v>1256</v>
      </c>
      <c r="E149" s="5" t="s">
        <v>4369</v>
      </c>
      <c r="F149" s="5">
        <v>0</v>
      </c>
      <c r="G149" s="5">
        <v>2</v>
      </c>
      <c r="H149" s="5" t="s">
        <v>116</v>
      </c>
      <c r="I149" s="5">
        <v>72713</v>
      </c>
      <c r="J149" s="5" t="s">
        <v>4442</v>
      </c>
      <c r="K149" s="5" t="s">
        <v>4396</v>
      </c>
      <c r="L149" s="5" t="s">
        <v>4357</v>
      </c>
    </row>
    <row r="150" spans="1:12" x14ac:dyDescent="0.25">
      <c r="A150" s="5" t="s">
        <v>4807</v>
      </c>
      <c r="B150" s="157">
        <v>45169</v>
      </c>
      <c r="C150" s="5" t="s">
        <v>4415</v>
      </c>
      <c r="D150" s="5" t="s">
        <v>4412</v>
      </c>
      <c r="E150" s="5" t="s">
        <v>4382</v>
      </c>
      <c r="F150" s="5">
        <v>1</v>
      </c>
      <c r="G150" s="5">
        <v>1</v>
      </c>
      <c r="H150" s="5" t="s">
        <v>4361</v>
      </c>
      <c r="I150" s="5">
        <v>45085</v>
      </c>
      <c r="J150" s="5" t="s">
        <v>4383</v>
      </c>
      <c r="K150" s="5" t="s">
        <v>1256</v>
      </c>
      <c r="L150" s="5" t="s">
        <v>4364</v>
      </c>
    </row>
    <row r="151" spans="1:12" x14ac:dyDescent="0.25">
      <c r="A151" s="5" t="s">
        <v>4844</v>
      </c>
      <c r="B151" s="157">
        <v>45172</v>
      </c>
      <c r="C151" s="5" t="s">
        <v>4415</v>
      </c>
      <c r="D151" s="5" t="s">
        <v>4372</v>
      </c>
      <c r="E151" s="5" t="s">
        <v>4430</v>
      </c>
      <c r="F151" s="5">
        <v>2</v>
      </c>
      <c r="G151" s="5">
        <v>1</v>
      </c>
      <c r="H151" s="5" t="s">
        <v>4367</v>
      </c>
      <c r="I151" s="5">
        <v>42723</v>
      </c>
      <c r="J151" s="5" t="s">
        <v>4444</v>
      </c>
      <c r="K151" s="5" t="s">
        <v>4405</v>
      </c>
      <c r="L151" s="5" t="s">
        <v>4364</v>
      </c>
    </row>
    <row r="152" spans="1:12" x14ac:dyDescent="0.25">
      <c r="A152" s="5" t="s">
        <v>4848</v>
      </c>
      <c r="B152" s="157">
        <v>45177</v>
      </c>
      <c r="C152" s="5" t="s">
        <v>4402</v>
      </c>
      <c r="D152" s="5" t="s">
        <v>4440</v>
      </c>
      <c r="E152" s="5" t="s">
        <v>4403</v>
      </c>
      <c r="F152" s="5">
        <v>2</v>
      </c>
      <c r="G152" s="5">
        <v>1</v>
      </c>
      <c r="H152" s="5" t="s">
        <v>4367</v>
      </c>
      <c r="I152" s="5">
        <v>77668</v>
      </c>
      <c r="J152" s="5" t="s">
        <v>4417</v>
      </c>
      <c r="K152" s="5" t="s">
        <v>4363</v>
      </c>
      <c r="L152" s="5" t="s">
        <v>4364</v>
      </c>
    </row>
    <row r="153" spans="1:12" x14ac:dyDescent="0.25">
      <c r="A153" s="5" t="s">
        <v>4740</v>
      </c>
      <c r="B153" s="157">
        <v>45178</v>
      </c>
      <c r="C153" s="5" t="s">
        <v>4415</v>
      </c>
      <c r="D153" s="5" t="s">
        <v>4424</v>
      </c>
      <c r="E153" s="5" t="s">
        <v>4373</v>
      </c>
      <c r="F153" s="5">
        <v>1</v>
      </c>
      <c r="G153" s="5">
        <v>0</v>
      </c>
      <c r="H153" s="5" t="s">
        <v>4367</v>
      </c>
      <c r="I153" s="5">
        <v>31718</v>
      </c>
      <c r="J153" s="5" t="s">
        <v>4413</v>
      </c>
      <c r="K153" s="5" t="s">
        <v>1256</v>
      </c>
      <c r="L153" s="5" t="s">
        <v>4364</v>
      </c>
    </row>
    <row r="154" spans="1:12" x14ac:dyDescent="0.25">
      <c r="A154" s="5" t="s">
        <v>4757</v>
      </c>
      <c r="B154" s="157">
        <v>45178</v>
      </c>
      <c r="C154" s="5" t="s">
        <v>4415</v>
      </c>
      <c r="D154" s="5" t="s">
        <v>4412</v>
      </c>
      <c r="E154" s="5" t="s">
        <v>4412</v>
      </c>
      <c r="F154" s="5">
        <v>4</v>
      </c>
      <c r="G154" s="5">
        <v>1</v>
      </c>
      <c r="H154" s="5" t="s">
        <v>4367</v>
      </c>
      <c r="I154" s="5">
        <v>20555</v>
      </c>
      <c r="J154" s="5" t="s">
        <v>4398</v>
      </c>
      <c r="K154" s="5" t="s">
        <v>4363</v>
      </c>
      <c r="L154" s="5" t="s">
        <v>4357</v>
      </c>
    </row>
    <row r="155" spans="1:12" x14ac:dyDescent="0.25">
      <c r="A155" s="5" t="s">
        <v>4404</v>
      </c>
      <c r="B155" s="157">
        <v>45181</v>
      </c>
      <c r="C155" s="5" t="s">
        <v>4402</v>
      </c>
      <c r="D155" s="5" t="s">
        <v>4403</v>
      </c>
      <c r="E155" s="5" t="s">
        <v>1256</v>
      </c>
      <c r="F155" s="5">
        <v>0</v>
      </c>
      <c r="G155" s="5">
        <v>0</v>
      </c>
      <c r="H155" s="5" t="s">
        <v>4361</v>
      </c>
      <c r="I155" s="5">
        <v>18045</v>
      </c>
      <c r="J155" s="5" t="s">
        <v>4393</v>
      </c>
      <c r="K155" s="5" t="s">
        <v>4405</v>
      </c>
      <c r="L155" s="5" t="s">
        <v>1256</v>
      </c>
    </row>
    <row r="156" spans="1:12" x14ac:dyDescent="0.25">
      <c r="A156" s="5" t="s">
        <v>4839</v>
      </c>
      <c r="B156" s="157">
        <v>45181</v>
      </c>
      <c r="C156" s="5" t="s">
        <v>4366</v>
      </c>
      <c r="D156" s="5" t="s">
        <v>4430</v>
      </c>
      <c r="E156" s="5" t="s">
        <v>4372</v>
      </c>
      <c r="F156" s="5">
        <v>2</v>
      </c>
      <c r="G156" s="5">
        <v>2</v>
      </c>
      <c r="H156" s="5" t="s">
        <v>4361</v>
      </c>
      <c r="I156" s="5">
        <v>31377</v>
      </c>
      <c r="J156" s="5" t="s">
        <v>4413</v>
      </c>
      <c r="K156" s="5" t="s">
        <v>4396</v>
      </c>
      <c r="L156" s="5" t="s">
        <v>4370</v>
      </c>
    </row>
    <row r="157" spans="1:12" x14ac:dyDescent="0.25">
      <c r="A157" s="5" t="s">
        <v>4845</v>
      </c>
      <c r="B157" s="157">
        <v>45182</v>
      </c>
      <c r="C157" s="5" t="s">
        <v>4353</v>
      </c>
      <c r="D157" s="5" t="s">
        <v>4430</v>
      </c>
      <c r="E157" s="5" t="s">
        <v>4373</v>
      </c>
      <c r="F157" s="5">
        <v>0</v>
      </c>
      <c r="G157" s="5">
        <v>2</v>
      </c>
      <c r="H157" s="5" t="s">
        <v>1256</v>
      </c>
      <c r="I157" s="5">
        <v>25044</v>
      </c>
      <c r="J157" s="5" t="s">
        <v>4393</v>
      </c>
      <c r="K157" s="5" t="s">
        <v>4375</v>
      </c>
      <c r="L157" s="5" t="s">
        <v>4364</v>
      </c>
    </row>
    <row r="158" spans="1:12" x14ac:dyDescent="0.25">
      <c r="A158" s="5" t="s">
        <v>4441</v>
      </c>
      <c r="B158" s="157">
        <v>45187</v>
      </c>
      <c r="C158" s="5" t="s">
        <v>4415</v>
      </c>
      <c r="D158" s="5" t="s">
        <v>5006</v>
      </c>
      <c r="E158" s="5" t="s">
        <v>4369</v>
      </c>
      <c r="F158" s="5">
        <v>1</v>
      </c>
      <c r="G158" s="5">
        <v>1</v>
      </c>
      <c r="H158" s="5" t="s">
        <v>4361</v>
      </c>
      <c r="I158" s="5">
        <v>13664</v>
      </c>
      <c r="J158" s="5" t="s">
        <v>4442</v>
      </c>
      <c r="K158" s="5" t="s">
        <v>1256</v>
      </c>
      <c r="L158" s="5" t="s">
        <v>4389</v>
      </c>
    </row>
    <row r="159" spans="1:12" x14ac:dyDescent="0.25">
      <c r="A159" s="5" t="s">
        <v>4423</v>
      </c>
      <c r="B159" s="157">
        <v>45194</v>
      </c>
      <c r="C159" s="5" t="s">
        <v>4366</v>
      </c>
      <c r="D159" s="5" t="s">
        <v>4424</v>
      </c>
      <c r="E159" s="5" t="s">
        <v>4382</v>
      </c>
      <c r="F159" s="5">
        <v>2</v>
      </c>
      <c r="G159" s="5">
        <v>1</v>
      </c>
      <c r="H159" s="5" t="s">
        <v>4367</v>
      </c>
      <c r="I159" s="5">
        <v>66890</v>
      </c>
      <c r="J159" s="5" t="s">
        <v>4413</v>
      </c>
      <c r="K159" s="5" t="s">
        <v>4399</v>
      </c>
      <c r="L159" s="5" t="s">
        <v>4364</v>
      </c>
    </row>
    <row r="160" spans="1:12" x14ac:dyDescent="0.25">
      <c r="A160" s="5" t="s">
        <v>4434</v>
      </c>
      <c r="B160" s="157">
        <v>45194</v>
      </c>
      <c r="C160" s="5" t="s">
        <v>4402</v>
      </c>
      <c r="D160" s="5" t="s">
        <v>4470</v>
      </c>
      <c r="E160" s="5" t="s">
        <v>4403</v>
      </c>
      <c r="F160" s="5">
        <v>2</v>
      </c>
      <c r="G160" s="5">
        <v>2</v>
      </c>
      <c r="H160" s="5" t="s">
        <v>4361</v>
      </c>
      <c r="I160" s="5">
        <v>47237</v>
      </c>
      <c r="J160" s="5" t="s">
        <v>4417</v>
      </c>
      <c r="K160" s="5" t="s">
        <v>4399</v>
      </c>
      <c r="L160" s="5" t="s">
        <v>4389</v>
      </c>
    </row>
    <row r="161" spans="1:12" x14ac:dyDescent="0.25">
      <c r="A161" s="5" t="s">
        <v>4635</v>
      </c>
      <c r="B161" s="157">
        <v>45194</v>
      </c>
      <c r="C161" s="5" t="s">
        <v>4359</v>
      </c>
      <c r="D161" s="5" t="s">
        <v>4440</v>
      </c>
      <c r="E161" s="5" t="s">
        <v>4382</v>
      </c>
      <c r="F161" s="5">
        <v>2</v>
      </c>
      <c r="G161" s="5">
        <v>1</v>
      </c>
      <c r="H161" s="5" t="s">
        <v>4367</v>
      </c>
      <c r="I161" s="5">
        <v>22470</v>
      </c>
      <c r="J161" s="5" t="s">
        <v>4444</v>
      </c>
      <c r="K161" s="5" t="s">
        <v>4405</v>
      </c>
      <c r="L161" s="5" t="s">
        <v>1256</v>
      </c>
    </row>
    <row r="162" spans="1:12" x14ac:dyDescent="0.25">
      <c r="A162" s="5" t="s">
        <v>4461</v>
      </c>
      <c r="B162" s="157">
        <v>45197</v>
      </c>
      <c r="C162" s="5" t="s">
        <v>4366</v>
      </c>
      <c r="D162" s="5" t="s">
        <v>4372</v>
      </c>
      <c r="E162" s="5" t="s">
        <v>4424</v>
      </c>
      <c r="F162" s="5">
        <v>3</v>
      </c>
      <c r="G162" s="5">
        <v>3</v>
      </c>
      <c r="H162" s="5" t="s">
        <v>4361</v>
      </c>
      <c r="I162" s="5">
        <v>54482</v>
      </c>
      <c r="J162" s="5" t="s">
        <v>4442</v>
      </c>
      <c r="K162" s="5" t="s">
        <v>1256</v>
      </c>
      <c r="L162" s="5" t="s">
        <v>4364</v>
      </c>
    </row>
    <row r="163" spans="1:12" x14ac:dyDescent="0.25">
      <c r="A163" s="5" t="s">
        <v>4617</v>
      </c>
      <c r="B163" s="157">
        <v>45204</v>
      </c>
      <c r="C163" s="5" t="s">
        <v>4359</v>
      </c>
      <c r="D163" s="5" t="s">
        <v>4470</v>
      </c>
      <c r="E163" s="5" t="s">
        <v>4440</v>
      </c>
      <c r="F163" s="5">
        <v>2</v>
      </c>
      <c r="G163" s="5">
        <v>2</v>
      </c>
      <c r="H163" s="5" t="s">
        <v>4361</v>
      </c>
      <c r="I163" s="5">
        <v>81885</v>
      </c>
      <c r="J163" s="5" t="s">
        <v>4398</v>
      </c>
      <c r="K163" s="5" t="s">
        <v>4405</v>
      </c>
      <c r="L163" s="5" t="s">
        <v>4364</v>
      </c>
    </row>
    <row r="164" spans="1:12" x14ac:dyDescent="0.25">
      <c r="A164" s="5" t="s">
        <v>4980</v>
      </c>
      <c r="B164" s="157">
        <v>45213</v>
      </c>
      <c r="C164" s="5" t="s">
        <v>4415</v>
      </c>
      <c r="D164" s="5" t="s">
        <v>4412</v>
      </c>
      <c r="E164" s="5" t="s">
        <v>4387</v>
      </c>
      <c r="F164" s="5">
        <v>1</v>
      </c>
      <c r="G164" s="5">
        <v>2</v>
      </c>
      <c r="H164" s="5" t="s">
        <v>116</v>
      </c>
      <c r="I164" s="5">
        <v>21836</v>
      </c>
      <c r="J164" s="5" t="s">
        <v>4413</v>
      </c>
      <c r="K164" s="5" t="s">
        <v>1256</v>
      </c>
      <c r="L164" s="5" t="s">
        <v>4389</v>
      </c>
    </row>
    <row r="165" spans="1:12" x14ac:dyDescent="0.25">
      <c r="A165" s="5" t="s">
        <v>4674</v>
      </c>
      <c r="B165" s="157">
        <v>45215</v>
      </c>
      <c r="C165" s="5" t="s">
        <v>4366</v>
      </c>
      <c r="D165" s="5" t="s">
        <v>4412</v>
      </c>
      <c r="E165" s="5" t="s">
        <v>4373</v>
      </c>
      <c r="F165" s="5">
        <v>3</v>
      </c>
      <c r="G165" s="5">
        <v>2</v>
      </c>
      <c r="H165" s="5" t="s">
        <v>4367</v>
      </c>
      <c r="I165" s="5">
        <v>77676</v>
      </c>
      <c r="J165" s="5" t="s">
        <v>4421</v>
      </c>
      <c r="K165" s="5" t="s">
        <v>4375</v>
      </c>
      <c r="L165" s="5" t="s">
        <v>4370</v>
      </c>
    </row>
    <row r="166" spans="1:12" x14ac:dyDescent="0.25">
      <c r="A166" s="5" t="s">
        <v>4767</v>
      </c>
      <c r="B166" s="157">
        <v>45215</v>
      </c>
      <c r="C166" s="5" t="s">
        <v>4415</v>
      </c>
      <c r="D166" s="5" t="s">
        <v>4395</v>
      </c>
      <c r="E166" s="5" t="s">
        <v>4412</v>
      </c>
      <c r="F166" s="5">
        <v>3</v>
      </c>
      <c r="G166" s="5">
        <v>1</v>
      </c>
      <c r="H166" s="5" t="s">
        <v>4367</v>
      </c>
      <c r="I166" s="5">
        <v>67463</v>
      </c>
      <c r="J166" s="5" t="s">
        <v>4355</v>
      </c>
      <c r="K166" s="5" t="s">
        <v>4363</v>
      </c>
      <c r="L166" s="5" t="s">
        <v>4370</v>
      </c>
    </row>
    <row r="167" spans="1:12" x14ac:dyDescent="0.25">
      <c r="A167" s="5" t="s">
        <v>4863</v>
      </c>
      <c r="B167" s="157">
        <v>45217</v>
      </c>
      <c r="C167" s="5" t="s">
        <v>4366</v>
      </c>
      <c r="D167" s="5" t="s">
        <v>4395</v>
      </c>
      <c r="E167" s="5" t="s">
        <v>4395</v>
      </c>
      <c r="F167" s="5">
        <v>3</v>
      </c>
      <c r="G167" s="5">
        <v>1</v>
      </c>
      <c r="H167" s="5" t="s">
        <v>4367</v>
      </c>
      <c r="I167" s="5">
        <v>77265</v>
      </c>
      <c r="J167" s="5" t="s">
        <v>4362</v>
      </c>
      <c r="K167" s="5" t="s">
        <v>4396</v>
      </c>
      <c r="L167" s="5" t="s">
        <v>1256</v>
      </c>
    </row>
    <row r="168" spans="1:12" x14ac:dyDescent="0.25">
      <c r="A168" s="5" t="s">
        <v>4406</v>
      </c>
      <c r="B168" s="157">
        <v>45220</v>
      </c>
      <c r="C168" s="5" t="s">
        <v>4366</v>
      </c>
      <c r="D168" s="5" t="s">
        <v>4378</v>
      </c>
      <c r="E168" s="5" t="s">
        <v>4373</v>
      </c>
      <c r="F168" s="5">
        <v>2</v>
      </c>
      <c r="G168" s="5">
        <v>2</v>
      </c>
      <c r="H168" s="5" t="s">
        <v>4361</v>
      </c>
      <c r="I168" s="5">
        <v>60555</v>
      </c>
      <c r="J168" s="5" t="s">
        <v>4362</v>
      </c>
      <c r="K168" s="5" t="s">
        <v>1256</v>
      </c>
      <c r="L168" s="5" t="s">
        <v>4357</v>
      </c>
    </row>
    <row r="169" spans="1:12" x14ac:dyDescent="0.25">
      <c r="A169" s="5" t="s">
        <v>4867</v>
      </c>
      <c r="B169" s="157">
        <v>45224</v>
      </c>
      <c r="C169" s="5" t="s">
        <v>4366</v>
      </c>
      <c r="D169" s="5" t="s">
        <v>4403</v>
      </c>
      <c r="E169" s="5" t="s">
        <v>4369</v>
      </c>
      <c r="F169" s="5">
        <v>4</v>
      </c>
      <c r="G169" s="5">
        <v>2</v>
      </c>
      <c r="H169" s="5" t="s">
        <v>4367</v>
      </c>
      <c r="I169" s="5">
        <v>29389</v>
      </c>
      <c r="J169" s="5" t="s">
        <v>4421</v>
      </c>
      <c r="K169" s="5" t="s">
        <v>1256</v>
      </c>
      <c r="L169" s="5" t="s">
        <v>1256</v>
      </c>
    </row>
    <row r="170" spans="1:12" x14ac:dyDescent="0.25">
      <c r="A170" s="5" t="s">
        <v>4770</v>
      </c>
      <c r="B170" s="157">
        <v>45227</v>
      </c>
      <c r="C170" s="5" t="s">
        <v>4366</v>
      </c>
      <c r="D170" s="5" t="s">
        <v>4386</v>
      </c>
      <c r="E170" s="5" t="s">
        <v>4470</v>
      </c>
      <c r="F170" s="5">
        <v>3</v>
      </c>
      <c r="G170" s="5">
        <v>0</v>
      </c>
      <c r="H170" s="5" t="s">
        <v>4367</v>
      </c>
      <c r="I170" s="5">
        <v>63232</v>
      </c>
      <c r="J170" s="5" t="s">
        <v>4388</v>
      </c>
      <c r="K170" s="5" t="s">
        <v>4356</v>
      </c>
      <c r="L170" s="5" t="s">
        <v>4389</v>
      </c>
    </row>
    <row r="171" spans="1:12" x14ac:dyDescent="0.25">
      <c r="A171" s="5" t="s">
        <v>4606</v>
      </c>
      <c r="B171" s="157">
        <v>45228</v>
      </c>
      <c r="C171" s="5" t="s">
        <v>1256</v>
      </c>
      <c r="D171" s="5" t="s">
        <v>4373</v>
      </c>
      <c r="E171" s="5" t="s">
        <v>4440</v>
      </c>
      <c r="F171" s="5">
        <v>3</v>
      </c>
      <c r="G171" s="5">
        <v>0</v>
      </c>
      <c r="H171" s="5" t="s">
        <v>4367</v>
      </c>
      <c r="I171" s="5">
        <v>63966</v>
      </c>
      <c r="J171" s="5" t="s">
        <v>4393</v>
      </c>
      <c r="K171" s="5" t="s">
        <v>1256</v>
      </c>
      <c r="L171" s="5" t="s">
        <v>4357</v>
      </c>
    </row>
    <row r="172" spans="1:12" x14ac:dyDescent="0.25">
      <c r="A172" s="5" t="s">
        <v>4948</v>
      </c>
      <c r="B172" s="157">
        <v>45229</v>
      </c>
      <c r="C172" s="5" t="s">
        <v>4359</v>
      </c>
      <c r="D172" s="5" t="s">
        <v>4412</v>
      </c>
      <c r="E172" s="5" t="s">
        <v>4412</v>
      </c>
      <c r="F172" s="5">
        <v>0</v>
      </c>
      <c r="G172" s="5">
        <v>3</v>
      </c>
      <c r="H172" s="5" t="s">
        <v>116</v>
      </c>
      <c r="I172" s="5">
        <v>19515</v>
      </c>
      <c r="J172" s="5" t="s">
        <v>4362</v>
      </c>
      <c r="K172" s="5" t="s">
        <v>4396</v>
      </c>
      <c r="L172" s="5" t="s">
        <v>4357</v>
      </c>
    </row>
    <row r="173" spans="1:12" x14ac:dyDescent="0.25">
      <c r="A173" s="5" t="s">
        <v>4477</v>
      </c>
      <c r="B173" s="157">
        <v>45230</v>
      </c>
      <c r="C173" s="5" t="s">
        <v>4353</v>
      </c>
      <c r="D173" s="5" t="s">
        <v>4424</v>
      </c>
      <c r="E173" s="5" t="s">
        <v>4387</v>
      </c>
      <c r="F173" s="5">
        <v>3</v>
      </c>
      <c r="G173" s="5">
        <v>2</v>
      </c>
      <c r="H173" s="5" t="s">
        <v>4367</v>
      </c>
      <c r="I173" s="5">
        <v>69186</v>
      </c>
      <c r="J173" s="5" t="s">
        <v>4417</v>
      </c>
      <c r="K173" s="5" t="s">
        <v>1256</v>
      </c>
      <c r="L173" s="5" t="s">
        <v>4364</v>
      </c>
    </row>
    <row r="174" spans="1:12" x14ac:dyDescent="0.25">
      <c r="A174" s="5" t="s">
        <v>4672</v>
      </c>
      <c r="B174" s="157">
        <v>45230</v>
      </c>
      <c r="C174" s="5" t="s">
        <v>4359</v>
      </c>
      <c r="D174" s="5" t="s">
        <v>4373</v>
      </c>
      <c r="E174" s="5" t="s">
        <v>4440</v>
      </c>
      <c r="F174" s="5">
        <v>2</v>
      </c>
      <c r="G174" s="5">
        <v>1</v>
      </c>
      <c r="H174" s="5" t="s">
        <v>4367</v>
      </c>
      <c r="I174" s="5">
        <v>72313</v>
      </c>
      <c r="J174" s="5" t="s">
        <v>4413</v>
      </c>
      <c r="K174" s="5" t="s">
        <v>1256</v>
      </c>
      <c r="L174" s="5" t="s">
        <v>4364</v>
      </c>
    </row>
    <row r="175" spans="1:12" x14ac:dyDescent="0.25">
      <c r="A175" s="5" t="s">
        <v>4711</v>
      </c>
      <c r="B175" s="157">
        <v>45232</v>
      </c>
      <c r="C175" s="5" t="s">
        <v>4353</v>
      </c>
      <c r="D175" s="5" t="s">
        <v>4360</v>
      </c>
      <c r="E175" s="5" t="s">
        <v>4412</v>
      </c>
      <c r="F175" s="5">
        <v>1</v>
      </c>
      <c r="G175" s="5">
        <v>3</v>
      </c>
      <c r="H175" s="5" t="s">
        <v>116</v>
      </c>
      <c r="I175" s="5">
        <v>44594</v>
      </c>
      <c r="J175" s="5" t="s">
        <v>4421</v>
      </c>
      <c r="K175" s="5" t="s">
        <v>4405</v>
      </c>
      <c r="L175" s="5" t="s">
        <v>4370</v>
      </c>
    </row>
    <row r="176" spans="1:12" x14ac:dyDescent="0.25">
      <c r="A176" s="5" t="s">
        <v>4676</v>
      </c>
      <c r="B176" s="157">
        <v>45234</v>
      </c>
      <c r="C176" s="5" t="s">
        <v>4415</v>
      </c>
      <c r="D176" s="5" t="s">
        <v>4424</v>
      </c>
      <c r="E176" s="5" t="s">
        <v>4386</v>
      </c>
      <c r="F176" s="5">
        <v>2</v>
      </c>
      <c r="G176" s="5">
        <v>4</v>
      </c>
      <c r="H176" s="5" t="s">
        <v>116</v>
      </c>
      <c r="I176" s="5">
        <v>17859</v>
      </c>
      <c r="J176" s="5" t="s">
        <v>4374</v>
      </c>
      <c r="K176" s="5" t="s">
        <v>4356</v>
      </c>
      <c r="L176" s="5" t="s">
        <v>4370</v>
      </c>
    </row>
    <row r="177" spans="1:12" x14ac:dyDescent="0.25">
      <c r="A177" s="5" t="s">
        <v>4893</v>
      </c>
      <c r="B177" s="157">
        <v>45234</v>
      </c>
      <c r="C177" s="5" t="s">
        <v>4353</v>
      </c>
      <c r="D177" s="5" t="s">
        <v>4386</v>
      </c>
      <c r="E177" s="5" t="s">
        <v>4403</v>
      </c>
      <c r="F177" s="5">
        <v>4</v>
      </c>
      <c r="G177" s="5">
        <v>5</v>
      </c>
      <c r="H177" s="5" t="s">
        <v>116</v>
      </c>
      <c r="I177" s="5">
        <v>35668</v>
      </c>
      <c r="J177" s="5" t="s">
        <v>1256</v>
      </c>
      <c r="K177" s="5" t="s">
        <v>1256</v>
      </c>
      <c r="L177" s="5" t="s">
        <v>4370</v>
      </c>
    </row>
    <row r="178" spans="1:12" x14ac:dyDescent="0.25">
      <c r="A178" s="5" t="s">
        <v>4799</v>
      </c>
      <c r="B178" s="157">
        <v>45235</v>
      </c>
      <c r="C178" s="5" t="s">
        <v>4415</v>
      </c>
      <c r="D178" s="5" t="s">
        <v>4382</v>
      </c>
      <c r="E178" s="5" t="s">
        <v>4354</v>
      </c>
      <c r="F178" s="5">
        <v>1</v>
      </c>
      <c r="G178" s="5">
        <v>0</v>
      </c>
      <c r="H178" s="5" t="s">
        <v>4367</v>
      </c>
      <c r="I178" s="5">
        <v>47154</v>
      </c>
      <c r="J178" s="5" t="s">
        <v>4374</v>
      </c>
      <c r="K178" s="5" t="s">
        <v>4363</v>
      </c>
      <c r="L178" s="5" t="s">
        <v>4370</v>
      </c>
    </row>
    <row r="179" spans="1:12" x14ac:dyDescent="0.25">
      <c r="A179" s="5" t="s">
        <v>4752</v>
      </c>
      <c r="B179" s="157">
        <v>45236</v>
      </c>
      <c r="C179" s="5" t="s">
        <v>4402</v>
      </c>
      <c r="D179" s="5" t="s">
        <v>4354</v>
      </c>
      <c r="E179" s="5" t="s">
        <v>4430</v>
      </c>
      <c r="F179" s="5">
        <v>3</v>
      </c>
      <c r="G179" s="5">
        <v>2</v>
      </c>
      <c r="H179" s="5" t="s">
        <v>4367</v>
      </c>
      <c r="I179" s="5">
        <v>81548</v>
      </c>
      <c r="J179" s="5" t="s">
        <v>4383</v>
      </c>
      <c r="K179" s="5" t="s">
        <v>4375</v>
      </c>
      <c r="L179" s="5" t="s">
        <v>4364</v>
      </c>
    </row>
    <row r="180" spans="1:12" x14ac:dyDescent="0.25">
      <c r="A180" s="5" t="s">
        <v>4812</v>
      </c>
      <c r="B180" s="157">
        <v>45237</v>
      </c>
      <c r="C180" s="5" t="s">
        <v>4415</v>
      </c>
      <c r="D180" s="5" t="s">
        <v>4424</v>
      </c>
      <c r="E180" s="5" t="s">
        <v>4386</v>
      </c>
      <c r="F180" s="5">
        <v>2</v>
      </c>
      <c r="G180" s="5">
        <v>1</v>
      </c>
      <c r="H180" s="5" t="s">
        <v>4367</v>
      </c>
      <c r="I180" s="5">
        <v>53532</v>
      </c>
      <c r="J180" s="5" t="s">
        <v>4398</v>
      </c>
      <c r="K180" s="5" t="s">
        <v>4375</v>
      </c>
      <c r="L180" s="5" t="s">
        <v>4364</v>
      </c>
    </row>
    <row r="181" spans="1:12" x14ac:dyDescent="0.25">
      <c r="A181" s="5" t="s">
        <v>4656</v>
      </c>
      <c r="B181" s="157">
        <v>45241</v>
      </c>
      <c r="C181" s="5" t="s">
        <v>4402</v>
      </c>
      <c r="D181" s="5" t="s">
        <v>4378</v>
      </c>
      <c r="E181" s="5" t="s">
        <v>4470</v>
      </c>
      <c r="F181" s="5">
        <v>1</v>
      </c>
      <c r="G181" s="5">
        <v>3</v>
      </c>
      <c r="H181" s="5" t="s">
        <v>116</v>
      </c>
      <c r="I181" s="5">
        <v>63024</v>
      </c>
      <c r="J181" s="5" t="s">
        <v>4355</v>
      </c>
      <c r="K181" s="5" t="s">
        <v>1256</v>
      </c>
      <c r="L181" s="5" t="s">
        <v>4370</v>
      </c>
    </row>
    <row r="182" spans="1:12" x14ac:dyDescent="0.25">
      <c r="A182" s="5" t="s">
        <v>4489</v>
      </c>
      <c r="B182" s="157">
        <v>45242</v>
      </c>
      <c r="C182" s="5" t="s">
        <v>4353</v>
      </c>
      <c r="D182" s="5" t="s">
        <v>4424</v>
      </c>
      <c r="E182" s="5" t="s">
        <v>4386</v>
      </c>
      <c r="F182" s="5">
        <v>3</v>
      </c>
      <c r="G182" s="5">
        <v>2</v>
      </c>
      <c r="H182" s="5" t="s">
        <v>4367</v>
      </c>
      <c r="I182" s="5">
        <v>81289</v>
      </c>
      <c r="J182" s="5" t="s">
        <v>4421</v>
      </c>
      <c r="K182" s="5" t="s">
        <v>1256</v>
      </c>
      <c r="L182" s="5" t="s">
        <v>4389</v>
      </c>
    </row>
    <row r="183" spans="1:12" x14ac:dyDescent="0.25">
      <c r="A183" s="5" t="s">
        <v>4680</v>
      </c>
      <c r="B183" s="157">
        <v>45244</v>
      </c>
      <c r="C183" s="5" t="s">
        <v>4353</v>
      </c>
      <c r="D183" s="5" t="s">
        <v>4386</v>
      </c>
      <c r="E183" s="5" t="s">
        <v>4440</v>
      </c>
      <c r="F183" s="5">
        <v>1</v>
      </c>
      <c r="G183" s="5">
        <v>1</v>
      </c>
      <c r="H183" s="5" t="s">
        <v>4361</v>
      </c>
      <c r="I183" s="5">
        <v>33204</v>
      </c>
      <c r="J183" s="5" t="s">
        <v>4355</v>
      </c>
      <c r="K183" s="5" t="s">
        <v>4375</v>
      </c>
      <c r="L183" s="5" t="s">
        <v>4357</v>
      </c>
    </row>
    <row r="184" spans="1:12" x14ac:dyDescent="0.25">
      <c r="A184" s="5" t="s">
        <v>4517</v>
      </c>
      <c r="B184" s="157">
        <v>45248</v>
      </c>
      <c r="C184" s="5" t="s">
        <v>4415</v>
      </c>
      <c r="D184" s="5" t="s">
        <v>4354</v>
      </c>
      <c r="E184" s="5" t="s">
        <v>4369</v>
      </c>
      <c r="F184" s="5">
        <v>0</v>
      </c>
      <c r="G184" s="5">
        <v>1</v>
      </c>
      <c r="H184" s="5" t="s">
        <v>116</v>
      </c>
      <c r="I184" s="5">
        <v>0</v>
      </c>
      <c r="J184" s="5" t="s">
        <v>4442</v>
      </c>
      <c r="K184" s="5" t="s">
        <v>4363</v>
      </c>
      <c r="L184" s="5" t="s">
        <v>4364</v>
      </c>
    </row>
    <row r="185" spans="1:12" x14ac:dyDescent="0.25">
      <c r="A185" s="5" t="s">
        <v>4775</v>
      </c>
      <c r="B185" s="157">
        <v>45248</v>
      </c>
      <c r="C185" s="5" t="s">
        <v>4359</v>
      </c>
      <c r="D185" s="5" t="s">
        <v>4369</v>
      </c>
      <c r="E185" s="5" t="s">
        <v>4387</v>
      </c>
      <c r="F185" s="5">
        <v>2</v>
      </c>
      <c r="G185" s="5">
        <v>2</v>
      </c>
      <c r="H185" s="5" t="s">
        <v>4361</v>
      </c>
      <c r="I185" s="5">
        <v>39859</v>
      </c>
      <c r="J185" s="5" t="s">
        <v>4417</v>
      </c>
      <c r="K185" s="5" t="s">
        <v>4399</v>
      </c>
      <c r="L185" s="5" t="s">
        <v>4389</v>
      </c>
    </row>
    <row r="186" spans="1:12" x14ac:dyDescent="0.25">
      <c r="A186" s="5" t="s">
        <v>4579</v>
      </c>
      <c r="B186" s="157">
        <v>45253</v>
      </c>
      <c r="C186" s="5" t="s">
        <v>4415</v>
      </c>
      <c r="D186" s="5" t="s">
        <v>4387</v>
      </c>
      <c r="E186" s="5" t="s">
        <v>4354</v>
      </c>
      <c r="F186" s="5">
        <v>1</v>
      </c>
      <c r="G186" s="5">
        <v>0</v>
      </c>
      <c r="H186" s="5" t="s">
        <v>4367</v>
      </c>
      <c r="I186" s="5">
        <v>8642</v>
      </c>
      <c r="J186" s="5" t="s">
        <v>4409</v>
      </c>
      <c r="K186" s="5" t="s">
        <v>1256</v>
      </c>
      <c r="L186" s="5" t="s">
        <v>4357</v>
      </c>
    </row>
    <row r="187" spans="1:12" x14ac:dyDescent="0.25">
      <c r="A187" s="5" t="s">
        <v>4883</v>
      </c>
      <c r="B187" s="157">
        <v>45254</v>
      </c>
      <c r="C187" s="5" t="s">
        <v>4415</v>
      </c>
      <c r="D187" s="5" t="s">
        <v>4424</v>
      </c>
      <c r="E187" s="5" t="s">
        <v>4387</v>
      </c>
      <c r="F187" s="5">
        <v>2</v>
      </c>
      <c r="G187" s="5">
        <v>4</v>
      </c>
      <c r="H187" s="5" t="s">
        <v>116</v>
      </c>
      <c r="I187" s="5">
        <v>36100</v>
      </c>
      <c r="J187" s="5" t="s">
        <v>4444</v>
      </c>
      <c r="K187" s="5" t="s">
        <v>4405</v>
      </c>
      <c r="L187" s="5" t="s">
        <v>4357</v>
      </c>
    </row>
    <row r="188" spans="1:12" x14ac:dyDescent="0.25">
      <c r="A188" s="5" t="s">
        <v>4841</v>
      </c>
      <c r="B188" s="157">
        <v>45257</v>
      </c>
      <c r="C188" s="5" t="s">
        <v>4415</v>
      </c>
      <c r="D188" s="5" t="s">
        <v>4395</v>
      </c>
      <c r="E188" s="5" t="s">
        <v>4424</v>
      </c>
      <c r="F188" s="5">
        <v>2</v>
      </c>
      <c r="G188" s="5">
        <v>1</v>
      </c>
      <c r="H188" s="5" t="s">
        <v>4367</v>
      </c>
      <c r="I188" s="5">
        <v>44688</v>
      </c>
      <c r="J188" s="5" t="s">
        <v>4362</v>
      </c>
      <c r="K188" s="5" t="s">
        <v>4375</v>
      </c>
      <c r="L188" s="5" t="s">
        <v>4364</v>
      </c>
    </row>
    <row r="189" spans="1:12" x14ac:dyDescent="0.25">
      <c r="A189" s="5" t="s">
        <v>4472</v>
      </c>
      <c r="B189" s="157">
        <v>45258</v>
      </c>
      <c r="C189" s="5" t="s">
        <v>4353</v>
      </c>
      <c r="D189" s="5" t="s">
        <v>4412</v>
      </c>
      <c r="E189" s="5" t="s">
        <v>4377</v>
      </c>
      <c r="F189" s="5">
        <v>1</v>
      </c>
      <c r="G189" s="5">
        <v>1</v>
      </c>
      <c r="H189" s="5" t="s">
        <v>4361</v>
      </c>
      <c r="I189" s="5">
        <v>61065</v>
      </c>
      <c r="J189" s="5" t="s">
        <v>4374</v>
      </c>
      <c r="K189" s="5" t="s">
        <v>4356</v>
      </c>
      <c r="L189" s="5" t="s">
        <v>4364</v>
      </c>
    </row>
    <row r="190" spans="1:12" x14ac:dyDescent="0.25">
      <c r="A190" s="5" t="s">
        <v>4846</v>
      </c>
      <c r="B190" s="157">
        <v>45258</v>
      </c>
      <c r="C190" s="5" t="s">
        <v>4415</v>
      </c>
      <c r="D190" s="5" t="s">
        <v>4387</v>
      </c>
      <c r="E190" s="5" t="s">
        <v>4424</v>
      </c>
      <c r="F190" s="5">
        <v>3</v>
      </c>
      <c r="G190" s="5">
        <v>5</v>
      </c>
      <c r="H190" s="5" t="s">
        <v>116</v>
      </c>
      <c r="I190" s="5">
        <v>62540</v>
      </c>
      <c r="J190" s="5" t="s">
        <v>4374</v>
      </c>
      <c r="K190" s="5" t="s">
        <v>4356</v>
      </c>
      <c r="L190" s="5" t="s">
        <v>1256</v>
      </c>
    </row>
    <row r="191" spans="1:12" x14ac:dyDescent="0.25">
      <c r="A191" s="5" t="s">
        <v>4392</v>
      </c>
      <c r="B191" s="157">
        <v>45267</v>
      </c>
      <c r="C191" s="5" t="s">
        <v>1256</v>
      </c>
      <c r="D191" s="5" t="s">
        <v>4369</v>
      </c>
      <c r="E191" s="5" t="s">
        <v>4378</v>
      </c>
      <c r="F191" s="5">
        <v>1</v>
      </c>
      <c r="G191" s="5">
        <v>1</v>
      </c>
      <c r="H191" s="5" t="s">
        <v>4361</v>
      </c>
      <c r="I191" s="5">
        <v>45377</v>
      </c>
      <c r="J191" s="5" t="s">
        <v>4393</v>
      </c>
      <c r="K191" s="5" t="s">
        <v>1256</v>
      </c>
      <c r="L191" s="5" t="s">
        <v>4370</v>
      </c>
    </row>
    <row r="192" spans="1:12" x14ac:dyDescent="0.25">
      <c r="A192" s="5" t="s">
        <v>4507</v>
      </c>
      <c r="B192" s="157">
        <v>45270</v>
      </c>
      <c r="C192" s="5" t="s">
        <v>4402</v>
      </c>
      <c r="D192" s="5" t="s">
        <v>4354</v>
      </c>
      <c r="E192" s="5" t="s">
        <v>4369</v>
      </c>
      <c r="F192" s="5">
        <v>2</v>
      </c>
      <c r="G192" s="5">
        <v>2</v>
      </c>
      <c r="H192" s="5" t="s">
        <v>4361</v>
      </c>
      <c r="I192" s="5">
        <v>39869</v>
      </c>
      <c r="J192" s="5" t="s">
        <v>4442</v>
      </c>
      <c r="K192" s="5" t="s">
        <v>4363</v>
      </c>
      <c r="L192" s="5" t="s">
        <v>4370</v>
      </c>
    </row>
    <row r="193" spans="1:12" x14ac:dyDescent="0.25">
      <c r="A193" s="5" t="s">
        <v>4881</v>
      </c>
      <c r="B193" s="157">
        <v>45272</v>
      </c>
      <c r="C193" s="5" t="s">
        <v>4415</v>
      </c>
      <c r="D193" s="5" t="s">
        <v>4378</v>
      </c>
      <c r="E193" s="5" t="s">
        <v>4386</v>
      </c>
      <c r="F193" s="5">
        <v>6</v>
      </c>
      <c r="G193" s="5">
        <v>1</v>
      </c>
      <c r="H193" s="5" t="s">
        <v>4367</v>
      </c>
      <c r="I193" s="5">
        <v>12652</v>
      </c>
      <c r="J193" s="5" t="s">
        <v>4380</v>
      </c>
      <c r="K193" s="5" t="s">
        <v>4405</v>
      </c>
      <c r="L193" s="5" t="s">
        <v>4364</v>
      </c>
    </row>
    <row r="194" spans="1:12" x14ac:dyDescent="0.25">
      <c r="A194" s="5" t="s">
        <v>4755</v>
      </c>
      <c r="B194" s="157">
        <v>45279</v>
      </c>
      <c r="C194" s="5" t="s">
        <v>4366</v>
      </c>
      <c r="D194" s="5" t="s">
        <v>4373</v>
      </c>
      <c r="E194" s="5" t="s">
        <v>4430</v>
      </c>
      <c r="F194" s="5">
        <v>2</v>
      </c>
      <c r="G194" s="5">
        <v>1</v>
      </c>
      <c r="H194" s="5" t="s">
        <v>4367</v>
      </c>
      <c r="I194" s="5">
        <v>34130</v>
      </c>
      <c r="J194" s="5" t="s">
        <v>4393</v>
      </c>
      <c r="K194" s="5" t="s">
        <v>4375</v>
      </c>
      <c r="L194" s="5" t="s">
        <v>4389</v>
      </c>
    </row>
    <row r="195" spans="1:12" x14ac:dyDescent="0.25">
      <c r="A195" s="5" t="s">
        <v>4860</v>
      </c>
      <c r="B195" s="157">
        <v>45282</v>
      </c>
      <c r="C195" s="5" t="s">
        <v>4415</v>
      </c>
      <c r="D195" s="5" t="s">
        <v>4412</v>
      </c>
      <c r="E195" s="5" t="s">
        <v>4387</v>
      </c>
      <c r="F195" s="5">
        <v>5</v>
      </c>
      <c r="G195" s="5">
        <v>1</v>
      </c>
      <c r="H195" s="5" t="s">
        <v>4367</v>
      </c>
      <c r="I195" s="5">
        <v>47669</v>
      </c>
      <c r="J195" s="5" t="s">
        <v>4388</v>
      </c>
      <c r="K195" s="5" t="s">
        <v>4356</v>
      </c>
      <c r="L195" s="5" t="s">
        <v>4357</v>
      </c>
    </row>
    <row r="196" spans="1:12" x14ac:dyDescent="0.25">
      <c r="A196" s="5" t="s">
        <v>4743</v>
      </c>
      <c r="B196" s="157">
        <v>45283</v>
      </c>
      <c r="C196" s="5" t="s">
        <v>4353</v>
      </c>
      <c r="D196" s="5" t="s">
        <v>4424</v>
      </c>
      <c r="E196" s="5" t="s">
        <v>4354</v>
      </c>
      <c r="F196" s="5">
        <v>1</v>
      </c>
      <c r="G196" s="5">
        <v>5</v>
      </c>
      <c r="H196" s="5" t="s">
        <v>116</v>
      </c>
      <c r="I196" s="5">
        <v>12892</v>
      </c>
      <c r="J196" s="5" t="s">
        <v>4409</v>
      </c>
      <c r="K196" s="5" t="s">
        <v>1256</v>
      </c>
      <c r="L196" s="5" t="s">
        <v>1256</v>
      </c>
    </row>
    <row r="197" spans="1:12" x14ac:dyDescent="0.25">
      <c r="A197" s="5" t="s">
        <v>4827</v>
      </c>
      <c r="B197" s="157">
        <v>45284</v>
      </c>
      <c r="C197" s="5" t="s">
        <v>4359</v>
      </c>
      <c r="D197" s="5" t="s">
        <v>5006</v>
      </c>
      <c r="E197" s="5" t="s">
        <v>4412</v>
      </c>
      <c r="F197" s="5">
        <v>0</v>
      </c>
      <c r="G197" s="5">
        <v>0</v>
      </c>
      <c r="H197" s="5" t="s">
        <v>4361</v>
      </c>
      <c r="I197" s="5">
        <v>34597</v>
      </c>
      <c r="J197" s="5" t="s">
        <v>4388</v>
      </c>
      <c r="K197" s="5" t="s">
        <v>4363</v>
      </c>
      <c r="L197" s="5" t="s">
        <v>4364</v>
      </c>
    </row>
    <row r="198" spans="1:12" x14ac:dyDescent="0.25">
      <c r="A198" s="5" t="s">
        <v>4646</v>
      </c>
      <c r="B198" s="157">
        <v>45285</v>
      </c>
      <c r="C198" s="5" t="s">
        <v>4353</v>
      </c>
      <c r="D198" s="5" t="s">
        <v>4470</v>
      </c>
      <c r="E198" s="5" t="s">
        <v>4424</v>
      </c>
      <c r="F198" s="5">
        <v>0</v>
      </c>
      <c r="G198" s="5">
        <v>1</v>
      </c>
      <c r="H198" s="5" t="s">
        <v>116</v>
      </c>
      <c r="I198" s="5">
        <v>59972</v>
      </c>
      <c r="J198" s="5" t="s">
        <v>4393</v>
      </c>
      <c r="K198" s="5" t="s">
        <v>4356</v>
      </c>
      <c r="L198" s="5" t="s">
        <v>4364</v>
      </c>
    </row>
    <row r="199" spans="1:12" x14ac:dyDescent="0.25">
      <c r="A199" s="5" t="s">
        <v>4439</v>
      </c>
      <c r="B199" s="157">
        <v>45286</v>
      </c>
      <c r="C199" s="5" t="s">
        <v>4415</v>
      </c>
      <c r="D199" s="5" t="s">
        <v>4382</v>
      </c>
      <c r="E199" s="5" t="s">
        <v>4440</v>
      </c>
      <c r="F199" s="5">
        <v>0</v>
      </c>
      <c r="G199" s="5">
        <v>2</v>
      </c>
      <c r="H199" s="5" t="s">
        <v>116</v>
      </c>
      <c r="I199" s="5">
        <v>0</v>
      </c>
      <c r="J199" s="5" t="s">
        <v>4421</v>
      </c>
      <c r="K199" s="5" t="s">
        <v>1256</v>
      </c>
      <c r="L199" s="5" t="s">
        <v>1256</v>
      </c>
    </row>
    <row r="200" spans="1:12" x14ac:dyDescent="0.25">
      <c r="A200" s="5" t="s">
        <v>4467</v>
      </c>
      <c r="B200" s="157">
        <v>45288</v>
      </c>
      <c r="C200" s="5" t="s">
        <v>4402</v>
      </c>
      <c r="D200" s="5" t="s">
        <v>4412</v>
      </c>
      <c r="E200" s="5" t="s">
        <v>4412</v>
      </c>
      <c r="F200" s="5">
        <v>1</v>
      </c>
      <c r="G200" s="5">
        <v>3</v>
      </c>
      <c r="H200" s="5" t="s">
        <v>116</v>
      </c>
      <c r="I200" s="5">
        <v>38063</v>
      </c>
      <c r="J200" s="5" t="s">
        <v>4417</v>
      </c>
      <c r="K200" s="5" t="s">
        <v>4363</v>
      </c>
      <c r="L200" s="5" t="s">
        <v>1256</v>
      </c>
    </row>
    <row r="201" spans="1:12" x14ac:dyDescent="0.25">
      <c r="A201" s="5" t="s">
        <v>4943</v>
      </c>
      <c r="B201" s="157">
        <v>45291</v>
      </c>
      <c r="C201" s="5" t="s">
        <v>4366</v>
      </c>
      <c r="D201" s="5" t="s">
        <v>4372</v>
      </c>
      <c r="E201" s="5" t="s">
        <v>5006</v>
      </c>
      <c r="F201" s="5">
        <v>1</v>
      </c>
      <c r="G201" s="5">
        <v>1</v>
      </c>
      <c r="H201" s="5" t="s">
        <v>4361</v>
      </c>
      <c r="I201" s="5">
        <v>15628</v>
      </c>
      <c r="J201" s="5" t="s">
        <v>4398</v>
      </c>
      <c r="K201" s="5" t="s">
        <v>1256</v>
      </c>
      <c r="L201" s="5" t="s">
        <v>4364</v>
      </c>
    </row>
    <row r="202" spans="1:12" x14ac:dyDescent="0.25">
      <c r="A202" s="5" t="s">
        <v>4828</v>
      </c>
      <c r="B202" s="157">
        <v>45294</v>
      </c>
      <c r="C202" s="5" t="s">
        <v>4402</v>
      </c>
      <c r="D202" s="5" t="s">
        <v>4378</v>
      </c>
      <c r="E202" s="5" t="s">
        <v>4382</v>
      </c>
      <c r="F202" s="5">
        <v>2</v>
      </c>
      <c r="G202" s="5">
        <v>2</v>
      </c>
      <c r="H202" s="5" t="s">
        <v>4361</v>
      </c>
      <c r="I202" s="5">
        <v>46200</v>
      </c>
      <c r="J202" s="5" t="s">
        <v>4417</v>
      </c>
      <c r="K202" s="5" t="s">
        <v>1256</v>
      </c>
      <c r="L202" s="5" t="s">
        <v>4389</v>
      </c>
    </row>
    <row r="203" spans="1:12" x14ac:dyDescent="0.25">
      <c r="A203" s="5" t="s">
        <v>4702</v>
      </c>
      <c r="B203" s="157">
        <v>45300</v>
      </c>
      <c r="C203" s="5" t="s">
        <v>4359</v>
      </c>
      <c r="D203" s="5" t="s">
        <v>4378</v>
      </c>
      <c r="E203" s="5" t="s">
        <v>4382</v>
      </c>
      <c r="F203" s="5">
        <v>2</v>
      </c>
      <c r="G203" s="5">
        <v>0</v>
      </c>
      <c r="H203" s="5" t="s">
        <v>4367</v>
      </c>
      <c r="I203" s="5">
        <v>47169</v>
      </c>
      <c r="J203" s="5" t="s">
        <v>1256</v>
      </c>
      <c r="K203" s="5" t="s">
        <v>4384</v>
      </c>
      <c r="L203" s="5" t="s">
        <v>4389</v>
      </c>
    </row>
    <row r="204" spans="1:12" x14ac:dyDescent="0.25">
      <c r="A204" s="5" t="s">
        <v>4991</v>
      </c>
      <c r="B204" s="157">
        <v>45303</v>
      </c>
      <c r="C204" s="5" t="s">
        <v>4366</v>
      </c>
      <c r="D204" s="5" t="s">
        <v>4412</v>
      </c>
      <c r="E204" s="5" t="s">
        <v>4424</v>
      </c>
      <c r="F204" s="5">
        <v>1</v>
      </c>
      <c r="G204" s="5">
        <v>2</v>
      </c>
      <c r="H204" s="5" t="s">
        <v>116</v>
      </c>
      <c r="I204" s="5">
        <v>37471</v>
      </c>
      <c r="J204" s="5" t="s">
        <v>4393</v>
      </c>
      <c r="K204" s="5" t="s">
        <v>4363</v>
      </c>
      <c r="L204" s="5" t="s">
        <v>4364</v>
      </c>
    </row>
    <row r="205" spans="1:12" x14ac:dyDescent="0.25">
      <c r="A205" s="5" t="s">
        <v>4728</v>
      </c>
      <c r="B205" s="157">
        <v>45303</v>
      </c>
      <c r="C205" s="5" t="s">
        <v>4415</v>
      </c>
      <c r="D205" s="5" t="s">
        <v>4424</v>
      </c>
      <c r="E205" s="5" t="s">
        <v>4387</v>
      </c>
      <c r="F205" s="5">
        <v>2</v>
      </c>
      <c r="G205" s="5">
        <v>2</v>
      </c>
      <c r="H205" s="5" t="s">
        <v>4361</v>
      </c>
      <c r="I205" s="5">
        <v>52492</v>
      </c>
      <c r="J205" s="5" t="s">
        <v>4417</v>
      </c>
      <c r="K205" s="5" t="s">
        <v>4375</v>
      </c>
      <c r="L205" s="5" t="s">
        <v>4389</v>
      </c>
    </row>
    <row r="206" spans="1:12" x14ac:dyDescent="0.25">
      <c r="A206" s="5" t="s">
        <v>4447</v>
      </c>
      <c r="B206" s="157">
        <v>45309</v>
      </c>
      <c r="C206" s="5" t="s">
        <v>4359</v>
      </c>
      <c r="D206" s="5" t="s">
        <v>4386</v>
      </c>
      <c r="E206" s="5" t="s">
        <v>4373</v>
      </c>
      <c r="F206" s="5">
        <v>3</v>
      </c>
      <c r="G206" s="5">
        <v>1</v>
      </c>
      <c r="H206" s="5" t="s">
        <v>4367</v>
      </c>
      <c r="I206" s="5">
        <v>44618</v>
      </c>
      <c r="J206" s="5" t="s">
        <v>4417</v>
      </c>
      <c r="K206" s="5" t="s">
        <v>4405</v>
      </c>
      <c r="L206" s="5" t="s">
        <v>4389</v>
      </c>
    </row>
    <row r="207" spans="1:12" x14ac:dyDescent="0.25">
      <c r="A207" s="5" t="s">
        <v>5000</v>
      </c>
      <c r="B207" s="157">
        <v>45312</v>
      </c>
      <c r="C207" s="5" t="s">
        <v>4415</v>
      </c>
      <c r="D207" s="5" t="s">
        <v>4369</v>
      </c>
      <c r="E207" s="5" t="s">
        <v>4412</v>
      </c>
      <c r="F207" s="5">
        <v>2</v>
      </c>
      <c r="G207" s="5">
        <v>2</v>
      </c>
      <c r="H207" s="5" t="s">
        <v>4361</v>
      </c>
      <c r="I207" s="5">
        <v>73531</v>
      </c>
      <c r="J207" s="5" t="s">
        <v>4393</v>
      </c>
      <c r="K207" s="5" t="s">
        <v>1256</v>
      </c>
      <c r="L207" s="5" t="s">
        <v>4370</v>
      </c>
    </row>
    <row r="208" spans="1:12" x14ac:dyDescent="0.25">
      <c r="A208" s="5" t="s">
        <v>4784</v>
      </c>
      <c r="B208" s="157">
        <v>45313</v>
      </c>
      <c r="C208" s="5" t="s">
        <v>4402</v>
      </c>
      <c r="D208" s="5" t="s">
        <v>5006</v>
      </c>
      <c r="E208" s="5" t="s">
        <v>4373</v>
      </c>
      <c r="F208" s="5">
        <v>2</v>
      </c>
      <c r="G208" s="5">
        <v>2</v>
      </c>
      <c r="H208" s="5" t="s">
        <v>4361</v>
      </c>
      <c r="I208" s="5">
        <v>58113</v>
      </c>
      <c r="J208" s="5" t="s">
        <v>4383</v>
      </c>
      <c r="K208" s="5" t="s">
        <v>4375</v>
      </c>
      <c r="L208" s="5" t="s">
        <v>1256</v>
      </c>
    </row>
    <row r="209" spans="1:12" x14ac:dyDescent="0.25">
      <c r="A209" s="5" t="s">
        <v>4669</v>
      </c>
      <c r="B209" s="157">
        <v>45317</v>
      </c>
      <c r="C209" s="5" t="s">
        <v>4353</v>
      </c>
      <c r="D209" s="5" t="s">
        <v>4412</v>
      </c>
      <c r="E209" s="5" t="s">
        <v>4440</v>
      </c>
      <c r="F209" s="5">
        <v>4</v>
      </c>
      <c r="G209" s="5">
        <v>3</v>
      </c>
      <c r="H209" s="5" t="s">
        <v>4367</v>
      </c>
      <c r="I209" s="5">
        <v>63944</v>
      </c>
      <c r="J209" s="5" t="s">
        <v>4355</v>
      </c>
      <c r="K209" s="5" t="s">
        <v>1256</v>
      </c>
      <c r="L209" s="5" t="s">
        <v>1256</v>
      </c>
    </row>
    <row r="210" spans="1:12" x14ac:dyDescent="0.25">
      <c r="A210" s="5" t="s">
        <v>4443</v>
      </c>
      <c r="B210" s="157">
        <v>45317</v>
      </c>
      <c r="C210" s="5" t="s">
        <v>4353</v>
      </c>
      <c r="D210" s="5" t="s">
        <v>4387</v>
      </c>
      <c r="E210" s="5" t="s">
        <v>4373</v>
      </c>
      <c r="F210" s="5">
        <v>1</v>
      </c>
      <c r="G210" s="5">
        <v>1</v>
      </c>
      <c r="H210" s="5" t="s">
        <v>4361</v>
      </c>
      <c r="I210" s="5">
        <v>55165</v>
      </c>
      <c r="J210" s="5" t="s">
        <v>4444</v>
      </c>
      <c r="K210" s="5" t="s">
        <v>4375</v>
      </c>
      <c r="L210" s="5" t="s">
        <v>4357</v>
      </c>
    </row>
    <row r="211" spans="1:12" x14ac:dyDescent="0.25">
      <c r="A211" s="5" t="s">
        <v>4687</v>
      </c>
      <c r="B211" s="157">
        <v>45324</v>
      </c>
      <c r="C211" s="5" t="s">
        <v>4415</v>
      </c>
      <c r="D211" s="5" t="s">
        <v>4440</v>
      </c>
      <c r="E211" s="5" t="s">
        <v>4424</v>
      </c>
      <c r="F211" s="5">
        <v>2</v>
      </c>
      <c r="G211" s="5">
        <v>0</v>
      </c>
      <c r="H211" s="5" t="s">
        <v>4367</v>
      </c>
      <c r="I211" s="5">
        <v>52410</v>
      </c>
      <c r="J211" s="5" t="s">
        <v>4413</v>
      </c>
      <c r="K211" s="5" t="s">
        <v>4405</v>
      </c>
      <c r="L211" s="5" t="s">
        <v>4370</v>
      </c>
    </row>
    <row r="212" spans="1:12" x14ac:dyDescent="0.25">
      <c r="A212" s="5" t="s">
        <v>4654</v>
      </c>
      <c r="B212" s="157">
        <v>45340</v>
      </c>
      <c r="C212" s="5" t="s">
        <v>4353</v>
      </c>
      <c r="D212" s="5" t="s">
        <v>4412</v>
      </c>
      <c r="E212" s="5" t="s">
        <v>4403</v>
      </c>
      <c r="F212" s="5">
        <v>2</v>
      </c>
      <c r="G212" s="5">
        <v>3</v>
      </c>
      <c r="H212" s="5" t="s">
        <v>116</v>
      </c>
      <c r="I212" s="5">
        <v>47663</v>
      </c>
      <c r="J212" s="5" t="s">
        <v>4409</v>
      </c>
      <c r="K212" s="5" t="s">
        <v>4356</v>
      </c>
      <c r="L212" s="5" t="s">
        <v>4364</v>
      </c>
    </row>
    <row r="213" spans="1:12" x14ac:dyDescent="0.25">
      <c r="A213" s="5" t="s">
        <v>4875</v>
      </c>
      <c r="B213" s="157">
        <v>45343</v>
      </c>
      <c r="C213" s="5" t="s">
        <v>4359</v>
      </c>
      <c r="D213" s="5" t="s">
        <v>4378</v>
      </c>
      <c r="E213" s="5" t="s">
        <v>4403</v>
      </c>
      <c r="F213" s="5">
        <v>1</v>
      </c>
      <c r="G213" s="5">
        <v>4</v>
      </c>
      <c r="H213" s="5" t="s">
        <v>116</v>
      </c>
      <c r="I213" s="5">
        <v>21896</v>
      </c>
      <c r="J213" s="5" t="s">
        <v>4380</v>
      </c>
      <c r="K213" s="5" t="s">
        <v>4405</v>
      </c>
      <c r="L213" s="5" t="s">
        <v>4357</v>
      </c>
    </row>
    <row r="214" spans="1:12" x14ac:dyDescent="0.25">
      <c r="A214" s="5" t="s">
        <v>4688</v>
      </c>
      <c r="B214" s="157">
        <v>45344</v>
      </c>
      <c r="C214" s="5" t="s">
        <v>4366</v>
      </c>
      <c r="D214" s="5" t="s">
        <v>4424</v>
      </c>
      <c r="E214" s="5" t="s">
        <v>4354</v>
      </c>
      <c r="F214" s="5">
        <v>2</v>
      </c>
      <c r="G214" s="5">
        <v>3</v>
      </c>
      <c r="H214" s="5" t="s">
        <v>116</v>
      </c>
      <c r="I214" s="5">
        <v>81472</v>
      </c>
      <c r="J214" s="5" t="s">
        <v>4374</v>
      </c>
      <c r="K214" s="5" t="s">
        <v>4396</v>
      </c>
      <c r="L214" s="5" t="s">
        <v>4357</v>
      </c>
    </row>
    <row r="215" spans="1:12" x14ac:dyDescent="0.25">
      <c r="A215" s="5" t="s">
        <v>4438</v>
      </c>
      <c r="B215" s="157">
        <v>45346</v>
      </c>
      <c r="C215" s="5" t="s">
        <v>4402</v>
      </c>
      <c r="D215" s="5" t="s">
        <v>4372</v>
      </c>
      <c r="E215" s="5" t="s">
        <v>4378</v>
      </c>
      <c r="F215" s="5">
        <v>0</v>
      </c>
      <c r="G215" s="5">
        <v>1</v>
      </c>
      <c r="H215" s="5" t="s">
        <v>116</v>
      </c>
      <c r="I215" s="5">
        <v>66787</v>
      </c>
      <c r="J215" s="5" t="s">
        <v>4409</v>
      </c>
      <c r="K215" s="5" t="s">
        <v>4363</v>
      </c>
      <c r="L215" s="5" t="s">
        <v>4357</v>
      </c>
    </row>
    <row r="216" spans="1:12" x14ac:dyDescent="0.25">
      <c r="A216" s="5" t="s">
        <v>4641</v>
      </c>
      <c r="B216" s="157">
        <v>45352</v>
      </c>
      <c r="C216" s="5" t="s">
        <v>4415</v>
      </c>
      <c r="D216" s="5" t="s">
        <v>4470</v>
      </c>
      <c r="E216" s="5" t="s">
        <v>4378</v>
      </c>
      <c r="F216" s="5">
        <v>3</v>
      </c>
      <c r="G216" s="5">
        <v>1</v>
      </c>
      <c r="H216" s="5" t="s">
        <v>4367</v>
      </c>
      <c r="I216" s="5">
        <v>80994</v>
      </c>
      <c r="J216" s="5" t="s">
        <v>4393</v>
      </c>
      <c r="K216" s="5" t="s">
        <v>4399</v>
      </c>
      <c r="L216" s="5" t="s">
        <v>4370</v>
      </c>
    </row>
    <row r="217" spans="1:12" x14ac:dyDescent="0.25">
      <c r="A217" s="5" t="s">
        <v>4707</v>
      </c>
      <c r="B217" s="157">
        <v>45353</v>
      </c>
      <c r="C217" s="5" t="s">
        <v>4353</v>
      </c>
      <c r="D217" s="5" t="s">
        <v>4403</v>
      </c>
      <c r="E217" s="5" t="s">
        <v>4387</v>
      </c>
      <c r="F217" s="5">
        <v>2</v>
      </c>
      <c r="G217" s="5">
        <v>1</v>
      </c>
      <c r="H217" s="5" t="s">
        <v>4367</v>
      </c>
      <c r="I217" s="5">
        <v>0</v>
      </c>
      <c r="J217" s="5" t="s">
        <v>4413</v>
      </c>
      <c r="K217" s="5" t="s">
        <v>4384</v>
      </c>
      <c r="L217" s="5" t="s">
        <v>4364</v>
      </c>
    </row>
    <row r="218" spans="1:12" x14ac:dyDescent="0.25">
      <c r="A218" s="5" t="s">
        <v>4710</v>
      </c>
      <c r="B218" s="157">
        <v>45353</v>
      </c>
      <c r="C218" s="5" t="s">
        <v>4366</v>
      </c>
      <c r="D218" s="5" t="s">
        <v>4440</v>
      </c>
      <c r="E218" s="5" t="s">
        <v>4377</v>
      </c>
      <c r="F218" s="5">
        <v>1</v>
      </c>
      <c r="G218" s="5">
        <v>3</v>
      </c>
      <c r="H218" s="5" t="s">
        <v>116</v>
      </c>
      <c r="I218" s="5">
        <v>15363</v>
      </c>
      <c r="J218" s="5" t="s">
        <v>4413</v>
      </c>
      <c r="K218" s="5" t="s">
        <v>4363</v>
      </c>
      <c r="L218" s="5" t="s">
        <v>4357</v>
      </c>
    </row>
    <row r="219" spans="1:12" x14ac:dyDescent="0.25">
      <c r="A219" s="5" t="s">
        <v>4435</v>
      </c>
      <c r="B219" s="157">
        <v>45353</v>
      </c>
      <c r="C219" s="5" t="s">
        <v>4359</v>
      </c>
      <c r="D219" s="5" t="s">
        <v>4373</v>
      </c>
      <c r="E219" s="5" t="s">
        <v>4386</v>
      </c>
      <c r="F219" s="5">
        <v>0</v>
      </c>
      <c r="G219" s="5">
        <v>2</v>
      </c>
      <c r="H219" s="5" t="s">
        <v>116</v>
      </c>
      <c r="I219" s="5">
        <v>75911</v>
      </c>
      <c r="J219" s="5" t="s">
        <v>4413</v>
      </c>
      <c r="K219" s="5" t="s">
        <v>1256</v>
      </c>
      <c r="L219" s="5" t="s">
        <v>4364</v>
      </c>
    </row>
    <row r="220" spans="1:12" x14ac:dyDescent="0.25">
      <c r="A220" s="5" t="s">
        <v>4554</v>
      </c>
      <c r="B220" s="157">
        <v>45359</v>
      </c>
      <c r="C220" s="5" t="s">
        <v>4366</v>
      </c>
      <c r="D220" s="5" t="s">
        <v>4378</v>
      </c>
      <c r="E220" s="5" t="s">
        <v>4412</v>
      </c>
      <c r="F220" s="5">
        <v>1</v>
      </c>
      <c r="G220" s="5">
        <v>1</v>
      </c>
      <c r="H220" s="5" t="s">
        <v>4361</v>
      </c>
      <c r="I220" s="5">
        <v>19061</v>
      </c>
      <c r="J220" s="5" t="s">
        <v>4444</v>
      </c>
      <c r="K220" s="5" t="s">
        <v>4356</v>
      </c>
      <c r="L220" s="5" t="s">
        <v>4389</v>
      </c>
    </row>
    <row r="221" spans="1:12" x14ac:dyDescent="0.25">
      <c r="A221" s="5" t="s">
        <v>4578</v>
      </c>
      <c r="B221" s="157">
        <v>45363</v>
      </c>
      <c r="C221" s="5" t="s">
        <v>4415</v>
      </c>
      <c r="D221" s="5" t="s">
        <v>4424</v>
      </c>
      <c r="E221" s="5" t="s">
        <v>4377</v>
      </c>
      <c r="F221" s="5">
        <v>1</v>
      </c>
      <c r="G221" s="5">
        <v>2</v>
      </c>
      <c r="H221" s="5" t="s">
        <v>116</v>
      </c>
      <c r="I221" s="5">
        <v>12283</v>
      </c>
      <c r="J221" s="5" t="s">
        <v>4417</v>
      </c>
      <c r="K221" s="5" t="s">
        <v>4384</v>
      </c>
      <c r="L221" s="5" t="s">
        <v>1256</v>
      </c>
    </row>
    <row r="222" spans="1:12" x14ac:dyDescent="0.25">
      <c r="A222" s="5" t="s">
        <v>4420</v>
      </c>
      <c r="B222" s="157">
        <v>45363</v>
      </c>
      <c r="C222" s="5" t="s">
        <v>4402</v>
      </c>
      <c r="D222" s="5" t="s">
        <v>4373</v>
      </c>
      <c r="E222" s="5" t="s">
        <v>4369</v>
      </c>
      <c r="F222" s="5">
        <v>2</v>
      </c>
      <c r="G222" s="5">
        <v>0</v>
      </c>
      <c r="H222" s="5" t="s">
        <v>4367</v>
      </c>
      <c r="I222" s="5">
        <v>59297</v>
      </c>
      <c r="J222" s="5" t="s">
        <v>4421</v>
      </c>
      <c r="K222" s="5" t="s">
        <v>4363</v>
      </c>
      <c r="L222" s="5" t="s">
        <v>4364</v>
      </c>
    </row>
    <row r="223" spans="1:12" x14ac:dyDescent="0.25">
      <c r="A223" s="5" t="s">
        <v>4621</v>
      </c>
      <c r="B223" s="157">
        <v>45366</v>
      </c>
      <c r="C223" s="5" t="s">
        <v>4415</v>
      </c>
      <c r="D223" s="5" t="s">
        <v>4382</v>
      </c>
      <c r="E223" s="5" t="s">
        <v>4373</v>
      </c>
      <c r="F223" s="5">
        <v>5</v>
      </c>
      <c r="G223" s="5">
        <v>3</v>
      </c>
      <c r="H223" s="5" t="s">
        <v>4367</v>
      </c>
      <c r="I223" s="5">
        <v>58323</v>
      </c>
      <c r="J223" s="5" t="s">
        <v>4388</v>
      </c>
      <c r="K223" s="5" t="s">
        <v>1256</v>
      </c>
      <c r="L223" s="5" t="s">
        <v>1256</v>
      </c>
    </row>
    <row r="224" spans="1:12" x14ac:dyDescent="0.25">
      <c r="A224" s="5" t="s">
        <v>4717</v>
      </c>
      <c r="B224" s="157">
        <v>45370</v>
      </c>
      <c r="C224" s="5" t="s">
        <v>4366</v>
      </c>
      <c r="D224" s="5" t="s">
        <v>4430</v>
      </c>
      <c r="E224" s="5" t="s">
        <v>4403</v>
      </c>
      <c r="F224" s="5">
        <v>2</v>
      </c>
      <c r="G224" s="5">
        <v>0</v>
      </c>
      <c r="H224" s="5" t="s">
        <v>1256</v>
      </c>
      <c r="I224" s="5">
        <v>40275</v>
      </c>
      <c r="J224" s="5" t="s">
        <v>4383</v>
      </c>
      <c r="K224" s="5" t="s">
        <v>4405</v>
      </c>
      <c r="L224" s="5" t="s">
        <v>4370</v>
      </c>
    </row>
    <row r="225" spans="1:12" x14ac:dyDescent="0.25">
      <c r="A225" s="5" t="s">
        <v>4733</v>
      </c>
      <c r="B225" s="157">
        <v>45371</v>
      </c>
      <c r="C225" s="5" t="s">
        <v>4415</v>
      </c>
      <c r="D225" s="5" t="s">
        <v>4395</v>
      </c>
      <c r="E225" s="5" t="s">
        <v>4382</v>
      </c>
      <c r="F225" s="5">
        <v>5</v>
      </c>
      <c r="G225" s="5">
        <v>1</v>
      </c>
      <c r="H225" s="5" t="s">
        <v>4367</v>
      </c>
      <c r="I225" s="5">
        <v>48916</v>
      </c>
      <c r="J225" s="5" t="s">
        <v>4413</v>
      </c>
      <c r="K225" s="5" t="s">
        <v>4405</v>
      </c>
      <c r="L225" s="5" t="s">
        <v>4364</v>
      </c>
    </row>
    <row r="226" spans="1:12" x14ac:dyDescent="0.25">
      <c r="A226" s="5" t="s">
        <v>4777</v>
      </c>
      <c r="B226" s="157">
        <v>45371</v>
      </c>
      <c r="C226" s="5" t="s">
        <v>4415</v>
      </c>
      <c r="D226" s="5" t="s">
        <v>5006</v>
      </c>
      <c r="E226" s="5" t="s">
        <v>4382</v>
      </c>
      <c r="F226" s="5">
        <v>2</v>
      </c>
      <c r="G226" s="5">
        <v>1</v>
      </c>
      <c r="H226" s="5" t="s">
        <v>4367</v>
      </c>
      <c r="I226" s="5">
        <v>14500</v>
      </c>
      <c r="J226" s="5" t="s">
        <v>4444</v>
      </c>
      <c r="K226" s="5" t="s">
        <v>1256</v>
      </c>
      <c r="L226" s="5" t="s">
        <v>4389</v>
      </c>
    </row>
    <row r="227" spans="1:12" x14ac:dyDescent="0.25">
      <c r="A227" s="5" t="s">
        <v>4397</v>
      </c>
      <c r="B227" s="157">
        <v>45372</v>
      </c>
      <c r="C227" s="5" t="s">
        <v>4402</v>
      </c>
      <c r="D227" s="5" t="s">
        <v>4412</v>
      </c>
      <c r="E227" s="5" t="s">
        <v>4386</v>
      </c>
      <c r="F227" s="5">
        <v>2</v>
      </c>
      <c r="G227" s="5">
        <v>0</v>
      </c>
      <c r="H227" s="5" t="s">
        <v>4367</v>
      </c>
      <c r="I227" s="5">
        <v>21946</v>
      </c>
      <c r="J227" s="5" t="s">
        <v>4398</v>
      </c>
      <c r="K227" s="5" t="s">
        <v>4399</v>
      </c>
      <c r="L227" s="5" t="s">
        <v>4364</v>
      </c>
    </row>
    <row r="228" spans="1:12" x14ac:dyDescent="0.25">
      <c r="A228" s="5" t="s">
        <v>4899</v>
      </c>
      <c r="B228" s="157">
        <v>45377</v>
      </c>
      <c r="C228" s="5" t="s">
        <v>4366</v>
      </c>
      <c r="D228" s="5" t="s">
        <v>4403</v>
      </c>
      <c r="E228" s="5" t="s">
        <v>4387</v>
      </c>
      <c r="F228" s="5">
        <v>0</v>
      </c>
      <c r="G228" s="5">
        <v>0</v>
      </c>
      <c r="H228" s="5" t="s">
        <v>1256</v>
      </c>
      <c r="I228" s="5">
        <v>59827</v>
      </c>
      <c r="J228" s="5" t="s">
        <v>4398</v>
      </c>
      <c r="K228" s="5" t="s">
        <v>4399</v>
      </c>
      <c r="L228" s="5" t="s">
        <v>4389</v>
      </c>
    </row>
    <row r="229" spans="1:12" x14ac:dyDescent="0.25">
      <c r="A229" s="5" t="s">
        <v>4766</v>
      </c>
      <c r="B229" s="157">
        <v>45377</v>
      </c>
      <c r="C229" s="5" t="s">
        <v>4402</v>
      </c>
      <c r="D229" s="5" t="s">
        <v>4378</v>
      </c>
      <c r="E229" s="5" t="s">
        <v>4412</v>
      </c>
      <c r="F229" s="5">
        <v>3</v>
      </c>
      <c r="G229" s="5">
        <v>2</v>
      </c>
      <c r="H229" s="5" t="s">
        <v>4367</v>
      </c>
      <c r="I229" s="5">
        <v>34671</v>
      </c>
      <c r="J229" s="5" t="s">
        <v>4380</v>
      </c>
      <c r="K229" s="5" t="s">
        <v>4399</v>
      </c>
      <c r="L229" s="5" t="s">
        <v>4389</v>
      </c>
    </row>
    <row r="230" spans="1:12" x14ac:dyDescent="0.25">
      <c r="A230" s="5" t="s">
        <v>4960</v>
      </c>
      <c r="B230" s="157">
        <v>45378</v>
      </c>
      <c r="C230" s="5" t="s">
        <v>4415</v>
      </c>
      <c r="D230" s="5" t="s">
        <v>4424</v>
      </c>
      <c r="E230" s="5" t="s">
        <v>4382</v>
      </c>
      <c r="F230" s="5">
        <v>1</v>
      </c>
      <c r="G230" s="5">
        <v>1</v>
      </c>
      <c r="H230" s="5" t="s">
        <v>4361</v>
      </c>
      <c r="I230" s="5">
        <v>71176</v>
      </c>
      <c r="J230" s="5" t="s">
        <v>4444</v>
      </c>
      <c r="K230" s="5" t="s">
        <v>1256</v>
      </c>
      <c r="L230" s="5" t="s">
        <v>1256</v>
      </c>
    </row>
    <row r="231" spans="1:12" x14ac:dyDescent="0.25">
      <c r="A231" s="5" t="s">
        <v>4638</v>
      </c>
      <c r="B231" s="157">
        <v>45379</v>
      </c>
      <c r="C231" s="5" t="s">
        <v>4366</v>
      </c>
      <c r="D231" s="5" t="s">
        <v>4424</v>
      </c>
      <c r="E231" s="5" t="s">
        <v>4412</v>
      </c>
      <c r="F231" s="5">
        <v>3</v>
      </c>
      <c r="G231" s="5">
        <v>0</v>
      </c>
      <c r="H231" s="5" t="s">
        <v>4367</v>
      </c>
      <c r="I231" s="5">
        <v>77513</v>
      </c>
      <c r="J231" s="5" t="s">
        <v>4374</v>
      </c>
      <c r="K231" s="5" t="s">
        <v>4363</v>
      </c>
      <c r="L231" s="5" t="s">
        <v>4364</v>
      </c>
    </row>
    <row r="232" spans="1:12" x14ac:dyDescent="0.25">
      <c r="A232" s="5" t="s">
        <v>4842</v>
      </c>
      <c r="B232" s="157">
        <v>45380</v>
      </c>
      <c r="C232" s="5" t="s">
        <v>4415</v>
      </c>
      <c r="D232" s="5" t="s">
        <v>5006</v>
      </c>
      <c r="E232" s="5" t="s">
        <v>4395</v>
      </c>
      <c r="F232" s="5">
        <v>1</v>
      </c>
      <c r="G232" s="5">
        <v>0</v>
      </c>
      <c r="H232" s="5" t="s">
        <v>4367</v>
      </c>
      <c r="I232" s="5">
        <v>78510</v>
      </c>
      <c r="J232" s="5" t="s">
        <v>4444</v>
      </c>
      <c r="K232" s="5" t="s">
        <v>4396</v>
      </c>
      <c r="L232" s="5" t="s">
        <v>4357</v>
      </c>
    </row>
    <row r="233" spans="1:12" x14ac:dyDescent="0.25">
      <c r="A233" s="5" t="s">
        <v>4722</v>
      </c>
      <c r="B233" s="157">
        <v>45381</v>
      </c>
      <c r="C233" s="5" t="s">
        <v>4366</v>
      </c>
      <c r="D233" s="5" t="s">
        <v>4369</v>
      </c>
      <c r="E233" s="5" t="s">
        <v>4412</v>
      </c>
      <c r="F233" s="5">
        <v>4</v>
      </c>
      <c r="G233" s="5">
        <v>1</v>
      </c>
      <c r="H233" s="5" t="s">
        <v>4367</v>
      </c>
      <c r="I233" s="5">
        <v>19293</v>
      </c>
      <c r="J233" s="5" t="s">
        <v>4380</v>
      </c>
      <c r="K233" s="5" t="s">
        <v>4356</v>
      </c>
      <c r="L233" s="5" t="s">
        <v>4364</v>
      </c>
    </row>
    <row r="234" spans="1:12" x14ac:dyDescent="0.25">
      <c r="A234" s="5" t="s">
        <v>4684</v>
      </c>
      <c r="B234" s="157">
        <v>45386</v>
      </c>
      <c r="C234" s="5" t="s">
        <v>4366</v>
      </c>
      <c r="D234" s="5" t="s">
        <v>4440</v>
      </c>
      <c r="E234" s="5" t="s">
        <v>4372</v>
      </c>
      <c r="F234" s="5">
        <v>2</v>
      </c>
      <c r="G234" s="5">
        <v>2</v>
      </c>
      <c r="H234" s="5" t="s">
        <v>4361</v>
      </c>
      <c r="I234" s="5">
        <v>78274</v>
      </c>
      <c r="J234" s="5" t="s">
        <v>4393</v>
      </c>
      <c r="K234" s="5" t="s">
        <v>4396</v>
      </c>
      <c r="L234" s="5" t="s">
        <v>4364</v>
      </c>
    </row>
    <row r="235" spans="1:12" x14ac:dyDescent="0.25">
      <c r="A235" s="5" t="s">
        <v>4985</v>
      </c>
      <c r="B235" s="157">
        <v>45388</v>
      </c>
      <c r="C235" s="5" t="s">
        <v>4415</v>
      </c>
      <c r="D235" s="5" t="s">
        <v>4386</v>
      </c>
      <c r="E235" s="5" t="s">
        <v>4403</v>
      </c>
      <c r="F235" s="5">
        <v>3</v>
      </c>
      <c r="G235" s="5">
        <v>2</v>
      </c>
      <c r="H235" s="5" t="s">
        <v>4367</v>
      </c>
      <c r="I235" s="5">
        <v>55881</v>
      </c>
      <c r="J235" s="5" t="s">
        <v>4442</v>
      </c>
      <c r="K235" s="5" t="s">
        <v>4384</v>
      </c>
      <c r="L235" s="5" t="s">
        <v>4357</v>
      </c>
    </row>
    <row r="236" spans="1:12" x14ac:dyDescent="0.25">
      <c r="A236" s="5" t="s">
        <v>4607</v>
      </c>
      <c r="B236" s="157">
        <v>45388</v>
      </c>
      <c r="C236" s="5" t="s">
        <v>4366</v>
      </c>
      <c r="D236" s="5" t="s">
        <v>4440</v>
      </c>
      <c r="E236" s="5" t="s">
        <v>4369</v>
      </c>
      <c r="F236" s="5">
        <v>3</v>
      </c>
      <c r="G236" s="5">
        <v>3</v>
      </c>
      <c r="H236" s="5" t="s">
        <v>4361</v>
      </c>
      <c r="I236" s="5">
        <v>32241</v>
      </c>
      <c r="J236" s="5" t="s">
        <v>4388</v>
      </c>
      <c r="K236" s="5" t="s">
        <v>4375</v>
      </c>
      <c r="L236" s="5" t="s">
        <v>4364</v>
      </c>
    </row>
    <row r="237" spans="1:12" x14ac:dyDescent="0.25">
      <c r="A237" s="5" t="s">
        <v>4760</v>
      </c>
      <c r="B237" s="157">
        <v>45389</v>
      </c>
      <c r="C237" s="5" t="s">
        <v>4353</v>
      </c>
      <c r="D237" s="5" t="s">
        <v>4372</v>
      </c>
      <c r="E237" s="5" t="s">
        <v>4424</v>
      </c>
      <c r="F237" s="5">
        <v>1</v>
      </c>
      <c r="G237" s="5">
        <v>4</v>
      </c>
      <c r="H237" s="5" t="s">
        <v>116</v>
      </c>
      <c r="I237" s="5">
        <v>71284</v>
      </c>
      <c r="J237" s="5" t="s">
        <v>4383</v>
      </c>
      <c r="K237" s="5" t="s">
        <v>4356</v>
      </c>
      <c r="L237" s="5" t="s">
        <v>4364</v>
      </c>
    </row>
    <row r="238" spans="1:12" x14ac:dyDescent="0.25">
      <c r="A238" s="5" t="s">
        <v>4887</v>
      </c>
      <c r="B238" s="157">
        <v>45392</v>
      </c>
      <c r="C238" s="5" t="s">
        <v>4402</v>
      </c>
      <c r="D238" s="5" t="s">
        <v>4424</v>
      </c>
      <c r="E238" s="5" t="s">
        <v>4403</v>
      </c>
      <c r="F238" s="5">
        <v>1</v>
      </c>
      <c r="G238" s="5">
        <v>5</v>
      </c>
      <c r="H238" s="5" t="s">
        <v>116</v>
      </c>
      <c r="I238" s="5">
        <v>72358</v>
      </c>
      <c r="J238" s="5" t="s">
        <v>4417</v>
      </c>
      <c r="K238" s="5" t="s">
        <v>4363</v>
      </c>
      <c r="L238" s="5" t="s">
        <v>4389</v>
      </c>
    </row>
    <row r="239" spans="1:12" x14ac:dyDescent="0.25">
      <c r="A239" s="5" t="s">
        <v>4642</v>
      </c>
      <c r="B239" s="157">
        <v>45394</v>
      </c>
      <c r="C239" s="5" t="s">
        <v>1256</v>
      </c>
      <c r="D239" s="5" t="s">
        <v>4424</v>
      </c>
      <c r="E239" s="5" t="s">
        <v>4382</v>
      </c>
      <c r="F239" s="5">
        <v>2</v>
      </c>
      <c r="G239" s="5">
        <v>0</v>
      </c>
      <c r="H239" s="5" t="s">
        <v>4367</v>
      </c>
      <c r="I239" s="5">
        <v>28710</v>
      </c>
      <c r="J239" s="5" t="s">
        <v>4444</v>
      </c>
      <c r="K239" s="5" t="s">
        <v>4363</v>
      </c>
      <c r="L239" s="5" t="s">
        <v>4364</v>
      </c>
    </row>
    <row r="240" spans="1:12" x14ac:dyDescent="0.25">
      <c r="A240" s="5" t="s">
        <v>4940</v>
      </c>
      <c r="B240" s="157">
        <v>45394</v>
      </c>
      <c r="C240" s="5" t="s">
        <v>4415</v>
      </c>
      <c r="D240" s="5" t="s">
        <v>5006</v>
      </c>
      <c r="E240" s="5" t="s">
        <v>4360</v>
      </c>
      <c r="F240" s="5">
        <v>1</v>
      </c>
      <c r="G240" s="5">
        <v>3</v>
      </c>
      <c r="H240" s="5" t="s">
        <v>116</v>
      </c>
      <c r="I240" s="5">
        <v>38378</v>
      </c>
      <c r="J240" s="5" t="s">
        <v>4444</v>
      </c>
      <c r="K240" s="5" t="s">
        <v>4396</v>
      </c>
      <c r="L240" s="5" t="s">
        <v>1256</v>
      </c>
    </row>
    <row r="241" spans="1:12" x14ac:dyDescent="0.25">
      <c r="A241" s="5" t="s">
        <v>4852</v>
      </c>
      <c r="B241" s="157">
        <v>45400</v>
      </c>
      <c r="C241" s="5" t="s">
        <v>4353</v>
      </c>
      <c r="D241" s="5" t="s">
        <v>4369</v>
      </c>
      <c r="E241" s="5" t="s">
        <v>4386</v>
      </c>
      <c r="F241" s="5">
        <v>1</v>
      </c>
      <c r="G241" s="5">
        <v>3</v>
      </c>
      <c r="H241" s="5" t="s">
        <v>116</v>
      </c>
      <c r="I241" s="5">
        <v>46619</v>
      </c>
      <c r="J241" s="5" t="s">
        <v>4393</v>
      </c>
      <c r="K241" s="5" t="s">
        <v>1256</v>
      </c>
      <c r="L241" s="5" t="s">
        <v>4364</v>
      </c>
    </row>
    <row r="242" spans="1:12" x14ac:dyDescent="0.25">
      <c r="A242" s="5" t="s">
        <v>4915</v>
      </c>
      <c r="B242" s="157">
        <v>45401</v>
      </c>
      <c r="C242" s="5" t="s">
        <v>4353</v>
      </c>
      <c r="D242" s="5" t="s">
        <v>4378</v>
      </c>
      <c r="E242" s="5" t="s">
        <v>4373</v>
      </c>
      <c r="F242" s="5">
        <v>1</v>
      </c>
      <c r="G242" s="5">
        <v>0</v>
      </c>
      <c r="H242" s="5" t="s">
        <v>4367</v>
      </c>
      <c r="I242" s="5">
        <v>49859</v>
      </c>
      <c r="J242" s="5" t="s">
        <v>4380</v>
      </c>
      <c r="K242" s="5" t="s">
        <v>1256</v>
      </c>
      <c r="L242" s="5" t="s">
        <v>1256</v>
      </c>
    </row>
    <row r="243" spans="1:12" x14ac:dyDescent="0.25">
      <c r="A243" s="5" t="s">
        <v>4548</v>
      </c>
      <c r="B243" s="157">
        <v>45402</v>
      </c>
      <c r="C243" s="5" t="s">
        <v>4359</v>
      </c>
      <c r="D243" s="5" t="s">
        <v>4440</v>
      </c>
      <c r="E243" s="5" t="s">
        <v>4373</v>
      </c>
      <c r="F243" s="5">
        <v>1</v>
      </c>
      <c r="G243" s="5">
        <v>3</v>
      </c>
      <c r="H243" s="5" t="s">
        <v>116</v>
      </c>
      <c r="I243" s="5">
        <v>42652</v>
      </c>
      <c r="J243" s="5" t="s">
        <v>4362</v>
      </c>
      <c r="K243" s="5" t="s">
        <v>4396</v>
      </c>
      <c r="L243" s="5" t="s">
        <v>4364</v>
      </c>
    </row>
    <row r="244" spans="1:12" x14ac:dyDescent="0.25">
      <c r="A244" s="5" t="s">
        <v>4981</v>
      </c>
      <c r="B244" s="157">
        <v>45405</v>
      </c>
      <c r="C244" s="5" t="s">
        <v>4415</v>
      </c>
      <c r="D244" s="5" t="s">
        <v>4412</v>
      </c>
      <c r="E244" s="5" t="s">
        <v>4412</v>
      </c>
      <c r="F244" s="5">
        <v>1</v>
      </c>
      <c r="G244" s="5">
        <v>3</v>
      </c>
      <c r="H244" s="5" t="s">
        <v>116</v>
      </c>
      <c r="I244" s="5">
        <v>25867</v>
      </c>
      <c r="J244" s="5" t="s">
        <v>4380</v>
      </c>
      <c r="K244" s="5" t="s">
        <v>4356</v>
      </c>
      <c r="L244" s="5" t="s">
        <v>4364</v>
      </c>
    </row>
    <row r="245" spans="1:12" x14ac:dyDescent="0.25">
      <c r="A245" s="5" t="s">
        <v>4571</v>
      </c>
      <c r="B245" s="157">
        <v>45406</v>
      </c>
      <c r="C245" s="5" t="s">
        <v>4359</v>
      </c>
      <c r="D245" s="5" t="s">
        <v>4382</v>
      </c>
      <c r="E245" s="5" t="s">
        <v>4412</v>
      </c>
      <c r="F245" s="5">
        <v>3</v>
      </c>
      <c r="G245" s="5">
        <v>0</v>
      </c>
      <c r="H245" s="5" t="s">
        <v>4367</v>
      </c>
      <c r="I245" s="5">
        <v>25724</v>
      </c>
      <c r="J245" s="5" t="s">
        <v>4380</v>
      </c>
      <c r="K245" s="5" t="s">
        <v>4396</v>
      </c>
      <c r="L245" s="5" t="s">
        <v>4370</v>
      </c>
    </row>
    <row r="246" spans="1:12" x14ac:dyDescent="0.25">
      <c r="A246" s="5" t="s">
        <v>4729</v>
      </c>
      <c r="B246" s="157">
        <v>45406</v>
      </c>
      <c r="C246" s="5" t="s">
        <v>4415</v>
      </c>
      <c r="D246" s="5" t="s">
        <v>4395</v>
      </c>
      <c r="E246" s="5" t="s">
        <v>4373</v>
      </c>
      <c r="F246" s="5">
        <v>4</v>
      </c>
      <c r="G246" s="5">
        <v>1</v>
      </c>
      <c r="H246" s="5" t="s">
        <v>4367</v>
      </c>
      <c r="I246" s="5">
        <v>27276</v>
      </c>
      <c r="J246" s="5" t="s">
        <v>4362</v>
      </c>
      <c r="K246" s="5" t="s">
        <v>4405</v>
      </c>
      <c r="L246" s="5" t="s">
        <v>4357</v>
      </c>
    </row>
    <row r="247" spans="1:12" x14ac:dyDescent="0.25">
      <c r="A247" s="5" t="s">
        <v>4494</v>
      </c>
      <c r="B247" s="157">
        <v>45407</v>
      </c>
      <c r="C247" s="5" t="s">
        <v>4353</v>
      </c>
      <c r="D247" s="5" t="s">
        <v>1256</v>
      </c>
      <c r="E247" s="5" t="s">
        <v>4373</v>
      </c>
      <c r="F247" s="5">
        <v>5</v>
      </c>
      <c r="G247" s="5">
        <v>3</v>
      </c>
      <c r="H247" s="5" t="s">
        <v>4367</v>
      </c>
      <c r="I247" s="5">
        <v>56713</v>
      </c>
      <c r="J247" s="5" t="s">
        <v>4417</v>
      </c>
      <c r="K247" s="5" t="s">
        <v>1256</v>
      </c>
      <c r="L247" s="5" t="s">
        <v>4364</v>
      </c>
    </row>
    <row r="248" spans="1:12" x14ac:dyDescent="0.25">
      <c r="A248" s="5" t="s">
        <v>4650</v>
      </c>
      <c r="B248" s="157">
        <v>45415</v>
      </c>
      <c r="C248" s="5" t="s">
        <v>4402</v>
      </c>
      <c r="D248" s="5" t="s">
        <v>4395</v>
      </c>
      <c r="E248" s="5" t="s">
        <v>4412</v>
      </c>
      <c r="F248" s="5">
        <v>1</v>
      </c>
      <c r="G248" s="5">
        <v>1</v>
      </c>
      <c r="H248" s="5" t="s">
        <v>4361</v>
      </c>
      <c r="I248" s="5">
        <v>44764</v>
      </c>
      <c r="J248" s="5" t="s">
        <v>4398</v>
      </c>
      <c r="K248" s="5" t="s">
        <v>4363</v>
      </c>
      <c r="L248" s="5" t="s">
        <v>4389</v>
      </c>
    </row>
    <row r="249" spans="1:12" x14ac:dyDescent="0.25">
      <c r="A249" s="5" t="s">
        <v>4874</v>
      </c>
      <c r="B249" s="157">
        <v>45418</v>
      </c>
      <c r="C249" s="5" t="s">
        <v>4415</v>
      </c>
      <c r="D249" s="5" t="s">
        <v>4377</v>
      </c>
      <c r="E249" s="5" t="s">
        <v>4470</v>
      </c>
      <c r="F249" s="5">
        <v>0</v>
      </c>
      <c r="G249" s="5">
        <v>1</v>
      </c>
      <c r="H249" s="5" t="s">
        <v>116</v>
      </c>
      <c r="I249" s="5">
        <v>60705</v>
      </c>
      <c r="J249" s="5" t="s">
        <v>4380</v>
      </c>
      <c r="K249" s="5" t="s">
        <v>4396</v>
      </c>
      <c r="L249" s="5" t="s">
        <v>4389</v>
      </c>
    </row>
    <row r="250" spans="1:12" x14ac:dyDescent="0.25">
      <c r="A250" s="5" t="s">
        <v>4623</v>
      </c>
      <c r="B250" s="157">
        <v>45420</v>
      </c>
      <c r="C250" s="5" t="s">
        <v>4366</v>
      </c>
      <c r="D250" s="5" t="s">
        <v>4387</v>
      </c>
      <c r="E250" s="5" t="s">
        <v>4373</v>
      </c>
      <c r="F250" s="5">
        <v>1</v>
      </c>
      <c r="G250" s="5">
        <v>1</v>
      </c>
      <c r="H250" s="5" t="s">
        <v>4361</v>
      </c>
      <c r="I250" s="5">
        <v>0</v>
      </c>
      <c r="J250" s="5" t="s">
        <v>4355</v>
      </c>
      <c r="K250" s="5" t="s">
        <v>4396</v>
      </c>
      <c r="L250" s="5" t="s">
        <v>4389</v>
      </c>
    </row>
    <row r="251" spans="1:12" x14ac:dyDescent="0.25">
      <c r="A251" s="5" t="s">
        <v>4947</v>
      </c>
      <c r="B251" s="157">
        <v>45425</v>
      </c>
      <c r="C251" s="5" t="s">
        <v>4366</v>
      </c>
      <c r="D251" s="5" t="s">
        <v>4373</v>
      </c>
      <c r="E251" s="5" t="s">
        <v>4386</v>
      </c>
      <c r="F251" s="5">
        <v>3</v>
      </c>
      <c r="G251" s="5">
        <v>2</v>
      </c>
      <c r="H251" s="5" t="s">
        <v>4367</v>
      </c>
      <c r="I251" s="5">
        <v>12197</v>
      </c>
      <c r="J251" s="5" t="s">
        <v>4355</v>
      </c>
      <c r="K251" s="5" t="s">
        <v>4363</v>
      </c>
      <c r="L251" s="5" t="s">
        <v>1256</v>
      </c>
    </row>
    <row r="252" spans="1:12" x14ac:dyDescent="0.25">
      <c r="A252" s="5" t="s">
        <v>4683</v>
      </c>
      <c r="B252" s="157">
        <v>45426</v>
      </c>
      <c r="C252" s="5" t="s">
        <v>4359</v>
      </c>
      <c r="D252" s="5" t="s">
        <v>4373</v>
      </c>
      <c r="E252" s="5" t="s">
        <v>4412</v>
      </c>
      <c r="F252" s="5">
        <v>4</v>
      </c>
      <c r="G252" s="5">
        <v>3</v>
      </c>
      <c r="H252" s="5" t="s">
        <v>4367</v>
      </c>
      <c r="I252" s="5">
        <v>27642</v>
      </c>
      <c r="J252" s="5" t="s">
        <v>4444</v>
      </c>
      <c r="K252" s="5" t="s">
        <v>4399</v>
      </c>
      <c r="L252" s="5" t="s">
        <v>4370</v>
      </c>
    </row>
    <row r="253" spans="1:12" x14ac:dyDescent="0.25">
      <c r="A253" s="5" t="s">
        <v>4962</v>
      </c>
      <c r="B253" s="157">
        <v>45427</v>
      </c>
      <c r="C253" s="5" t="s">
        <v>4353</v>
      </c>
      <c r="D253" s="5" t="s">
        <v>4395</v>
      </c>
      <c r="E253" s="5" t="s">
        <v>4412</v>
      </c>
      <c r="F253" s="5">
        <v>2</v>
      </c>
      <c r="G253" s="5">
        <v>0</v>
      </c>
      <c r="H253" s="5" t="s">
        <v>4367</v>
      </c>
      <c r="I253" s="5">
        <v>16179</v>
      </c>
      <c r="J253" s="5" t="s">
        <v>4413</v>
      </c>
      <c r="K253" s="5" t="s">
        <v>1256</v>
      </c>
      <c r="L253" s="5" t="s">
        <v>4364</v>
      </c>
    </row>
    <row r="254" spans="1:12" x14ac:dyDescent="0.25">
      <c r="A254" s="5" t="s">
        <v>4789</v>
      </c>
      <c r="B254" s="157">
        <v>45431</v>
      </c>
      <c r="C254" s="5" t="s">
        <v>4415</v>
      </c>
      <c r="D254" s="5" t="s">
        <v>4378</v>
      </c>
      <c r="E254" s="5" t="s">
        <v>4354</v>
      </c>
      <c r="F254" s="5">
        <v>1</v>
      </c>
      <c r="G254" s="5">
        <v>1</v>
      </c>
      <c r="H254" s="5" t="s">
        <v>4361</v>
      </c>
      <c r="I254" s="5">
        <v>33133</v>
      </c>
      <c r="J254" s="5" t="s">
        <v>4393</v>
      </c>
      <c r="K254" s="5" t="s">
        <v>4384</v>
      </c>
      <c r="L254" s="5" t="s">
        <v>4364</v>
      </c>
    </row>
    <row r="255" spans="1:12" x14ac:dyDescent="0.25">
      <c r="A255" s="5" t="s">
        <v>4464</v>
      </c>
      <c r="B255" s="157">
        <v>45433</v>
      </c>
      <c r="C255" s="5" t="s">
        <v>4353</v>
      </c>
      <c r="D255" s="5" t="s">
        <v>4440</v>
      </c>
      <c r="E255" s="5" t="s">
        <v>4378</v>
      </c>
      <c r="F255" s="5">
        <v>3</v>
      </c>
      <c r="G255" s="5">
        <v>5</v>
      </c>
      <c r="H255" s="5" t="s">
        <v>116</v>
      </c>
      <c r="I255" s="5">
        <v>58696</v>
      </c>
      <c r="J255" s="5" t="s">
        <v>4409</v>
      </c>
      <c r="K255" s="5" t="s">
        <v>4405</v>
      </c>
      <c r="L255" s="5" t="s">
        <v>4357</v>
      </c>
    </row>
    <row r="256" spans="1:12" x14ac:dyDescent="0.25">
      <c r="A256" s="5" t="s">
        <v>4368</v>
      </c>
      <c r="B256" s="157">
        <v>45435</v>
      </c>
      <c r="C256" s="5" t="s">
        <v>4366</v>
      </c>
      <c r="D256" s="5" t="s">
        <v>4369</v>
      </c>
      <c r="E256" s="5" t="s">
        <v>4373</v>
      </c>
      <c r="F256" s="5">
        <v>3</v>
      </c>
      <c r="G256" s="5">
        <v>1</v>
      </c>
      <c r="H256" s="5" t="s">
        <v>4367</v>
      </c>
      <c r="I256" s="5">
        <v>25617</v>
      </c>
      <c r="J256" s="5" t="s">
        <v>4362</v>
      </c>
      <c r="K256" s="5" t="s">
        <v>1256</v>
      </c>
      <c r="L256" s="5" t="s">
        <v>4370</v>
      </c>
    </row>
    <row r="257" spans="1:12" x14ac:dyDescent="0.25">
      <c r="A257" s="5" t="s">
        <v>4987</v>
      </c>
      <c r="B257" s="157">
        <v>45436</v>
      </c>
      <c r="C257" s="5" t="s">
        <v>4366</v>
      </c>
      <c r="D257" s="5" t="s">
        <v>4386</v>
      </c>
      <c r="E257" s="5" t="s">
        <v>4395</v>
      </c>
      <c r="F257" s="5">
        <v>5</v>
      </c>
      <c r="G257" s="5">
        <v>1</v>
      </c>
      <c r="H257" s="5" t="s">
        <v>4367</v>
      </c>
      <c r="I257" s="5">
        <v>43541</v>
      </c>
      <c r="J257" s="5" t="s">
        <v>4398</v>
      </c>
      <c r="K257" s="5" t="s">
        <v>1256</v>
      </c>
      <c r="L257" s="5" t="s">
        <v>1256</v>
      </c>
    </row>
    <row r="258" spans="1:12" x14ac:dyDescent="0.25">
      <c r="A258" s="5" t="s">
        <v>4474</v>
      </c>
      <c r="B258" s="157">
        <v>45438</v>
      </c>
      <c r="C258" s="5" t="s">
        <v>4402</v>
      </c>
      <c r="D258" s="5" t="s">
        <v>4372</v>
      </c>
      <c r="E258" s="5" t="s">
        <v>4360</v>
      </c>
      <c r="F258" s="5">
        <v>3</v>
      </c>
      <c r="G258" s="5">
        <v>0</v>
      </c>
      <c r="H258" s="5" t="s">
        <v>4367</v>
      </c>
      <c r="I258" s="5">
        <v>59329</v>
      </c>
      <c r="J258" s="5" t="s">
        <v>4413</v>
      </c>
      <c r="K258" s="5" t="s">
        <v>4375</v>
      </c>
      <c r="L258" s="5" t="s">
        <v>1256</v>
      </c>
    </row>
    <row r="259" spans="1:12" x14ac:dyDescent="0.25">
      <c r="A259" s="5" t="s">
        <v>4934</v>
      </c>
      <c r="B259" s="157">
        <v>45449</v>
      </c>
      <c r="C259" s="5" t="s">
        <v>4415</v>
      </c>
      <c r="D259" s="5" t="s">
        <v>4354</v>
      </c>
      <c r="E259" s="5" t="s">
        <v>4373</v>
      </c>
      <c r="F259" s="5">
        <v>1</v>
      </c>
      <c r="G259" s="5">
        <v>2</v>
      </c>
      <c r="H259" s="5" t="s">
        <v>116</v>
      </c>
      <c r="I259" s="5">
        <v>42782</v>
      </c>
      <c r="J259" s="5" t="s">
        <v>4417</v>
      </c>
      <c r="K259" s="5" t="s">
        <v>4363</v>
      </c>
      <c r="L259" s="5" t="s">
        <v>1256</v>
      </c>
    </row>
    <row r="260" spans="1:12" x14ac:dyDescent="0.25">
      <c r="A260" s="5" t="s">
        <v>4611</v>
      </c>
      <c r="B260" s="157">
        <v>45450</v>
      </c>
      <c r="C260" s="5" t="s">
        <v>4415</v>
      </c>
      <c r="D260" s="5" t="s">
        <v>4430</v>
      </c>
      <c r="E260" s="5" t="s">
        <v>4382</v>
      </c>
      <c r="F260" s="5">
        <v>2</v>
      </c>
      <c r="G260" s="5">
        <v>2</v>
      </c>
      <c r="H260" s="5" t="s">
        <v>4361</v>
      </c>
      <c r="I260" s="5">
        <v>47863</v>
      </c>
      <c r="J260" s="5" t="s">
        <v>4442</v>
      </c>
      <c r="K260" s="5" t="s">
        <v>4396</v>
      </c>
      <c r="L260" s="5" t="s">
        <v>1256</v>
      </c>
    </row>
    <row r="261" spans="1:12" x14ac:dyDescent="0.25">
      <c r="A261" s="5" t="s">
        <v>4609</v>
      </c>
      <c r="B261" s="157">
        <v>45452</v>
      </c>
      <c r="C261" s="5" t="s">
        <v>4402</v>
      </c>
      <c r="D261" s="5" t="s">
        <v>4440</v>
      </c>
      <c r="E261" s="5" t="s">
        <v>4470</v>
      </c>
      <c r="F261" s="5">
        <v>2</v>
      </c>
      <c r="G261" s="5">
        <v>0</v>
      </c>
      <c r="H261" s="5" t="s">
        <v>4367</v>
      </c>
      <c r="I261" s="5">
        <v>43703</v>
      </c>
      <c r="J261" s="5" t="s">
        <v>4383</v>
      </c>
      <c r="K261" s="5" t="s">
        <v>4399</v>
      </c>
      <c r="L261" s="5" t="s">
        <v>4370</v>
      </c>
    </row>
    <row r="262" spans="1:12" x14ac:dyDescent="0.25">
      <c r="A262" s="5" t="s">
        <v>4595</v>
      </c>
      <c r="B262" s="157">
        <v>45453</v>
      </c>
      <c r="C262" s="5" t="s">
        <v>4359</v>
      </c>
      <c r="D262" s="5" t="s">
        <v>4382</v>
      </c>
      <c r="E262" s="5" t="s">
        <v>4387</v>
      </c>
      <c r="F262" s="5">
        <v>3</v>
      </c>
      <c r="G262" s="5">
        <v>1</v>
      </c>
      <c r="H262" s="5" t="s">
        <v>4367</v>
      </c>
      <c r="I262" s="5">
        <v>48538</v>
      </c>
      <c r="J262" s="5" t="s">
        <v>4393</v>
      </c>
      <c r="K262" s="5" t="s">
        <v>1256</v>
      </c>
      <c r="L262" s="5" t="s">
        <v>4357</v>
      </c>
    </row>
    <row r="263" spans="1:12" x14ac:dyDescent="0.25">
      <c r="A263" s="5" t="s">
        <v>4475</v>
      </c>
      <c r="B263" s="157">
        <v>45455</v>
      </c>
      <c r="C263" s="5" t="s">
        <v>4353</v>
      </c>
      <c r="D263" s="5" t="s">
        <v>4369</v>
      </c>
      <c r="E263" s="5" t="s">
        <v>4395</v>
      </c>
      <c r="F263" s="5">
        <v>1</v>
      </c>
      <c r="G263" s="5">
        <v>4</v>
      </c>
      <c r="H263" s="5" t="s">
        <v>116</v>
      </c>
      <c r="I263" s="5">
        <v>33406</v>
      </c>
      <c r="J263" s="5" t="s">
        <v>4355</v>
      </c>
      <c r="K263" s="5" t="s">
        <v>4375</v>
      </c>
      <c r="L263" s="5" t="s">
        <v>1256</v>
      </c>
    </row>
    <row r="264" spans="1:12" x14ac:dyDescent="0.25">
      <c r="A264" s="5" t="s">
        <v>4969</v>
      </c>
      <c r="B264" s="157">
        <v>45470</v>
      </c>
      <c r="C264" s="5" t="s">
        <v>4359</v>
      </c>
      <c r="D264" s="5" t="s">
        <v>4378</v>
      </c>
      <c r="E264" s="5" t="s">
        <v>4395</v>
      </c>
      <c r="F264" s="5">
        <v>2</v>
      </c>
      <c r="G264" s="5">
        <v>1</v>
      </c>
      <c r="H264" s="5" t="s">
        <v>4367</v>
      </c>
      <c r="I264" s="5">
        <v>53768</v>
      </c>
      <c r="J264" s="5" t="s">
        <v>4421</v>
      </c>
      <c r="K264" s="5" t="s">
        <v>4356</v>
      </c>
      <c r="L264" s="5" t="s">
        <v>4370</v>
      </c>
    </row>
    <row r="265" spans="1:12" x14ac:dyDescent="0.25">
      <c r="A265" s="5" t="s">
        <v>4625</v>
      </c>
      <c r="B265" s="157">
        <v>45472</v>
      </c>
      <c r="C265" s="5" t="s">
        <v>4353</v>
      </c>
      <c r="D265" s="5" t="s">
        <v>4382</v>
      </c>
      <c r="E265" s="5" t="s">
        <v>4378</v>
      </c>
      <c r="F265" s="5">
        <v>1</v>
      </c>
      <c r="G265" s="5">
        <v>0</v>
      </c>
      <c r="H265" s="5" t="s">
        <v>4367</v>
      </c>
      <c r="I265" s="5">
        <v>68066</v>
      </c>
      <c r="J265" s="5" t="s">
        <v>4383</v>
      </c>
      <c r="K265" s="5" t="s">
        <v>1256</v>
      </c>
      <c r="L265" s="5" t="s">
        <v>4364</v>
      </c>
    </row>
    <row r="266" spans="1:12" x14ac:dyDescent="0.25">
      <c r="A266" s="5" t="s">
        <v>4456</v>
      </c>
      <c r="B266" s="157">
        <v>45476</v>
      </c>
      <c r="C266" s="5" t="s">
        <v>4415</v>
      </c>
      <c r="D266" s="5" t="s">
        <v>4440</v>
      </c>
      <c r="E266" s="5" t="s">
        <v>4430</v>
      </c>
      <c r="F266" s="5">
        <v>5</v>
      </c>
      <c r="G266" s="5">
        <v>1</v>
      </c>
      <c r="H266" s="5" t="s">
        <v>4367</v>
      </c>
      <c r="I266" s="5">
        <v>26611</v>
      </c>
      <c r="J266" s="5" t="s">
        <v>4421</v>
      </c>
      <c r="K266" s="5" t="s">
        <v>1256</v>
      </c>
      <c r="L266" s="5" t="s">
        <v>4370</v>
      </c>
    </row>
    <row r="267" spans="1:12" x14ac:dyDescent="0.25">
      <c r="A267" s="5" t="s">
        <v>4847</v>
      </c>
      <c r="B267" s="157">
        <v>45477</v>
      </c>
      <c r="C267" s="5" t="s">
        <v>4353</v>
      </c>
      <c r="D267" s="5" t="s">
        <v>4412</v>
      </c>
      <c r="E267" s="5" t="s">
        <v>4395</v>
      </c>
      <c r="F267" s="5">
        <v>1</v>
      </c>
      <c r="G267" s="5">
        <v>1</v>
      </c>
      <c r="H267" s="5" t="s">
        <v>4361</v>
      </c>
      <c r="I267" s="5">
        <v>43558</v>
      </c>
      <c r="J267" s="5" t="s">
        <v>4362</v>
      </c>
      <c r="K267" s="5" t="s">
        <v>4405</v>
      </c>
      <c r="L267" s="5" t="s">
        <v>4370</v>
      </c>
    </row>
    <row r="268" spans="1:12" x14ac:dyDescent="0.25">
      <c r="A268" s="5" t="s">
        <v>4855</v>
      </c>
      <c r="B268" s="157">
        <v>45478</v>
      </c>
      <c r="C268" s="5" t="s">
        <v>4402</v>
      </c>
      <c r="D268" s="5" t="s">
        <v>4440</v>
      </c>
      <c r="E268" s="5" t="s">
        <v>4470</v>
      </c>
      <c r="F268" s="5">
        <v>2</v>
      </c>
      <c r="G268" s="5">
        <v>3</v>
      </c>
      <c r="H268" s="5" t="s">
        <v>116</v>
      </c>
      <c r="I268" s="5">
        <v>78784</v>
      </c>
      <c r="J268" s="5" t="s">
        <v>4380</v>
      </c>
      <c r="K268" s="5" t="s">
        <v>4405</v>
      </c>
      <c r="L268" s="5" t="s">
        <v>4357</v>
      </c>
    </row>
    <row r="269" spans="1:12" x14ac:dyDescent="0.25">
      <c r="A269" s="5" t="s">
        <v>4497</v>
      </c>
      <c r="B269" s="157">
        <v>45478</v>
      </c>
      <c r="C269" s="5" t="s">
        <v>4366</v>
      </c>
      <c r="D269" s="5" t="s">
        <v>4403</v>
      </c>
      <c r="E269" s="5" t="s">
        <v>4395</v>
      </c>
      <c r="F269" s="5">
        <v>1</v>
      </c>
      <c r="G269" s="5">
        <v>4</v>
      </c>
      <c r="H269" s="5" t="s">
        <v>116</v>
      </c>
      <c r="I269" s="5">
        <v>27171</v>
      </c>
      <c r="J269" s="5" t="s">
        <v>4444</v>
      </c>
      <c r="K269" s="5" t="s">
        <v>4356</v>
      </c>
      <c r="L269" s="5" t="s">
        <v>4389</v>
      </c>
    </row>
    <row r="270" spans="1:12" x14ac:dyDescent="0.25">
      <c r="A270" s="5" t="s">
        <v>4843</v>
      </c>
      <c r="B270" s="157">
        <v>45479</v>
      </c>
      <c r="C270" s="5" t="s">
        <v>4366</v>
      </c>
      <c r="D270" s="5" t="s">
        <v>4369</v>
      </c>
      <c r="E270" s="5" t="s">
        <v>4412</v>
      </c>
      <c r="F270" s="5">
        <v>4</v>
      </c>
      <c r="G270" s="5">
        <v>2</v>
      </c>
      <c r="H270" s="5" t="s">
        <v>4367</v>
      </c>
      <c r="I270" s="5">
        <v>50277</v>
      </c>
      <c r="J270" s="5" t="s">
        <v>1256</v>
      </c>
      <c r="K270" s="5" t="s">
        <v>4405</v>
      </c>
      <c r="L270" s="5" t="s">
        <v>4364</v>
      </c>
    </row>
    <row r="271" spans="1:12" x14ac:dyDescent="0.25">
      <c r="A271" s="5" t="s">
        <v>4520</v>
      </c>
      <c r="B271" s="157">
        <v>45480</v>
      </c>
      <c r="C271" s="5" t="s">
        <v>4353</v>
      </c>
      <c r="D271" s="5" t="s">
        <v>4470</v>
      </c>
      <c r="E271" s="5" t="s">
        <v>4440</v>
      </c>
      <c r="F271" s="5">
        <v>4</v>
      </c>
      <c r="G271" s="5">
        <v>3</v>
      </c>
      <c r="H271" s="5" t="s">
        <v>4367</v>
      </c>
      <c r="I271" s="5">
        <v>14013</v>
      </c>
      <c r="J271" s="5" t="s">
        <v>4388</v>
      </c>
      <c r="K271" s="5" t="s">
        <v>1256</v>
      </c>
      <c r="L271" s="5" t="s">
        <v>4370</v>
      </c>
    </row>
    <row r="272" spans="1:12" x14ac:dyDescent="0.25">
      <c r="A272" s="5" t="s">
        <v>4895</v>
      </c>
      <c r="B272" s="157">
        <v>45481</v>
      </c>
      <c r="C272" s="5" t="s">
        <v>4402</v>
      </c>
      <c r="D272" s="5" t="s">
        <v>4412</v>
      </c>
      <c r="E272" s="5" t="s">
        <v>4378</v>
      </c>
      <c r="F272" s="5">
        <v>5</v>
      </c>
      <c r="G272" s="5">
        <v>1</v>
      </c>
      <c r="H272" s="5" t="s">
        <v>4367</v>
      </c>
      <c r="I272" s="5">
        <v>41280</v>
      </c>
      <c r="J272" s="5" t="s">
        <v>4393</v>
      </c>
      <c r="K272" s="5" t="s">
        <v>4396</v>
      </c>
      <c r="L272" s="5" t="s">
        <v>4389</v>
      </c>
    </row>
    <row r="273" spans="1:12" x14ac:dyDescent="0.25">
      <c r="A273" s="5" t="s">
        <v>4954</v>
      </c>
      <c r="B273" s="157">
        <v>45481</v>
      </c>
      <c r="C273" s="5" t="s">
        <v>4415</v>
      </c>
      <c r="D273" s="5" t="s">
        <v>4387</v>
      </c>
      <c r="E273" s="5" t="s">
        <v>4403</v>
      </c>
      <c r="F273" s="5">
        <v>4</v>
      </c>
      <c r="G273" s="5">
        <v>0</v>
      </c>
      <c r="H273" s="5" t="s">
        <v>4367</v>
      </c>
      <c r="I273" s="5">
        <v>74546</v>
      </c>
      <c r="J273" s="5" t="s">
        <v>4442</v>
      </c>
      <c r="K273" s="5" t="s">
        <v>4363</v>
      </c>
      <c r="L273" s="5" t="s">
        <v>1256</v>
      </c>
    </row>
    <row r="274" spans="1:12" x14ac:dyDescent="0.25">
      <c r="A274" s="5" t="s">
        <v>4831</v>
      </c>
      <c r="B274" s="157">
        <v>45489</v>
      </c>
      <c r="C274" s="5" t="s">
        <v>4359</v>
      </c>
      <c r="D274" s="5" t="s">
        <v>4440</v>
      </c>
      <c r="E274" s="5" t="s">
        <v>4412</v>
      </c>
      <c r="F274" s="5">
        <v>1</v>
      </c>
      <c r="G274" s="5">
        <v>1</v>
      </c>
      <c r="H274" s="5" t="s">
        <v>4361</v>
      </c>
      <c r="I274" s="5">
        <v>51893</v>
      </c>
      <c r="J274" s="5" t="s">
        <v>4383</v>
      </c>
      <c r="K274" s="5" t="s">
        <v>4396</v>
      </c>
      <c r="L274" s="5" t="s">
        <v>4389</v>
      </c>
    </row>
    <row r="275" spans="1:12" x14ac:dyDescent="0.25">
      <c r="A275" s="5" t="s">
        <v>4562</v>
      </c>
      <c r="B275" s="157">
        <v>45490</v>
      </c>
      <c r="C275" s="5" t="s">
        <v>4402</v>
      </c>
      <c r="D275" s="5" t="s">
        <v>4382</v>
      </c>
      <c r="E275" s="5" t="s">
        <v>4424</v>
      </c>
      <c r="F275" s="5">
        <v>1</v>
      </c>
      <c r="G275" s="5">
        <v>2</v>
      </c>
      <c r="H275" s="5" t="s">
        <v>116</v>
      </c>
      <c r="I275" s="5">
        <v>25401</v>
      </c>
      <c r="J275" s="5" t="s">
        <v>4362</v>
      </c>
      <c r="K275" s="5" t="s">
        <v>4375</v>
      </c>
      <c r="L275" s="5" t="s">
        <v>4370</v>
      </c>
    </row>
    <row r="276" spans="1:12" x14ac:dyDescent="0.25">
      <c r="A276" s="5" t="s">
        <v>4735</v>
      </c>
      <c r="B276" s="157">
        <v>45495</v>
      </c>
      <c r="C276" s="5" t="s">
        <v>4353</v>
      </c>
      <c r="D276" s="5" t="s">
        <v>4372</v>
      </c>
      <c r="E276" s="5" t="s">
        <v>4360</v>
      </c>
      <c r="F276" s="5">
        <v>1</v>
      </c>
      <c r="G276" s="5">
        <v>1</v>
      </c>
      <c r="H276" s="5" t="s">
        <v>4361</v>
      </c>
      <c r="I276" s="5">
        <v>26427</v>
      </c>
      <c r="J276" s="5" t="s">
        <v>4417</v>
      </c>
      <c r="K276" s="5" t="s">
        <v>4375</v>
      </c>
      <c r="L276" s="5" t="s">
        <v>1256</v>
      </c>
    </row>
    <row r="277" spans="1:12" x14ac:dyDescent="0.25">
      <c r="A277" s="5" t="s">
        <v>4964</v>
      </c>
      <c r="B277" s="157">
        <v>45495</v>
      </c>
      <c r="C277" s="5" t="s">
        <v>4402</v>
      </c>
      <c r="D277" s="5" t="s">
        <v>4424</v>
      </c>
      <c r="E277" s="5" t="s">
        <v>4354</v>
      </c>
      <c r="F277" s="5">
        <v>2</v>
      </c>
      <c r="G277" s="5">
        <v>2</v>
      </c>
      <c r="H277" s="5" t="s">
        <v>4361</v>
      </c>
      <c r="I277" s="5">
        <v>78479</v>
      </c>
      <c r="J277" s="5" t="s">
        <v>4388</v>
      </c>
      <c r="K277" s="5" t="s">
        <v>4405</v>
      </c>
      <c r="L277" s="5" t="s">
        <v>4357</v>
      </c>
    </row>
    <row r="278" spans="1:12" x14ac:dyDescent="0.25">
      <c r="A278" s="5" t="s">
        <v>4532</v>
      </c>
      <c r="B278" s="157">
        <v>45499</v>
      </c>
      <c r="C278" s="5" t="s">
        <v>4415</v>
      </c>
      <c r="D278" s="5" t="s">
        <v>4382</v>
      </c>
      <c r="E278" s="5" t="s">
        <v>4378</v>
      </c>
      <c r="F278" s="5">
        <v>1</v>
      </c>
      <c r="G278" s="5">
        <v>1</v>
      </c>
      <c r="H278" s="5" t="s">
        <v>4361</v>
      </c>
      <c r="I278" s="5">
        <v>21399</v>
      </c>
      <c r="J278" s="5" t="s">
        <v>4374</v>
      </c>
      <c r="K278" s="5" t="s">
        <v>4405</v>
      </c>
      <c r="L278" s="5" t="s">
        <v>1256</v>
      </c>
    </row>
    <row r="279" spans="1:12" x14ac:dyDescent="0.25">
      <c r="A279" s="5" t="s">
        <v>4798</v>
      </c>
      <c r="B279" s="157">
        <v>45502</v>
      </c>
      <c r="C279" s="5" t="s">
        <v>4415</v>
      </c>
      <c r="D279" s="5" t="s">
        <v>4369</v>
      </c>
      <c r="E279" s="5" t="s">
        <v>4373</v>
      </c>
      <c r="F279" s="5">
        <v>2</v>
      </c>
      <c r="G279" s="5">
        <v>1</v>
      </c>
      <c r="H279" s="5" t="s">
        <v>4367</v>
      </c>
      <c r="I279" s="5">
        <v>58316</v>
      </c>
      <c r="J279" s="5" t="s">
        <v>4380</v>
      </c>
      <c r="K279" s="5" t="s">
        <v>4396</v>
      </c>
      <c r="L279" s="5" t="s">
        <v>4389</v>
      </c>
    </row>
    <row r="280" spans="1:12" x14ac:dyDescent="0.25">
      <c r="A280" s="5" t="s">
        <v>4904</v>
      </c>
      <c r="B280" s="157">
        <v>45509</v>
      </c>
      <c r="C280" s="5" t="s">
        <v>4359</v>
      </c>
      <c r="D280" s="5" t="s">
        <v>4440</v>
      </c>
      <c r="E280" s="5" t="s">
        <v>4360</v>
      </c>
      <c r="F280" s="5">
        <v>2</v>
      </c>
      <c r="G280" s="5">
        <v>3</v>
      </c>
      <c r="H280" s="5" t="s">
        <v>116</v>
      </c>
      <c r="I280" s="5">
        <v>74349</v>
      </c>
      <c r="J280" s="5" t="s">
        <v>4383</v>
      </c>
      <c r="K280" s="5" t="s">
        <v>4405</v>
      </c>
      <c r="L280" s="5" t="s">
        <v>4370</v>
      </c>
    </row>
    <row r="281" spans="1:12" x14ac:dyDescent="0.25">
      <c r="A281" s="5" t="s">
        <v>4796</v>
      </c>
      <c r="B281" s="157">
        <v>45514</v>
      </c>
      <c r="C281" s="5" t="s">
        <v>4402</v>
      </c>
      <c r="D281" s="5" t="s">
        <v>4395</v>
      </c>
      <c r="E281" s="5" t="s">
        <v>4369</v>
      </c>
      <c r="F281" s="5">
        <v>2</v>
      </c>
      <c r="G281" s="5">
        <v>1</v>
      </c>
      <c r="H281" s="5" t="s">
        <v>4367</v>
      </c>
      <c r="I281" s="5">
        <v>15264</v>
      </c>
      <c r="J281" s="5" t="s">
        <v>4409</v>
      </c>
      <c r="K281" s="5" t="s">
        <v>4396</v>
      </c>
      <c r="L281" s="5" t="s">
        <v>4364</v>
      </c>
    </row>
    <row r="282" spans="1:12" x14ac:dyDescent="0.25">
      <c r="A282" s="5" t="s">
        <v>4627</v>
      </c>
      <c r="B282" s="157">
        <v>45515</v>
      </c>
      <c r="C282" s="5" t="s">
        <v>4415</v>
      </c>
      <c r="D282" s="5" t="s">
        <v>4424</v>
      </c>
      <c r="E282" s="5" t="s">
        <v>4378</v>
      </c>
      <c r="F282" s="5">
        <v>2</v>
      </c>
      <c r="G282" s="5">
        <v>3</v>
      </c>
      <c r="H282" s="5" t="s">
        <v>116</v>
      </c>
      <c r="I282" s="5">
        <v>65580</v>
      </c>
      <c r="J282" s="5" t="s">
        <v>4444</v>
      </c>
      <c r="K282" s="5" t="s">
        <v>1256</v>
      </c>
      <c r="L282" s="5" t="s">
        <v>1256</v>
      </c>
    </row>
    <row r="283" spans="1:12" x14ac:dyDescent="0.25">
      <c r="A283" s="5" t="s">
        <v>4538</v>
      </c>
      <c r="B283" s="157">
        <v>45515</v>
      </c>
      <c r="C283" s="5" t="s">
        <v>4366</v>
      </c>
      <c r="D283" s="5" t="s">
        <v>4378</v>
      </c>
      <c r="E283" s="5" t="s">
        <v>4354</v>
      </c>
      <c r="F283" s="5">
        <v>2</v>
      </c>
      <c r="G283" s="5">
        <v>0</v>
      </c>
      <c r="H283" s="5" t="s">
        <v>4367</v>
      </c>
      <c r="I283" s="5">
        <v>37538</v>
      </c>
      <c r="J283" s="5" t="s">
        <v>4362</v>
      </c>
      <c r="K283" s="5" t="s">
        <v>4399</v>
      </c>
      <c r="L283" s="5" t="s">
        <v>1256</v>
      </c>
    </row>
    <row r="284" spans="1:12" x14ac:dyDescent="0.25">
      <c r="A284" s="5" t="s">
        <v>4865</v>
      </c>
      <c r="B284" s="157">
        <v>45516</v>
      </c>
      <c r="C284" s="5" t="s">
        <v>4359</v>
      </c>
      <c r="D284" s="5" t="s">
        <v>4440</v>
      </c>
      <c r="E284" s="5" t="s">
        <v>4412</v>
      </c>
      <c r="F284" s="5">
        <v>1</v>
      </c>
      <c r="G284" s="5">
        <v>4</v>
      </c>
      <c r="H284" s="5" t="s">
        <v>116</v>
      </c>
      <c r="I284" s="5">
        <v>72236</v>
      </c>
      <c r="J284" s="5" t="s">
        <v>4409</v>
      </c>
      <c r="K284" s="5" t="s">
        <v>4384</v>
      </c>
      <c r="L284" s="5" t="s">
        <v>4389</v>
      </c>
    </row>
    <row r="285" spans="1:12" x14ac:dyDescent="0.25">
      <c r="A285" s="5" t="s">
        <v>4582</v>
      </c>
      <c r="B285" s="157">
        <v>45517</v>
      </c>
      <c r="C285" s="5" t="s">
        <v>4353</v>
      </c>
      <c r="D285" s="5" t="s">
        <v>4412</v>
      </c>
      <c r="E285" s="5" t="s">
        <v>4424</v>
      </c>
      <c r="F285" s="5">
        <v>3</v>
      </c>
      <c r="G285" s="5">
        <v>3</v>
      </c>
      <c r="H285" s="5" t="s">
        <v>4361</v>
      </c>
      <c r="I285" s="5">
        <v>39885</v>
      </c>
      <c r="J285" s="5" t="s">
        <v>4374</v>
      </c>
      <c r="K285" s="5" t="s">
        <v>4384</v>
      </c>
      <c r="L285" s="5" t="s">
        <v>4364</v>
      </c>
    </row>
    <row r="286" spans="1:12" x14ac:dyDescent="0.25">
      <c r="A286" s="5" t="s">
        <v>4651</v>
      </c>
      <c r="B286" s="157">
        <v>45517</v>
      </c>
      <c r="C286" s="5" t="s">
        <v>4402</v>
      </c>
      <c r="D286" s="5" t="s">
        <v>4470</v>
      </c>
      <c r="E286" s="5" t="s">
        <v>4378</v>
      </c>
      <c r="F286" s="5">
        <v>3</v>
      </c>
      <c r="G286" s="5">
        <v>2</v>
      </c>
      <c r="H286" s="5" t="s">
        <v>4367</v>
      </c>
      <c r="I286" s="5">
        <v>62762</v>
      </c>
      <c r="J286" s="5" t="s">
        <v>4444</v>
      </c>
      <c r="K286" s="5" t="s">
        <v>4356</v>
      </c>
      <c r="L286" s="5" t="s">
        <v>4357</v>
      </c>
    </row>
    <row r="287" spans="1:12" x14ac:dyDescent="0.25">
      <c r="A287" s="5" t="s">
        <v>4823</v>
      </c>
      <c r="B287" s="157">
        <v>45519</v>
      </c>
      <c r="C287" s="5" t="s">
        <v>4415</v>
      </c>
      <c r="D287" s="5" t="s">
        <v>4372</v>
      </c>
      <c r="E287" s="5" t="s">
        <v>4470</v>
      </c>
      <c r="F287" s="5">
        <v>3</v>
      </c>
      <c r="G287" s="5">
        <v>1</v>
      </c>
      <c r="H287" s="5" t="s">
        <v>4367</v>
      </c>
      <c r="I287" s="5">
        <v>79142</v>
      </c>
      <c r="J287" s="5" t="s">
        <v>4398</v>
      </c>
      <c r="K287" s="5" t="s">
        <v>4405</v>
      </c>
      <c r="L287" s="5" t="s">
        <v>4389</v>
      </c>
    </row>
    <row r="288" spans="1:12" x14ac:dyDescent="0.25">
      <c r="A288" s="5" t="s">
        <v>4667</v>
      </c>
      <c r="B288" s="157">
        <v>45524</v>
      </c>
      <c r="C288" s="5" t="s">
        <v>4415</v>
      </c>
      <c r="D288" s="5" t="s">
        <v>4354</v>
      </c>
      <c r="E288" s="5" t="s">
        <v>4382</v>
      </c>
      <c r="F288" s="5">
        <v>1</v>
      </c>
      <c r="G288" s="5">
        <v>4</v>
      </c>
      <c r="H288" s="5" t="s">
        <v>116</v>
      </c>
      <c r="I288" s="5">
        <v>28611</v>
      </c>
      <c r="J288" s="5" t="s">
        <v>4417</v>
      </c>
      <c r="K288" s="5" t="s">
        <v>1256</v>
      </c>
      <c r="L288" s="5" t="s">
        <v>4370</v>
      </c>
    </row>
    <row r="289" spans="1:12" x14ac:dyDescent="0.25">
      <c r="A289" s="5" t="s">
        <v>4570</v>
      </c>
      <c r="B289" s="157">
        <v>45528</v>
      </c>
      <c r="C289" s="5" t="s">
        <v>4402</v>
      </c>
      <c r="D289" s="5" t="s">
        <v>5006</v>
      </c>
      <c r="E289" s="5" t="s">
        <v>4412</v>
      </c>
      <c r="F289" s="5">
        <v>1</v>
      </c>
      <c r="G289" s="5">
        <v>0</v>
      </c>
      <c r="H289" s="5" t="s">
        <v>4367</v>
      </c>
      <c r="I289" s="5">
        <v>48827</v>
      </c>
      <c r="J289" s="5" t="s">
        <v>4413</v>
      </c>
      <c r="K289" s="5" t="s">
        <v>4399</v>
      </c>
      <c r="L289" s="5" t="s">
        <v>4364</v>
      </c>
    </row>
    <row r="290" spans="1:12" x14ac:dyDescent="0.25">
      <c r="A290" s="5" t="s">
        <v>4527</v>
      </c>
      <c r="B290" s="157">
        <v>45529</v>
      </c>
      <c r="C290" s="5" t="s">
        <v>4402</v>
      </c>
      <c r="D290" s="5" t="s">
        <v>4382</v>
      </c>
      <c r="E290" s="5" t="s">
        <v>4386</v>
      </c>
      <c r="F290" s="5">
        <v>2</v>
      </c>
      <c r="G290" s="5">
        <v>2</v>
      </c>
      <c r="H290" s="5" t="s">
        <v>4361</v>
      </c>
      <c r="I290" s="5">
        <v>80640</v>
      </c>
      <c r="J290" s="5" t="s">
        <v>4383</v>
      </c>
      <c r="K290" s="5" t="s">
        <v>4363</v>
      </c>
      <c r="L290" s="5" t="s">
        <v>1256</v>
      </c>
    </row>
    <row r="291" spans="1:12" x14ac:dyDescent="0.25">
      <c r="A291" s="5" t="s">
        <v>4492</v>
      </c>
      <c r="B291" s="157">
        <v>45529</v>
      </c>
      <c r="C291" s="5" t="s">
        <v>4366</v>
      </c>
      <c r="D291" s="5" t="s">
        <v>4377</v>
      </c>
      <c r="E291" s="5" t="s">
        <v>4470</v>
      </c>
      <c r="F291" s="5">
        <v>2</v>
      </c>
      <c r="G291" s="5">
        <v>1</v>
      </c>
      <c r="H291" s="5" t="s">
        <v>4367</v>
      </c>
      <c r="I291" s="5">
        <v>8824</v>
      </c>
      <c r="J291" s="5" t="s">
        <v>4398</v>
      </c>
      <c r="K291" s="5" t="s">
        <v>4375</v>
      </c>
      <c r="L291" s="5" t="s">
        <v>1256</v>
      </c>
    </row>
    <row r="292" spans="1:12" x14ac:dyDescent="0.25">
      <c r="A292" s="5" t="s">
        <v>4518</v>
      </c>
      <c r="B292" s="157">
        <v>45530</v>
      </c>
      <c r="C292" s="5" t="s">
        <v>4415</v>
      </c>
      <c r="D292" s="5" t="s">
        <v>4412</v>
      </c>
      <c r="E292" s="5" t="s">
        <v>5006</v>
      </c>
      <c r="F292" s="5">
        <v>2</v>
      </c>
      <c r="G292" s="5">
        <v>0</v>
      </c>
      <c r="H292" s="5" t="s">
        <v>4367</v>
      </c>
      <c r="I292" s="5">
        <v>0</v>
      </c>
      <c r="J292" s="5" t="s">
        <v>4388</v>
      </c>
      <c r="K292" s="5" t="s">
        <v>4363</v>
      </c>
      <c r="L292" s="5" t="s">
        <v>4357</v>
      </c>
    </row>
    <row r="293" spans="1:12" x14ac:dyDescent="0.25">
      <c r="A293" s="5" t="s">
        <v>4753</v>
      </c>
      <c r="B293" s="157">
        <v>45531</v>
      </c>
      <c r="C293" s="5" t="s">
        <v>4366</v>
      </c>
      <c r="D293" s="5" t="s">
        <v>4403</v>
      </c>
      <c r="E293" s="5" t="s">
        <v>4395</v>
      </c>
      <c r="F293" s="5">
        <v>1</v>
      </c>
      <c r="G293" s="5">
        <v>1</v>
      </c>
      <c r="H293" s="5" t="s">
        <v>4361</v>
      </c>
      <c r="I293" s="5">
        <v>19635</v>
      </c>
      <c r="J293" s="5" t="s">
        <v>4374</v>
      </c>
      <c r="K293" s="5" t="s">
        <v>1256</v>
      </c>
      <c r="L293" s="5" t="s">
        <v>4389</v>
      </c>
    </row>
    <row r="294" spans="1:12" x14ac:dyDescent="0.25">
      <c r="A294" s="5" t="s">
        <v>4521</v>
      </c>
      <c r="B294" s="157">
        <v>45534</v>
      </c>
      <c r="C294" s="5" t="s">
        <v>4359</v>
      </c>
      <c r="D294" s="5" t="s">
        <v>4360</v>
      </c>
      <c r="E294" s="5" t="s">
        <v>4369</v>
      </c>
      <c r="F294" s="5">
        <v>2</v>
      </c>
      <c r="G294" s="5">
        <v>3</v>
      </c>
      <c r="H294" s="5" t="s">
        <v>116</v>
      </c>
      <c r="I294" s="5">
        <v>19015</v>
      </c>
      <c r="J294" s="5" t="s">
        <v>4398</v>
      </c>
      <c r="K294" s="5" t="s">
        <v>4356</v>
      </c>
      <c r="L294" s="5" t="s">
        <v>1256</v>
      </c>
    </row>
    <row r="295" spans="1:12" x14ac:dyDescent="0.25">
      <c r="A295" s="5" t="s">
        <v>4681</v>
      </c>
      <c r="B295" s="157">
        <v>45537</v>
      </c>
      <c r="C295" s="5" t="s">
        <v>4366</v>
      </c>
      <c r="D295" s="5" t="s">
        <v>4378</v>
      </c>
      <c r="E295" s="5" t="s">
        <v>4424</v>
      </c>
      <c r="F295" s="5">
        <v>3</v>
      </c>
      <c r="G295" s="5">
        <v>2</v>
      </c>
      <c r="H295" s="5" t="s">
        <v>4367</v>
      </c>
      <c r="I295" s="5">
        <v>51707</v>
      </c>
      <c r="J295" s="5" t="s">
        <v>4417</v>
      </c>
      <c r="K295" s="5" t="s">
        <v>4375</v>
      </c>
      <c r="L295" s="5" t="s">
        <v>4364</v>
      </c>
    </row>
    <row r="296" spans="1:12" x14ac:dyDescent="0.25">
      <c r="A296" s="5" t="s">
        <v>4508</v>
      </c>
      <c r="B296" s="157">
        <v>45540</v>
      </c>
      <c r="C296" s="5" t="s">
        <v>4353</v>
      </c>
      <c r="D296" s="5" t="s">
        <v>4369</v>
      </c>
      <c r="E296" s="5" t="s">
        <v>4382</v>
      </c>
      <c r="F296" s="5">
        <v>2</v>
      </c>
      <c r="G296" s="5">
        <v>2</v>
      </c>
      <c r="H296" s="5" t="s">
        <v>4361</v>
      </c>
      <c r="I296" s="5">
        <v>47621</v>
      </c>
      <c r="J296" s="5" t="s">
        <v>4417</v>
      </c>
      <c r="K296" s="5" t="s">
        <v>4375</v>
      </c>
      <c r="L296" s="5" t="s">
        <v>4364</v>
      </c>
    </row>
    <row r="297" spans="1:12" x14ac:dyDescent="0.25">
      <c r="A297" s="5" t="s">
        <v>4673</v>
      </c>
      <c r="B297" s="157">
        <v>45544</v>
      </c>
      <c r="C297" s="5" t="s">
        <v>1256</v>
      </c>
      <c r="D297" s="5" t="s">
        <v>4424</v>
      </c>
      <c r="E297" s="5" t="s">
        <v>4403</v>
      </c>
      <c r="F297" s="5">
        <v>1</v>
      </c>
      <c r="G297" s="5">
        <v>2</v>
      </c>
      <c r="H297" s="5" t="s">
        <v>116</v>
      </c>
      <c r="I297" s="5">
        <v>38036</v>
      </c>
      <c r="J297" s="5" t="s">
        <v>4388</v>
      </c>
      <c r="K297" s="5" t="s">
        <v>4356</v>
      </c>
      <c r="L297" s="5" t="s">
        <v>4364</v>
      </c>
    </row>
    <row r="298" spans="1:12" x14ac:dyDescent="0.25">
      <c r="A298" s="5" t="s">
        <v>4746</v>
      </c>
      <c r="B298" s="157">
        <v>45545</v>
      </c>
      <c r="C298" s="5" t="s">
        <v>4366</v>
      </c>
      <c r="D298" s="5" t="s">
        <v>4424</v>
      </c>
      <c r="E298" s="5" t="s">
        <v>4372</v>
      </c>
      <c r="F298" s="5">
        <v>1</v>
      </c>
      <c r="G298" s="5">
        <v>1</v>
      </c>
      <c r="H298" s="5" t="s">
        <v>4361</v>
      </c>
      <c r="I298" s="5">
        <v>30197</v>
      </c>
      <c r="J298" s="5" t="s">
        <v>4355</v>
      </c>
      <c r="K298" s="5" t="s">
        <v>1256</v>
      </c>
      <c r="L298" s="5" t="s">
        <v>4357</v>
      </c>
    </row>
    <row r="299" spans="1:12" x14ac:dyDescent="0.25">
      <c r="A299" s="5" t="s">
        <v>4718</v>
      </c>
      <c r="B299" s="157">
        <v>45547</v>
      </c>
      <c r="C299" s="5" t="s">
        <v>4415</v>
      </c>
      <c r="D299" s="5" t="s">
        <v>4395</v>
      </c>
      <c r="E299" s="5" t="s">
        <v>4412</v>
      </c>
      <c r="F299" s="5">
        <v>1</v>
      </c>
      <c r="G299" s="5">
        <v>0</v>
      </c>
      <c r="H299" s="5" t="s">
        <v>4367</v>
      </c>
      <c r="I299" s="5">
        <v>72109</v>
      </c>
      <c r="J299" s="5" t="s">
        <v>4355</v>
      </c>
      <c r="K299" s="5" t="s">
        <v>1256</v>
      </c>
      <c r="L299" s="5" t="s">
        <v>4364</v>
      </c>
    </row>
    <row r="300" spans="1:12" x14ac:dyDescent="0.25">
      <c r="A300" s="5" t="s">
        <v>4665</v>
      </c>
      <c r="B300" s="157">
        <v>45549</v>
      </c>
      <c r="C300" s="5" t="s">
        <v>4402</v>
      </c>
      <c r="D300" s="5" t="s">
        <v>4386</v>
      </c>
      <c r="E300" s="5" t="s">
        <v>4382</v>
      </c>
      <c r="F300" s="5">
        <v>1</v>
      </c>
      <c r="G300" s="5">
        <v>1</v>
      </c>
      <c r="H300" s="5" t="s">
        <v>4361</v>
      </c>
      <c r="I300" s="5">
        <v>66720</v>
      </c>
      <c r="J300" s="5" t="s">
        <v>4413</v>
      </c>
      <c r="K300" s="5" t="s">
        <v>1256</v>
      </c>
      <c r="L300" s="5" t="s">
        <v>4357</v>
      </c>
    </row>
    <row r="301" spans="1:12" x14ac:dyDescent="0.25">
      <c r="A301" s="5" t="s">
        <v>4594</v>
      </c>
      <c r="B301" s="157">
        <v>45550</v>
      </c>
      <c r="C301" s="5" t="s">
        <v>4402</v>
      </c>
      <c r="D301" s="5" t="s">
        <v>4403</v>
      </c>
      <c r="E301" s="5" t="s">
        <v>4354</v>
      </c>
      <c r="F301" s="5">
        <v>1</v>
      </c>
      <c r="G301" s="5">
        <v>4</v>
      </c>
      <c r="H301" s="5" t="s">
        <v>116</v>
      </c>
      <c r="I301" s="5">
        <v>0</v>
      </c>
      <c r="J301" s="5" t="s">
        <v>4398</v>
      </c>
      <c r="K301" s="5" t="s">
        <v>1256</v>
      </c>
      <c r="L301" s="5" t="s">
        <v>4364</v>
      </c>
    </row>
    <row r="302" spans="1:12" x14ac:dyDescent="0.25">
      <c r="A302" s="5" t="s">
        <v>4968</v>
      </c>
      <c r="B302" s="157">
        <v>45551</v>
      </c>
      <c r="C302" s="5" t="s">
        <v>4366</v>
      </c>
      <c r="D302" s="5" t="s">
        <v>4403</v>
      </c>
      <c r="E302" s="5" t="s">
        <v>4373</v>
      </c>
      <c r="F302" s="5">
        <v>2</v>
      </c>
      <c r="G302" s="5">
        <v>1</v>
      </c>
      <c r="H302" s="5" t="s">
        <v>4367</v>
      </c>
      <c r="I302" s="5">
        <v>52745</v>
      </c>
      <c r="J302" s="5" t="s">
        <v>4388</v>
      </c>
      <c r="K302" s="5" t="s">
        <v>1256</v>
      </c>
      <c r="L302" s="5" t="s">
        <v>1256</v>
      </c>
    </row>
    <row r="303" spans="1:12" x14ac:dyDescent="0.25">
      <c r="A303" s="5" t="s">
        <v>4802</v>
      </c>
      <c r="B303" s="157">
        <v>45556</v>
      </c>
      <c r="C303" s="5" t="s">
        <v>4415</v>
      </c>
      <c r="D303" s="5" t="s">
        <v>4354</v>
      </c>
      <c r="E303" s="5" t="s">
        <v>4403</v>
      </c>
      <c r="F303" s="5">
        <v>2</v>
      </c>
      <c r="G303" s="5">
        <v>1</v>
      </c>
      <c r="H303" s="5" t="s">
        <v>4367</v>
      </c>
      <c r="I303" s="5">
        <v>34674</v>
      </c>
      <c r="J303" s="5" t="s">
        <v>4413</v>
      </c>
      <c r="K303" s="5" t="s">
        <v>4356</v>
      </c>
      <c r="L303" s="5" t="s">
        <v>4370</v>
      </c>
    </row>
    <row r="304" spans="1:12" x14ac:dyDescent="0.25">
      <c r="A304" s="5" t="s">
        <v>4979</v>
      </c>
      <c r="B304" s="157">
        <v>45560</v>
      </c>
      <c r="C304" s="5" t="s">
        <v>4415</v>
      </c>
      <c r="D304" s="5" t="s">
        <v>4386</v>
      </c>
      <c r="E304" s="5" t="s">
        <v>4395</v>
      </c>
      <c r="F304" s="5">
        <v>2</v>
      </c>
      <c r="G304" s="5">
        <v>1</v>
      </c>
      <c r="H304" s="5" t="s">
        <v>4367</v>
      </c>
      <c r="I304" s="5">
        <v>22470</v>
      </c>
      <c r="J304" s="5" t="s">
        <v>4413</v>
      </c>
      <c r="K304" s="5" t="s">
        <v>4405</v>
      </c>
      <c r="L304" s="5" t="s">
        <v>4389</v>
      </c>
    </row>
    <row r="305" spans="1:12" x14ac:dyDescent="0.25">
      <c r="A305" s="5" t="s">
        <v>4452</v>
      </c>
      <c r="B305" s="157">
        <v>45560</v>
      </c>
      <c r="C305" s="5" t="s">
        <v>1256</v>
      </c>
      <c r="D305" s="5" t="s">
        <v>4412</v>
      </c>
      <c r="E305" s="5" t="s">
        <v>4403</v>
      </c>
      <c r="F305" s="5">
        <v>3</v>
      </c>
      <c r="G305" s="5">
        <v>1</v>
      </c>
      <c r="H305" s="5" t="s">
        <v>4367</v>
      </c>
      <c r="I305" s="5">
        <v>51417</v>
      </c>
      <c r="J305" s="5" t="s">
        <v>4362</v>
      </c>
      <c r="K305" s="5" t="s">
        <v>4363</v>
      </c>
      <c r="L305" s="5" t="s">
        <v>4389</v>
      </c>
    </row>
    <row r="306" spans="1:12" x14ac:dyDescent="0.25">
      <c r="A306" s="5" t="s">
        <v>4533</v>
      </c>
      <c r="B306" s="157">
        <v>45561</v>
      </c>
      <c r="C306" s="5" t="s">
        <v>4415</v>
      </c>
      <c r="D306" s="5" t="s">
        <v>4372</v>
      </c>
      <c r="E306" s="5" t="s">
        <v>4369</v>
      </c>
      <c r="F306" s="5">
        <v>2</v>
      </c>
      <c r="G306" s="5">
        <v>2</v>
      </c>
      <c r="H306" s="5" t="s">
        <v>4361</v>
      </c>
      <c r="I306" s="5">
        <v>67447</v>
      </c>
      <c r="J306" s="5" t="s">
        <v>4413</v>
      </c>
      <c r="K306" s="5" t="s">
        <v>4384</v>
      </c>
      <c r="L306" s="5" t="s">
        <v>4370</v>
      </c>
    </row>
    <row r="307" spans="1:12" x14ac:dyDescent="0.25">
      <c r="A307" s="5" t="s">
        <v>4795</v>
      </c>
      <c r="B307" s="157">
        <v>45566</v>
      </c>
      <c r="C307" s="5" t="s">
        <v>4366</v>
      </c>
      <c r="D307" s="5" t="s">
        <v>4412</v>
      </c>
      <c r="E307" s="5" t="s">
        <v>5006</v>
      </c>
      <c r="F307" s="5">
        <v>3</v>
      </c>
      <c r="G307" s="5">
        <v>1</v>
      </c>
      <c r="H307" s="5" t="s">
        <v>4367</v>
      </c>
      <c r="I307" s="5">
        <v>70736</v>
      </c>
      <c r="J307" s="5" t="s">
        <v>4362</v>
      </c>
      <c r="K307" s="5" t="s">
        <v>4384</v>
      </c>
      <c r="L307" s="5" t="s">
        <v>4364</v>
      </c>
    </row>
    <row r="308" spans="1:12" x14ac:dyDescent="0.25">
      <c r="A308" s="5" t="s">
        <v>4543</v>
      </c>
      <c r="B308" s="157">
        <v>45569</v>
      </c>
      <c r="C308" s="5" t="s">
        <v>4402</v>
      </c>
      <c r="D308" s="5" t="s">
        <v>4424</v>
      </c>
      <c r="E308" s="5" t="s">
        <v>4369</v>
      </c>
      <c r="F308" s="5">
        <v>1</v>
      </c>
      <c r="G308" s="5">
        <v>0</v>
      </c>
      <c r="H308" s="5" t="s">
        <v>4367</v>
      </c>
      <c r="I308" s="5">
        <v>63948</v>
      </c>
      <c r="J308" s="5" t="s">
        <v>4444</v>
      </c>
      <c r="K308" s="5" t="s">
        <v>1256</v>
      </c>
      <c r="L308" s="5" t="s">
        <v>1256</v>
      </c>
    </row>
    <row r="309" spans="1:12" x14ac:dyDescent="0.25">
      <c r="A309" s="5" t="s">
        <v>4401</v>
      </c>
      <c r="B309" s="157">
        <v>45572</v>
      </c>
      <c r="C309" s="5" t="s">
        <v>4402</v>
      </c>
      <c r="D309" s="5" t="s">
        <v>4403</v>
      </c>
      <c r="E309" s="5" t="s">
        <v>4354</v>
      </c>
      <c r="F309" s="5">
        <v>3</v>
      </c>
      <c r="G309" s="5">
        <v>4</v>
      </c>
      <c r="H309" s="5" t="s">
        <v>116</v>
      </c>
      <c r="I309" s="5">
        <v>79045</v>
      </c>
      <c r="J309" s="5" t="s">
        <v>4355</v>
      </c>
      <c r="K309" s="5" t="s">
        <v>1256</v>
      </c>
      <c r="L309" s="5" t="s">
        <v>4364</v>
      </c>
    </row>
    <row r="310" spans="1:12" x14ac:dyDescent="0.25">
      <c r="A310" s="5" t="s">
        <v>4390</v>
      </c>
      <c r="B310" s="157">
        <v>45574</v>
      </c>
      <c r="C310" s="5" t="s">
        <v>4353</v>
      </c>
      <c r="D310" s="5" t="s">
        <v>4424</v>
      </c>
      <c r="E310" s="5" t="s">
        <v>4387</v>
      </c>
      <c r="F310" s="5">
        <v>3</v>
      </c>
      <c r="G310" s="5">
        <v>3</v>
      </c>
      <c r="H310" s="5" t="s">
        <v>4361</v>
      </c>
      <c r="I310" s="5">
        <v>27384</v>
      </c>
      <c r="J310" s="5" t="s">
        <v>4388</v>
      </c>
      <c r="K310" s="5" t="s">
        <v>4363</v>
      </c>
      <c r="L310" s="5" t="s">
        <v>4357</v>
      </c>
    </row>
    <row r="311" spans="1:12" x14ac:dyDescent="0.25">
      <c r="A311" s="5" t="s">
        <v>4858</v>
      </c>
      <c r="B311" s="157">
        <v>45577</v>
      </c>
      <c r="C311" s="5" t="s">
        <v>4402</v>
      </c>
      <c r="D311" s="5" t="s">
        <v>4440</v>
      </c>
      <c r="E311" s="5" t="s">
        <v>4372</v>
      </c>
      <c r="F311" s="5">
        <v>2</v>
      </c>
      <c r="G311" s="5">
        <v>1</v>
      </c>
      <c r="H311" s="5" t="s">
        <v>4367</v>
      </c>
      <c r="I311" s="5">
        <v>31113</v>
      </c>
      <c r="J311" s="5" t="s">
        <v>4398</v>
      </c>
      <c r="K311" s="5" t="s">
        <v>4396</v>
      </c>
      <c r="L311" s="5" t="s">
        <v>4364</v>
      </c>
    </row>
    <row r="312" spans="1:12" x14ac:dyDescent="0.25">
      <c r="A312" s="5" t="s">
        <v>4588</v>
      </c>
      <c r="B312" s="157">
        <v>45577</v>
      </c>
      <c r="C312" s="5" t="s">
        <v>4353</v>
      </c>
      <c r="D312" s="5" t="s">
        <v>4373</v>
      </c>
      <c r="E312" s="5" t="s">
        <v>4354</v>
      </c>
      <c r="F312" s="5">
        <v>0</v>
      </c>
      <c r="G312" s="5">
        <v>1</v>
      </c>
      <c r="H312" s="5" t="s">
        <v>116</v>
      </c>
      <c r="I312" s="5">
        <v>41278</v>
      </c>
      <c r="J312" s="5" t="s">
        <v>4398</v>
      </c>
      <c r="K312" s="5" t="s">
        <v>4405</v>
      </c>
      <c r="L312" s="5" t="s">
        <v>4357</v>
      </c>
    </row>
    <row r="313" spans="1:12" x14ac:dyDescent="0.25">
      <c r="A313" s="5" t="s">
        <v>4821</v>
      </c>
      <c r="B313" s="157">
        <v>45578</v>
      </c>
      <c r="C313" s="5" t="s">
        <v>4353</v>
      </c>
      <c r="D313" s="5" t="s">
        <v>5006</v>
      </c>
      <c r="E313" s="5" t="s">
        <v>4360</v>
      </c>
      <c r="F313" s="5">
        <v>1</v>
      </c>
      <c r="G313" s="5">
        <v>4</v>
      </c>
      <c r="H313" s="5" t="s">
        <v>116</v>
      </c>
      <c r="I313" s="5">
        <v>80016</v>
      </c>
      <c r="J313" s="5" t="s">
        <v>4444</v>
      </c>
      <c r="K313" s="5" t="s">
        <v>1256</v>
      </c>
      <c r="L313" s="5" t="s">
        <v>4357</v>
      </c>
    </row>
    <row r="314" spans="1:12" x14ac:dyDescent="0.25">
      <c r="A314" s="5" t="s">
        <v>4773</v>
      </c>
      <c r="B314" s="157">
        <v>45578</v>
      </c>
      <c r="C314" s="5" t="s">
        <v>4359</v>
      </c>
      <c r="D314" s="5" t="s">
        <v>4470</v>
      </c>
      <c r="E314" s="5" t="s">
        <v>4403</v>
      </c>
      <c r="F314" s="5">
        <v>2</v>
      </c>
      <c r="G314" s="5">
        <v>2</v>
      </c>
      <c r="H314" s="5" t="s">
        <v>4361</v>
      </c>
      <c r="I314" s="5">
        <v>67843</v>
      </c>
      <c r="J314" s="5" t="s">
        <v>4388</v>
      </c>
      <c r="K314" s="5" t="s">
        <v>4384</v>
      </c>
      <c r="L314" s="5" t="s">
        <v>4357</v>
      </c>
    </row>
    <row r="315" spans="1:12" x14ac:dyDescent="0.25">
      <c r="A315" s="5" t="s">
        <v>4686</v>
      </c>
      <c r="B315" s="157">
        <v>45580</v>
      </c>
      <c r="C315" s="5" t="s">
        <v>4402</v>
      </c>
      <c r="D315" s="5" t="s">
        <v>4369</v>
      </c>
      <c r="E315" s="5" t="s">
        <v>4440</v>
      </c>
      <c r="F315" s="5">
        <v>3</v>
      </c>
      <c r="G315" s="5">
        <v>3</v>
      </c>
      <c r="H315" s="5" t="s">
        <v>4361</v>
      </c>
      <c r="I315" s="5">
        <v>24276</v>
      </c>
      <c r="J315" s="5" t="s">
        <v>4355</v>
      </c>
      <c r="K315" s="5" t="s">
        <v>1256</v>
      </c>
      <c r="L315" s="5" t="s">
        <v>4364</v>
      </c>
    </row>
    <row r="316" spans="1:12" x14ac:dyDescent="0.25">
      <c r="A316" s="5" t="s">
        <v>4859</v>
      </c>
      <c r="B316" s="157">
        <v>45581</v>
      </c>
      <c r="C316" s="5" t="s">
        <v>4402</v>
      </c>
      <c r="D316" s="5" t="s">
        <v>4424</v>
      </c>
      <c r="E316" s="5" t="s">
        <v>4382</v>
      </c>
      <c r="F316" s="5">
        <v>0</v>
      </c>
      <c r="G316" s="5">
        <v>2</v>
      </c>
      <c r="H316" s="5" t="s">
        <v>116</v>
      </c>
      <c r="I316" s="5">
        <v>25632</v>
      </c>
      <c r="J316" s="5" t="s">
        <v>4409</v>
      </c>
      <c r="K316" s="5" t="s">
        <v>4396</v>
      </c>
      <c r="L316" s="5" t="s">
        <v>4370</v>
      </c>
    </row>
    <row r="317" spans="1:12" x14ac:dyDescent="0.25">
      <c r="A317" s="5" t="s">
        <v>4509</v>
      </c>
      <c r="B317" s="157">
        <v>45582</v>
      </c>
      <c r="C317" s="5" t="s">
        <v>4366</v>
      </c>
      <c r="D317" s="5" t="s">
        <v>4403</v>
      </c>
      <c r="E317" s="5" t="s">
        <v>4412</v>
      </c>
      <c r="F317" s="5">
        <v>4</v>
      </c>
      <c r="G317" s="5">
        <v>2</v>
      </c>
      <c r="H317" s="5" t="s">
        <v>4367</v>
      </c>
      <c r="I317" s="5">
        <v>76240</v>
      </c>
      <c r="J317" s="5" t="s">
        <v>4413</v>
      </c>
      <c r="K317" s="5" t="s">
        <v>4356</v>
      </c>
      <c r="L317" s="5" t="s">
        <v>4357</v>
      </c>
    </row>
    <row r="318" spans="1:12" x14ac:dyDescent="0.25">
      <c r="A318" s="5" t="s">
        <v>4514</v>
      </c>
      <c r="B318" s="157">
        <v>45584</v>
      </c>
      <c r="C318" s="5" t="s">
        <v>4415</v>
      </c>
      <c r="D318" s="5" t="s">
        <v>4382</v>
      </c>
      <c r="E318" s="5" t="s">
        <v>4369</v>
      </c>
      <c r="F318" s="5">
        <v>3</v>
      </c>
      <c r="G318" s="5">
        <v>2</v>
      </c>
      <c r="H318" s="5" t="s">
        <v>4367</v>
      </c>
      <c r="I318" s="5">
        <v>43218</v>
      </c>
      <c r="J318" s="5" t="s">
        <v>4444</v>
      </c>
      <c r="K318" s="5" t="s">
        <v>4384</v>
      </c>
      <c r="L318" s="5" t="s">
        <v>1256</v>
      </c>
    </row>
    <row r="319" spans="1:12" x14ac:dyDescent="0.25">
      <c r="A319" s="5" t="s">
        <v>4663</v>
      </c>
      <c r="B319" s="157">
        <v>45584</v>
      </c>
      <c r="C319" s="5" t="s">
        <v>4415</v>
      </c>
      <c r="D319" s="5" t="s">
        <v>5006</v>
      </c>
      <c r="E319" s="5" t="s">
        <v>4382</v>
      </c>
      <c r="F319" s="5">
        <v>1</v>
      </c>
      <c r="G319" s="5">
        <v>2</v>
      </c>
      <c r="H319" s="5" t="s">
        <v>116</v>
      </c>
      <c r="I319" s="5">
        <v>73607</v>
      </c>
      <c r="J319" s="5" t="s">
        <v>4398</v>
      </c>
      <c r="K319" s="5" t="s">
        <v>4396</v>
      </c>
      <c r="L319" s="5" t="s">
        <v>4389</v>
      </c>
    </row>
    <row r="320" spans="1:12" x14ac:dyDescent="0.25">
      <c r="A320" s="5" t="s">
        <v>4808</v>
      </c>
      <c r="B320" s="157">
        <v>45584</v>
      </c>
      <c r="C320" s="5" t="s">
        <v>4359</v>
      </c>
      <c r="D320" s="5" t="s">
        <v>4403</v>
      </c>
      <c r="E320" s="5" t="s">
        <v>4412</v>
      </c>
      <c r="F320" s="5">
        <v>1</v>
      </c>
      <c r="G320" s="5">
        <v>2</v>
      </c>
      <c r="H320" s="5" t="s">
        <v>116</v>
      </c>
      <c r="I320" s="5">
        <v>66200</v>
      </c>
      <c r="J320" s="5" t="s">
        <v>4383</v>
      </c>
      <c r="K320" s="5" t="s">
        <v>4405</v>
      </c>
      <c r="L320" s="5" t="s">
        <v>1256</v>
      </c>
    </row>
    <row r="321" spans="1:12" x14ac:dyDescent="0.25">
      <c r="A321" s="5" t="s">
        <v>4539</v>
      </c>
      <c r="B321" s="157">
        <v>45587</v>
      </c>
      <c r="C321" s="5" t="s">
        <v>4366</v>
      </c>
      <c r="D321" s="5" t="s">
        <v>4440</v>
      </c>
      <c r="E321" s="5" t="s">
        <v>4386</v>
      </c>
      <c r="F321" s="5">
        <v>2</v>
      </c>
      <c r="G321" s="5">
        <v>3</v>
      </c>
      <c r="H321" s="5" t="s">
        <v>116</v>
      </c>
      <c r="I321" s="5">
        <v>68551</v>
      </c>
      <c r="J321" s="5" t="s">
        <v>4398</v>
      </c>
      <c r="K321" s="5" t="s">
        <v>4399</v>
      </c>
      <c r="L321" s="5" t="s">
        <v>1256</v>
      </c>
    </row>
    <row r="322" spans="1:12" x14ac:dyDescent="0.25">
      <c r="A322" s="5" t="s">
        <v>4892</v>
      </c>
      <c r="B322" s="157">
        <v>45588</v>
      </c>
      <c r="C322" s="5" t="s">
        <v>4366</v>
      </c>
      <c r="D322" s="5" t="s">
        <v>4372</v>
      </c>
      <c r="E322" s="5" t="s">
        <v>4387</v>
      </c>
      <c r="F322" s="5">
        <v>0</v>
      </c>
      <c r="G322" s="5">
        <v>3</v>
      </c>
      <c r="H322" s="5" t="s">
        <v>1256</v>
      </c>
      <c r="I322" s="5">
        <v>58308</v>
      </c>
      <c r="J322" s="5" t="s">
        <v>4383</v>
      </c>
      <c r="K322" s="5" t="s">
        <v>1256</v>
      </c>
      <c r="L322" s="5" t="s">
        <v>4364</v>
      </c>
    </row>
    <row r="323" spans="1:12" x14ac:dyDescent="0.25">
      <c r="A323" s="5" t="s">
        <v>4460</v>
      </c>
      <c r="B323" s="157">
        <v>45589</v>
      </c>
      <c r="C323" s="5" t="s">
        <v>4415</v>
      </c>
      <c r="D323" s="5" t="s">
        <v>4440</v>
      </c>
      <c r="E323" s="5" t="s">
        <v>4354</v>
      </c>
      <c r="F323" s="5">
        <v>2</v>
      </c>
      <c r="G323" s="5">
        <v>3</v>
      </c>
      <c r="H323" s="5" t="s">
        <v>116</v>
      </c>
      <c r="I323" s="5">
        <v>38616</v>
      </c>
      <c r="J323" s="5" t="s">
        <v>4393</v>
      </c>
      <c r="K323" s="5" t="s">
        <v>4356</v>
      </c>
      <c r="L323" s="5" t="s">
        <v>4357</v>
      </c>
    </row>
    <row r="324" spans="1:12" x14ac:dyDescent="0.25">
      <c r="A324" s="5" t="s">
        <v>4720</v>
      </c>
      <c r="B324" s="157">
        <v>45591</v>
      </c>
      <c r="C324" s="5" t="s">
        <v>4415</v>
      </c>
      <c r="D324" s="5" t="s">
        <v>4403</v>
      </c>
      <c r="E324" s="5" t="s">
        <v>4412</v>
      </c>
      <c r="F324" s="5">
        <v>2</v>
      </c>
      <c r="G324" s="5">
        <v>3</v>
      </c>
      <c r="H324" s="5" t="s">
        <v>116</v>
      </c>
      <c r="I324" s="5">
        <v>81186</v>
      </c>
      <c r="J324" s="5" t="s">
        <v>4444</v>
      </c>
      <c r="K324" s="5" t="s">
        <v>1256</v>
      </c>
      <c r="L324" s="5" t="s">
        <v>4370</v>
      </c>
    </row>
    <row r="325" spans="1:12" x14ac:dyDescent="0.25">
      <c r="A325" s="5" t="s">
        <v>4501</v>
      </c>
      <c r="B325" s="157">
        <v>45592</v>
      </c>
      <c r="C325" s="5" t="s">
        <v>4366</v>
      </c>
      <c r="D325" s="5" t="s">
        <v>4412</v>
      </c>
      <c r="E325" s="5" t="s">
        <v>4373</v>
      </c>
      <c r="F325" s="5">
        <v>1</v>
      </c>
      <c r="G325" s="5">
        <v>1</v>
      </c>
      <c r="H325" s="5" t="s">
        <v>4361</v>
      </c>
      <c r="I325" s="5">
        <v>34755</v>
      </c>
      <c r="J325" s="5" t="s">
        <v>4442</v>
      </c>
      <c r="K325" s="5" t="s">
        <v>4399</v>
      </c>
      <c r="L325" s="5" t="s">
        <v>1256</v>
      </c>
    </row>
    <row r="326" spans="1:12" x14ac:dyDescent="0.25">
      <c r="A326" s="5" t="s">
        <v>4819</v>
      </c>
      <c r="B326" s="157">
        <v>45593</v>
      </c>
      <c r="C326" s="5" t="s">
        <v>4402</v>
      </c>
      <c r="D326" s="5" t="s">
        <v>4424</v>
      </c>
      <c r="E326" s="5" t="s">
        <v>4440</v>
      </c>
      <c r="F326" s="5">
        <v>5</v>
      </c>
      <c r="G326" s="5">
        <v>1</v>
      </c>
      <c r="H326" s="5" t="s">
        <v>4367</v>
      </c>
      <c r="I326" s="5">
        <v>71184</v>
      </c>
      <c r="J326" s="5" t="s">
        <v>4413</v>
      </c>
      <c r="K326" s="5" t="s">
        <v>4405</v>
      </c>
      <c r="L326" s="5" t="s">
        <v>1256</v>
      </c>
    </row>
    <row r="327" spans="1:12" x14ac:dyDescent="0.25">
      <c r="A327" s="5" t="s">
        <v>4891</v>
      </c>
      <c r="B327" s="157">
        <v>45594</v>
      </c>
      <c r="C327" s="5" t="s">
        <v>4415</v>
      </c>
      <c r="D327" s="5" t="s">
        <v>5006</v>
      </c>
      <c r="E327" s="5" t="s">
        <v>4412</v>
      </c>
      <c r="F327" s="5">
        <v>2</v>
      </c>
      <c r="G327" s="5">
        <v>2</v>
      </c>
      <c r="H327" s="5" t="s">
        <v>4361</v>
      </c>
      <c r="I327" s="5">
        <v>28387</v>
      </c>
      <c r="J327" s="5" t="s">
        <v>4444</v>
      </c>
      <c r="K327" s="5" t="s">
        <v>4396</v>
      </c>
      <c r="L327" s="5" t="s">
        <v>4357</v>
      </c>
    </row>
    <row r="328" spans="1:12" x14ac:dyDescent="0.25">
      <c r="A328" s="5" t="s">
        <v>4716</v>
      </c>
      <c r="B328" s="157">
        <v>45594</v>
      </c>
      <c r="C328" s="5" t="s">
        <v>4402</v>
      </c>
      <c r="D328" s="5" t="s">
        <v>4382</v>
      </c>
      <c r="E328" s="5" t="s">
        <v>4430</v>
      </c>
      <c r="F328" s="5">
        <v>3</v>
      </c>
      <c r="G328" s="5">
        <v>2</v>
      </c>
      <c r="H328" s="5" t="s">
        <v>4367</v>
      </c>
      <c r="I328" s="5">
        <v>20042</v>
      </c>
      <c r="J328" s="5" t="s">
        <v>4383</v>
      </c>
      <c r="K328" s="5" t="s">
        <v>4396</v>
      </c>
      <c r="L328" s="5" t="s">
        <v>4370</v>
      </c>
    </row>
    <row r="329" spans="1:12" x14ac:dyDescent="0.25">
      <c r="A329" s="5" t="s">
        <v>4542</v>
      </c>
      <c r="B329" s="157">
        <v>45594</v>
      </c>
      <c r="C329" s="5" t="s">
        <v>4353</v>
      </c>
      <c r="D329" s="5" t="s">
        <v>4378</v>
      </c>
      <c r="E329" s="5" t="s">
        <v>4386</v>
      </c>
      <c r="F329" s="5">
        <v>2</v>
      </c>
      <c r="G329" s="5">
        <v>1</v>
      </c>
      <c r="H329" s="5" t="s">
        <v>4367</v>
      </c>
      <c r="I329" s="5">
        <v>53000</v>
      </c>
      <c r="J329" s="5" t="s">
        <v>4409</v>
      </c>
      <c r="K329" s="5" t="s">
        <v>4363</v>
      </c>
      <c r="L329" s="5" t="s">
        <v>4389</v>
      </c>
    </row>
    <row r="330" spans="1:12" x14ac:dyDescent="0.25">
      <c r="A330" s="5" t="s">
        <v>4780</v>
      </c>
      <c r="B330" s="157">
        <v>45594</v>
      </c>
      <c r="C330" s="5" t="s">
        <v>4366</v>
      </c>
      <c r="D330" s="5" t="s">
        <v>4395</v>
      </c>
      <c r="E330" s="5" t="s">
        <v>4369</v>
      </c>
      <c r="F330" s="5">
        <v>3</v>
      </c>
      <c r="G330" s="5">
        <v>3</v>
      </c>
      <c r="H330" s="5" t="s">
        <v>4361</v>
      </c>
      <c r="I330" s="5">
        <v>15322</v>
      </c>
      <c r="J330" s="5" t="s">
        <v>4444</v>
      </c>
      <c r="K330" s="5" t="s">
        <v>1256</v>
      </c>
      <c r="L330" s="5" t="s">
        <v>1256</v>
      </c>
    </row>
    <row r="331" spans="1:12" x14ac:dyDescent="0.25">
      <c r="A331" s="5" t="s">
        <v>4816</v>
      </c>
      <c r="B331" s="157">
        <v>45598</v>
      </c>
      <c r="C331" s="5" t="s">
        <v>4353</v>
      </c>
      <c r="D331" s="5" t="s">
        <v>4378</v>
      </c>
      <c r="E331" s="5" t="s">
        <v>4403</v>
      </c>
      <c r="F331" s="5">
        <v>2</v>
      </c>
      <c r="G331" s="5">
        <v>2</v>
      </c>
      <c r="H331" s="5" t="s">
        <v>4361</v>
      </c>
      <c r="I331" s="5">
        <v>63608</v>
      </c>
      <c r="J331" s="5" t="s">
        <v>4417</v>
      </c>
      <c r="K331" s="5" t="s">
        <v>4405</v>
      </c>
      <c r="L331" s="5" t="s">
        <v>1256</v>
      </c>
    </row>
    <row r="332" spans="1:12" x14ac:dyDescent="0.25">
      <c r="A332" s="5" t="s">
        <v>4568</v>
      </c>
      <c r="B332" s="157">
        <v>45600</v>
      </c>
      <c r="C332" s="5" t="s">
        <v>4415</v>
      </c>
      <c r="D332" s="5" t="s">
        <v>4430</v>
      </c>
      <c r="E332" s="5" t="s">
        <v>4377</v>
      </c>
      <c r="F332" s="5">
        <v>0</v>
      </c>
      <c r="G332" s="5">
        <v>1</v>
      </c>
      <c r="H332" s="5" t="s">
        <v>116</v>
      </c>
      <c r="I332" s="5">
        <v>36181</v>
      </c>
      <c r="J332" s="5" t="s">
        <v>4355</v>
      </c>
      <c r="K332" s="5" t="s">
        <v>4399</v>
      </c>
      <c r="L332" s="5" t="s">
        <v>4364</v>
      </c>
    </row>
    <row r="333" spans="1:12" x14ac:dyDescent="0.25">
      <c r="A333" s="5" t="s">
        <v>4510</v>
      </c>
      <c r="B333" s="157">
        <v>45601</v>
      </c>
      <c r="C333" s="5" t="s">
        <v>4415</v>
      </c>
      <c r="D333" s="5" t="s">
        <v>4424</v>
      </c>
      <c r="E333" s="5" t="s">
        <v>4354</v>
      </c>
      <c r="F333" s="5">
        <v>3</v>
      </c>
      <c r="G333" s="5">
        <v>3</v>
      </c>
      <c r="H333" s="5" t="s">
        <v>4361</v>
      </c>
      <c r="I333" s="5">
        <v>79618</v>
      </c>
      <c r="J333" s="5" t="s">
        <v>4393</v>
      </c>
      <c r="K333" s="5" t="s">
        <v>4405</v>
      </c>
      <c r="L333" s="5" t="s">
        <v>4357</v>
      </c>
    </row>
    <row r="334" spans="1:12" x14ac:dyDescent="0.25">
      <c r="A334" s="5" t="s">
        <v>4701</v>
      </c>
      <c r="B334" s="157">
        <v>45602</v>
      </c>
      <c r="C334" s="5" t="s">
        <v>1256</v>
      </c>
      <c r="D334" s="5" t="s">
        <v>4378</v>
      </c>
      <c r="E334" s="5" t="s">
        <v>4382</v>
      </c>
      <c r="F334" s="5">
        <v>1</v>
      </c>
      <c r="G334" s="5">
        <v>0</v>
      </c>
      <c r="H334" s="5" t="s">
        <v>4367</v>
      </c>
      <c r="I334" s="5">
        <v>78601</v>
      </c>
      <c r="J334" s="5" t="s">
        <v>4374</v>
      </c>
      <c r="K334" s="5" t="s">
        <v>4375</v>
      </c>
      <c r="L334" s="5" t="s">
        <v>1256</v>
      </c>
    </row>
    <row r="335" spans="1:12" x14ac:dyDescent="0.25">
      <c r="A335" s="5" t="s">
        <v>4555</v>
      </c>
      <c r="B335" s="157">
        <v>45605</v>
      </c>
      <c r="C335" s="5" t="s">
        <v>4415</v>
      </c>
      <c r="D335" s="5" t="s">
        <v>4373</v>
      </c>
      <c r="E335" s="5" t="s">
        <v>4360</v>
      </c>
      <c r="F335" s="5">
        <v>1</v>
      </c>
      <c r="G335" s="5">
        <v>0</v>
      </c>
      <c r="H335" s="5" t="s">
        <v>4367</v>
      </c>
      <c r="I335" s="5">
        <v>0</v>
      </c>
      <c r="J335" s="5" t="s">
        <v>4393</v>
      </c>
      <c r="K335" s="5" t="s">
        <v>1256</v>
      </c>
      <c r="L335" s="5" t="s">
        <v>4364</v>
      </c>
    </row>
    <row r="336" spans="1:12" x14ac:dyDescent="0.25">
      <c r="A336" s="5" t="s">
        <v>4506</v>
      </c>
      <c r="B336" s="157">
        <v>45610</v>
      </c>
      <c r="C336" s="5" t="s">
        <v>4415</v>
      </c>
      <c r="D336" s="5" t="s">
        <v>4369</v>
      </c>
      <c r="E336" s="5" t="s">
        <v>4440</v>
      </c>
      <c r="F336" s="5">
        <v>1</v>
      </c>
      <c r="G336" s="5">
        <v>2</v>
      </c>
      <c r="H336" s="5" t="s">
        <v>116</v>
      </c>
      <c r="I336" s="5">
        <v>51728</v>
      </c>
      <c r="J336" s="5" t="s">
        <v>4421</v>
      </c>
      <c r="K336" s="5" t="s">
        <v>1256</v>
      </c>
      <c r="L336" s="5" t="s">
        <v>4370</v>
      </c>
    </row>
    <row r="337" spans="1:12" x14ac:dyDescent="0.25">
      <c r="A337" s="5" t="s">
        <v>4526</v>
      </c>
      <c r="B337" s="157">
        <v>45612</v>
      </c>
      <c r="C337" s="5" t="s">
        <v>4359</v>
      </c>
      <c r="D337" s="5" t="s">
        <v>4378</v>
      </c>
      <c r="E337" s="5" t="s">
        <v>4354</v>
      </c>
      <c r="F337" s="5">
        <v>3</v>
      </c>
      <c r="G337" s="5">
        <v>0</v>
      </c>
      <c r="H337" s="5" t="s">
        <v>4367</v>
      </c>
      <c r="I337" s="5">
        <v>18220</v>
      </c>
      <c r="J337" s="5" t="s">
        <v>4393</v>
      </c>
      <c r="K337" s="5" t="s">
        <v>1256</v>
      </c>
      <c r="L337" s="5" t="s">
        <v>1256</v>
      </c>
    </row>
    <row r="338" spans="1:12" x14ac:dyDescent="0.25">
      <c r="A338" s="5" t="s">
        <v>4971</v>
      </c>
      <c r="B338" s="157">
        <v>45612</v>
      </c>
      <c r="C338" s="5" t="s">
        <v>4353</v>
      </c>
      <c r="D338" s="5" t="s">
        <v>5006</v>
      </c>
      <c r="E338" s="5" t="s">
        <v>4387</v>
      </c>
      <c r="F338" s="5">
        <v>0</v>
      </c>
      <c r="G338" s="5">
        <v>2</v>
      </c>
      <c r="H338" s="5" t="s">
        <v>116</v>
      </c>
      <c r="I338" s="5">
        <v>24326</v>
      </c>
      <c r="J338" s="5" t="s">
        <v>4398</v>
      </c>
      <c r="K338" s="5" t="s">
        <v>4405</v>
      </c>
      <c r="L338" s="5" t="s">
        <v>4389</v>
      </c>
    </row>
    <row r="339" spans="1:12" x14ac:dyDescent="0.25">
      <c r="A339" s="5" t="s">
        <v>4854</v>
      </c>
      <c r="B339" s="157">
        <v>45613</v>
      </c>
      <c r="C339" s="5" t="s">
        <v>4415</v>
      </c>
      <c r="D339" s="5" t="s">
        <v>4387</v>
      </c>
      <c r="E339" s="5" t="s">
        <v>4424</v>
      </c>
      <c r="F339" s="5">
        <v>3</v>
      </c>
      <c r="G339" s="5">
        <v>5</v>
      </c>
      <c r="H339" s="5" t="s">
        <v>116</v>
      </c>
      <c r="I339" s="5">
        <v>70037</v>
      </c>
      <c r="J339" s="5" t="s">
        <v>4413</v>
      </c>
      <c r="K339" s="5" t="s">
        <v>4396</v>
      </c>
      <c r="L339" s="5" t="s">
        <v>1256</v>
      </c>
    </row>
    <row r="340" spans="1:12" x14ac:dyDescent="0.25">
      <c r="A340" s="5" t="s">
        <v>4706</v>
      </c>
      <c r="B340" s="157">
        <v>45617</v>
      </c>
      <c r="C340" s="5" t="s">
        <v>4353</v>
      </c>
      <c r="D340" s="5" t="s">
        <v>4377</v>
      </c>
      <c r="E340" s="5" t="s">
        <v>4403</v>
      </c>
      <c r="F340" s="5">
        <v>3</v>
      </c>
      <c r="G340" s="5">
        <v>3</v>
      </c>
      <c r="H340" s="5" t="s">
        <v>4361</v>
      </c>
      <c r="I340" s="5">
        <v>43470</v>
      </c>
      <c r="J340" s="5" t="s">
        <v>4444</v>
      </c>
      <c r="K340" s="5" t="s">
        <v>4375</v>
      </c>
      <c r="L340" s="5" t="s">
        <v>4364</v>
      </c>
    </row>
    <row r="341" spans="1:12" x14ac:dyDescent="0.25">
      <c r="A341" s="5" t="s">
        <v>4488</v>
      </c>
      <c r="B341" s="157">
        <v>45620</v>
      </c>
      <c r="C341" s="5" t="s">
        <v>4366</v>
      </c>
      <c r="D341" s="5" t="s">
        <v>4369</v>
      </c>
      <c r="E341" s="5" t="s">
        <v>4373</v>
      </c>
      <c r="F341" s="5">
        <v>1</v>
      </c>
      <c r="G341" s="5">
        <v>0</v>
      </c>
      <c r="H341" s="5" t="s">
        <v>4367</v>
      </c>
      <c r="I341" s="5">
        <v>31455</v>
      </c>
      <c r="J341" s="5" t="s">
        <v>4417</v>
      </c>
      <c r="K341" s="5" t="s">
        <v>4405</v>
      </c>
      <c r="L341" s="5" t="s">
        <v>4364</v>
      </c>
    </row>
    <row r="342" spans="1:12" x14ac:dyDescent="0.25">
      <c r="A342" s="5" t="s">
        <v>4949</v>
      </c>
      <c r="B342" s="157">
        <v>45621</v>
      </c>
      <c r="C342" s="5" t="s">
        <v>4366</v>
      </c>
      <c r="D342" s="5" t="s">
        <v>4378</v>
      </c>
      <c r="E342" s="5" t="s">
        <v>4395</v>
      </c>
      <c r="F342" s="5">
        <v>2</v>
      </c>
      <c r="G342" s="5">
        <v>1</v>
      </c>
      <c r="H342" s="5" t="s">
        <v>4367</v>
      </c>
      <c r="I342" s="5">
        <v>57697</v>
      </c>
      <c r="J342" s="5" t="s">
        <v>4380</v>
      </c>
      <c r="K342" s="5" t="s">
        <v>1256</v>
      </c>
      <c r="L342" s="5" t="s">
        <v>4364</v>
      </c>
    </row>
    <row r="343" spans="1:12" x14ac:dyDescent="0.25">
      <c r="A343" s="5" t="s">
        <v>4876</v>
      </c>
      <c r="B343" s="157">
        <v>45623</v>
      </c>
      <c r="C343" s="5" t="s">
        <v>4353</v>
      </c>
      <c r="D343" s="5" t="s">
        <v>4373</v>
      </c>
      <c r="E343" s="5" t="s">
        <v>4354</v>
      </c>
      <c r="F343" s="5">
        <v>1</v>
      </c>
      <c r="G343" s="5">
        <v>3</v>
      </c>
      <c r="H343" s="5" t="s">
        <v>116</v>
      </c>
      <c r="I343" s="5">
        <v>8836</v>
      </c>
      <c r="J343" s="5" t="s">
        <v>4388</v>
      </c>
      <c r="K343" s="5" t="s">
        <v>4396</v>
      </c>
      <c r="L343" s="5" t="s">
        <v>4364</v>
      </c>
    </row>
    <row r="344" spans="1:12" x14ac:dyDescent="0.25">
      <c r="A344" s="5" t="s">
        <v>4920</v>
      </c>
      <c r="B344" s="157">
        <v>45624</v>
      </c>
      <c r="C344" s="5" t="s">
        <v>4402</v>
      </c>
      <c r="D344" s="5" t="s">
        <v>4424</v>
      </c>
      <c r="E344" s="5" t="s">
        <v>4369</v>
      </c>
      <c r="F344" s="5">
        <v>2</v>
      </c>
      <c r="G344" s="5">
        <v>0</v>
      </c>
      <c r="H344" s="5" t="s">
        <v>4367</v>
      </c>
      <c r="I344" s="5">
        <v>48892</v>
      </c>
      <c r="J344" s="5" t="s">
        <v>4355</v>
      </c>
      <c r="K344" s="5" t="s">
        <v>4399</v>
      </c>
      <c r="L344" s="5" t="s">
        <v>4364</v>
      </c>
    </row>
    <row r="345" spans="1:12" x14ac:dyDescent="0.25">
      <c r="A345" s="5" t="s">
        <v>4391</v>
      </c>
      <c r="B345" s="157">
        <v>45624</v>
      </c>
      <c r="C345" s="5" t="s">
        <v>4366</v>
      </c>
      <c r="D345" s="5" t="s">
        <v>4387</v>
      </c>
      <c r="E345" s="5" t="s">
        <v>4369</v>
      </c>
      <c r="F345" s="5">
        <v>1</v>
      </c>
      <c r="G345" s="5">
        <v>1</v>
      </c>
      <c r="H345" s="5" t="s">
        <v>4361</v>
      </c>
      <c r="I345" s="5">
        <v>78971</v>
      </c>
      <c r="J345" s="5" t="s">
        <v>4362</v>
      </c>
      <c r="K345" s="5" t="s">
        <v>4356</v>
      </c>
      <c r="L345" s="5" t="s">
        <v>4370</v>
      </c>
    </row>
    <row r="346" spans="1:12" x14ac:dyDescent="0.25">
      <c r="A346" s="5" t="s">
        <v>4945</v>
      </c>
      <c r="B346" s="157">
        <v>45625</v>
      </c>
      <c r="C346" s="5" t="s">
        <v>4366</v>
      </c>
      <c r="D346" s="5" t="s">
        <v>4372</v>
      </c>
      <c r="E346" s="5" t="s">
        <v>4440</v>
      </c>
      <c r="F346" s="5">
        <v>2</v>
      </c>
      <c r="G346" s="5">
        <v>4</v>
      </c>
      <c r="H346" s="5" t="s">
        <v>116</v>
      </c>
      <c r="I346" s="5">
        <v>37127</v>
      </c>
      <c r="J346" s="5" t="s">
        <v>4413</v>
      </c>
      <c r="K346" s="5" t="s">
        <v>4384</v>
      </c>
      <c r="L346" s="5" t="s">
        <v>1256</v>
      </c>
    </row>
    <row r="347" spans="1:12" x14ac:dyDescent="0.25">
      <c r="A347" s="5" t="s">
        <v>4559</v>
      </c>
      <c r="B347" s="157">
        <v>45632</v>
      </c>
      <c r="C347" s="5" t="s">
        <v>4415</v>
      </c>
      <c r="D347" s="5" t="s">
        <v>4360</v>
      </c>
      <c r="E347" s="5" t="s">
        <v>4382</v>
      </c>
      <c r="F347" s="5">
        <v>2</v>
      </c>
      <c r="G347" s="5">
        <v>4</v>
      </c>
      <c r="H347" s="5" t="s">
        <v>116</v>
      </c>
      <c r="I347" s="5">
        <v>40044</v>
      </c>
      <c r="J347" s="5" t="s">
        <v>4409</v>
      </c>
      <c r="K347" s="5" t="s">
        <v>4375</v>
      </c>
      <c r="L347" s="5" t="s">
        <v>4357</v>
      </c>
    </row>
    <row r="348" spans="1:12" x14ac:dyDescent="0.25">
      <c r="A348" s="5" t="s">
        <v>4712</v>
      </c>
      <c r="B348" s="157">
        <v>45632</v>
      </c>
      <c r="C348" s="5" t="s">
        <v>4366</v>
      </c>
      <c r="D348" s="5" t="s">
        <v>4440</v>
      </c>
      <c r="E348" s="5" t="s">
        <v>4424</v>
      </c>
      <c r="F348" s="5">
        <v>1</v>
      </c>
      <c r="G348" s="5">
        <v>3</v>
      </c>
      <c r="H348" s="5" t="s">
        <v>116</v>
      </c>
      <c r="I348" s="5">
        <v>41156</v>
      </c>
      <c r="J348" s="5" t="s">
        <v>4417</v>
      </c>
      <c r="K348" s="5" t="s">
        <v>1256</v>
      </c>
      <c r="L348" s="5" t="s">
        <v>4357</v>
      </c>
    </row>
    <row r="349" spans="1:12" x14ac:dyDescent="0.25">
      <c r="A349" s="5" t="s">
        <v>4738</v>
      </c>
      <c r="B349" s="157">
        <v>45632</v>
      </c>
      <c r="C349" s="5" t="s">
        <v>4402</v>
      </c>
      <c r="D349" s="5" t="s">
        <v>4378</v>
      </c>
      <c r="E349" s="5" t="s">
        <v>4395</v>
      </c>
      <c r="F349" s="5">
        <v>2</v>
      </c>
      <c r="G349" s="5">
        <v>1</v>
      </c>
      <c r="H349" s="5" t="s">
        <v>4367</v>
      </c>
      <c r="I349" s="5">
        <v>45151</v>
      </c>
      <c r="J349" s="5" t="s">
        <v>4393</v>
      </c>
      <c r="K349" s="5" t="s">
        <v>1256</v>
      </c>
      <c r="L349" s="5" t="s">
        <v>4364</v>
      </c>
    </row>
    <row r="350" spans="1:12" x14ac:dyDescent="0.25">
      <c r="A350" s="5" t="s">
        <v>4445</v>
      </c>
      <c r="B350" s="157">
        <v>45634</v>
      </c>
      <c r="C350" s="5" t="s">
        <v>4415</v>
      </c>
      <c r="D350" s="5" t="s">
        <v>4412</v>
      </c>
      <c r="E350" s="5" t="s">
        <v>1256</v>
      </c>
      <c r="F350" s="5">
        <v>1</v>
      </c>
      <c r="G350" s="5">
        <v>3</v>
      </c>
      <c r="H350" s="5" t="s">
        <v>116</v>
      </c>
      <c r="I350" s="5">
        <v>58357</v>
      </c>
      <c r="J350" s="5" t="s">
        <v>4393</v>
      </c>
      <c r="K350" s="5" t="s">
        <v>4399</v>
      </c>
      <c r="L350" s="5" t="s">
        <v>4370</v>
      </c>
    </row>
    <row r="351" spans="1:12" x14ac:dyDescent="0.25">
      <c r="A351" s="5" t="s">
        <v>4478</v>
      </c>
      <c r="B351" s="157">
        <v>45634</v>
      </c>
      <c r="C351" s="5" t="s">
        <v>4402</v>
      </c>
      <c r="D351" s="5" t="s">
        <v>4387</v>
      </c>
      <c r="E351" s="5" t="s">
        <v>4382</v>
      </c>
      <c r="F351" s="5">
        <v>1</v>
      </c>
      <c r="G351" s="5">
        <v>4</v>
      </c>
      <c r="H351" s="5" t="s">
        <v>116</v>
      </c>
      <c r="I351" s="5">
        <v>57979</v>
      </c>
      <c r="J351" s="5" t="s">
        <v>4421</v>
      </c>
      <c r="K351" s="5" t="s">
        <v>4375</v>
      </c>
      <c r="L351" s="5" t="s">
        <v>1256</v>
      </c>
    </row>
    <row r="352" spans="1:12" x14ac:dyDescent="0.25">
      <c r="A352" s="5" t="s">
        <v>4425</v>
      </c>
      <c r="B352" s="157">
        <v>45641</v>
      </c>
      <c r="C352" s="5" t="s">
        <v>4359</v>
      </c>
      <c r="D352" s="5" t="s">
        <v>4412</v>
      </c>
      <c r="E352" s="5" t="s">
        <v>4382</v>
      </c>
      <c r="F352" s="5">
        <v>3</v>
      </c>
      <c r="G352" s="5">
        <v>0</v>
      </c>
      <c r="H352" s="5" t="s">
        <v>4367</v>
      </c>
      <c r="I352" s="5">
        <v>25646</v>
      </c>
      <c r="J352" s="5" t="s">
        <v>4417</v>
      </c>
      <c r="K352" s="5" t="s">
        <v>4396</v>
      </c>
      <c r="L352" s="5" t="s">
        <v>4389</v>
      </c>
    </row>
    <row r="353" spans="1:12" x14ac:dyDescent="0.25">
      <c r="A353" s="5" t="s">
        <v>4603</v>
      </c>
      <c r="B353" s="157">
        <v>45646</v>
      </c>
      <c r="C353" s="5" t="s">
        <v>4402</v>
      </c>
      <c r="D353" s="5" t="s">
        <v>4378</v>
      </c>
      <c r="E353" s="5" t="s">
        <v>4372</v>
      </c>
      <c r="F353" s="5">
        <v>1</v>
      </c>
      <c r="G353" s="5">
        <v>1</v>
      </c>
      <c r="H353" s="5" t="s">
        <v>4361</v>
      </c>
      <c r="I353" s="5">
        <v>14051</v>
      </c>
      <c r="J353" s="5" t="s">
        <v>4355</v>
      </c>
      <c r="K353" s="5" t="s">
        <v>4363</v>
      </c>
      <c r="L353" s="5" t="s">
        <v>4364</v>
      </c>
    </row>
    <row r="354" spans="1:12" x14ac:dyDescent="0.25">
      <c r="A354" s="5" t="s">
        <v>4917</v>
      </c>
      <c r="B354" s="157">
        <v>45650</v>
      </c>
      <c r="C354" s="5" t="s">
        <v>4415</v>
      </c>
      <c r="D354" s="5" t="s">
        <v>4378</v>
      </c>
      <c r="E354" s="5" t="s">
        <v>4412</v>
      </c>
      <c r="F354" s="5">
        <v>1</v>
      </c>
      <c r="G354" s="5">
        <v>2</v>
      </c>
      <c r="H354" s="5" t="s">
        <v>116</v>
      </c>
      <c r="I354" s="5">
        <v>48066</v>
      </c>
      <c r="J354" s="5" t="s">
        <v>4444</v>
      </c>
      <c r="K354" s="5" t="s">
        <v>4396</v>
      </c>
      <c r="L354" s="5" t="s">
        <v>4357</v>
      </c>
    </row>
    <row r="355" spans="1:12" x14ac:dyDescent="0.25">
      <c r="A355" s="5" t="s">
        <v>4996</v>
      </c>
      <c r="B355" s="157">
        <v>45662</v>
      </c>
      <c r="C355" s="5" t="s">
        <v>4359</v>
      </c>
      <c r="D355" s="5" t="s">
        <v>4369</v>
      </c>
      <c r="E355" s="5" t="s">
        <v>4403</v>
      </c>
      <c r="F355" s="5">
        <v>3</v>
      </c>
      <c r="G355" s="5">
        <v>6</v>
      </c>
      <c r="H355" s="5" t="s">
        <v>116</v>
      </c>
      <c r="I355" s="5">
        <v>72748</v>
      </c>
      <c r="J355" s="5" t="s">
        <v>4383</v>
      </c>
      <c r="K355" s="5" t="s">
        <v>1256</v>
      </c>
      <c r="L355" s="5" t="s">
        <v>4389</v>
      </c>
    </row>
    <row r="356" spans="1:12" x14ac:dyDescent="0.25">
      <c r="A356" s="5" t="s">
        <v>4758</v>
      </c>
      <c r="B356" s="157">
        <v>45663</v>
      </c>
      <c r="C356" s="5" t="s">
        <v>4402</v>
      </c>
      <c r="D356" s="5" t="s">
        <v>4424</v>
      </c>
      <c r="E356" s="5" t="s">
        <v>4372</v>
      </c>
      <c r="F356" s="5">
        <v>1</v>
      </c>
      <c r="G356" s="5">
        <v>3</v>
      </c>
      <c r="H356" s="5" t="s">
        <v>116</v>
      </c>
      <c r="I356" s="5">
        <v>75533</v>
      </c>
      <c r="J356" s="5" t="s">
        <v>4380</v>
      </c>
      <c r="K356" s="5" t="s">
        <v>4405</v>
      </c>
      <c r="L356" s="5" t="s">
        <v>4364</v>
      </c>
    </row>
    <row r="357" spans="1:12" x14ac:dyDescent="0.25">
      <c r="A357" s="5" t="s">
        <v>4849</v>
      </c>
      <c r="B357" s="157">
        <v>45665</v>
      </c>
      <c r="C357" s="5" t="s">
        <v>4415</v>
      </c>
      <c r="D357" s="5" t="s">
        <v>4412</v>
      </c>
      <c r="E357" s="5" t="s">
        <v>4382</v>
      </c>
      <c r="F357" s="5">
        <v>1</v>
      </c>
      <c r="G357" s="5">
        <v>3</v>
      </c>
      <c r="H357" s="5" t="s">
        <v>116</v>
      </c>
      <c r="I357" s="5">
        <v>42301</v>
      </c>
      <c r="J357" s="5" t="s">
        <v>4383</v>
      </c>
      <c r="K357" s="5" t="s">
        <v>4375</v>
      </c>
      <c r="L357" s="5" t="s">
        <v>4357</v>
      </c>
    </row>
    <row r="358" spans="1:12" x14ac:dyDescent="0.25">
      <c r="A358" s="5" t="s">
        <v>4668</v>
      </c>
      <c r="B358" s="157">
        <v>45665</v>
      </c>
      <c r="C358" s="5" t="s">
        <v>4415</v>
      </c>
      <c r="D358" s="5" t="s">
        <v>4386</v>
      </c>
      <c r="E358" s="5" t="s">
        <v>5006</v>
      </c>
      <c r="F358" s="5">
        <v>2</v>
      </c>
      <c r="G358" s="5">
        <v>4</v>
      </c>
      <c r="H358" s="5" t="s">
        <v>116</v>
      </c>
      <c r="I358" s="5">
        <v>11613</v>
      </c>
      <c r="J358" s="5" t="s">
        <v>4393</v>
      </c>
      <c r="K358" s="5" t="s">
        <v>4363</v>
      </c>
      <c r="L358" s="5" t="s">
        <v>4357</v>
      </c>
    </row>
    <row r="359" spans="1:12" x14ac:dyDescent="0.25">
      <c r="A359" s="5" t="s">
        <v>4736</v>
      </c>
      <c r="B359" s="157">
        <v>45670</v>
      </c>
      <c r="C359" s="5" t="s">
        <v>4415</v>
      </c>
      <c r="D359" s="5" t="s">
        <v>4440</v>
      </c>
      <c r="E359" s="5" t="s">
        <v>4470</v>
      </c>
      <c r="F359" s="5">
        <v>4</v>
      </c>
      <c r="G359" s="5">
        <v>1</v>
      </c>
      <c r="H359" s="5" t="s">
        <v>4367</v>
      </c>
      <c r="I359" s="5">
        <v>57340</v>
      </c>
      <c r="J359" s="5" t="s">
        <v>4398</v>
      </c>
      <c r="K359" s="5" t="s">
        <v>4363</v>
      </c>
      <c r="L359" s="5" t="s">
        <v>4389</v>
      </c>
    </row>
    <row r="360" spans="1:12" x14ac:dyDescent="0.25">
      <c r="A360" s="5" t="s">
        <v>4481</v>
      </c>
      <c r="B360" s="157">
        <v>45670</v>
      </c>
      <c r="C360" s="5" t="s">
        <v>4415</v>
      </c>
      <c r="D360" s="5" t="s">
        <v>4354</v>
      </c>
      <c r="E360" s="5" t="s">
        <v>4377</v>
      </c>
      <c r="F360" s="5">
        <v>1</v>
      </c>
      <c r="G360" s="5">
        <v>3</v>
      </c>
      <c r="H360" s="5" t="s">
        <v>116</v>
      </c>
      <c r="I360" s="5">
        <v>0</v>
      </c>
      <c r="J360" s="5" t="s">
        <v>4444</v>
      </c>
      <c r="K360" s="5" t="s">
        <v>1256</v>
      </c>
      <c r="L360" s="5" t="s">
        <v>4389</v>
      </c>
    </row>
    <row r="361" spans="1:12" x14ac:dyDescent="0.25">
      <c r="A361" s="5" t="s">
        <v>4833</v>
      </c>
      <c r="B361" s="157">
        <v>45671</v>
      </c>
      <c r="C361" s="5" t="s">
        <v>4366</v>
      </c>
      <c r="D361" s="5" t="s">
        <v>4403</v>
      </c>
      <c r="E361" s="5" t="s">
        <v>4395</v>
      </c>
      <c r="F361" s="5">
        <v>3</v>
      </c>
      <c r="G361" s="5">
        <v>2</v>
      </c>
      <c r="H361" s="5" t="s">
        <v>4367</v>
      </c>
      <c r="I361" s="5">
        <v>77829</v>
      </c>
      <c r="J361" s="5" t="s">
        <v>4374</v>
      </c>
      <c r="K361" s="5" t="s">
        <v>1256</v>
      </c>
      <c r="L361" s="5" t="s">
        <v>4370</v>
      </c>
    </row>
    <row r="362" spans="1:12" x14ac:dyDescent="0.25">
      <c r="A362" s="5" t="s">
        <v>4640</v>
      </c>
      <c r="B362" s="157">
        <v>45673</v>
      </c>
      <c r="C362" s="5" t="s">
        <v>4366</v>
      </c>
      <c r="D362" s="5" t="s">
        <v>4382</v>
      </c>
      <c r="E362" s="5" t="s">
        <v>4369</v>
      </c>
      <c r="F362" s="5">
        <v>0</v>
      </c>
      <c r="G362" s="5">
        <v>3</v>
      </c>
      <c r="H362" s="5" t="s">
        <v>116</v>
      </c>
      <c r="I362" s="5">
        <v>45987</v>
      </c>
      <c r="J362" s="5" t="s">
        <v>4409</v>
      </c>
      <c r="K362" s="5" t="s">
        <v>1256</v>
      </c>
      <c r="L362" s="5" t="s">
        <v>4364</v>
      </c>
    </row>
    <row r="363" spans="1:12" x14ac:dyDescent="0.25">
      <c r="A363" s="5" t="s">
        <v>4695</v>
      </c>
      <c r="B363" s="157">
        <v>45675</v>
      </c>
      <c r="C363" s="5" t="s">
        <v>4415</v>
      </c>
      <c r="D363" s="5" t="s">
        <v>4382</v>
      </c>
      <c r="E363" s="5" t="s">
        <v>4395</v>
      </c>
      <c r="F363" s="5">
        <v>1</v>
      </c>
      <c r="G363" s="5">
        <v>1</v>
      </c>
      <c r="H363" s="5" t="s">
        <v>4361</v>
      </c>
      <c r="I363" s="5">
        <v>0</v>
      </c>
      <c r="J363" s="5" t="s">
        <v>4362</v>
      </c>
      <c r="K363" s="5" t="s">
        <v>1256</v>
      </c>
      <c r="L363" s="5" t="s">
        <v>4389</v>
      </c>
    </row>
    <row r="364" spans="1:12" x14ac:dyDescent="0.25">
      <c r="A364" s="5" t="s">
        <v>4696</v>
      </c>
      <c r="B364" s="157">
        <v>45679</v>
      </c>
      <c r="C364" s="5" t="s">
        <v>4366</v>
      </c>
      <c r="D364" s="5" t="s">
        <v>4369</v>
      </c>
      <c r="E364" s="5" t="s">
        <v>4382</v>
      </c>
      <c r="F364" s="5">
        <v>4</v>
      </c>
      <c r="G364" s="5">
        <v>1</v>
      </c>
      <c r="H364" s="5" t="s">
        <v>4367</v>
      </c>
      <c r="I364" s="5">
        <v>65632</v>
      </c>
      <c r="J364" s="5" t="s">
        <v>4417</v>
      </c>
      <c r="K364" s="5" t="s">
        <v>1256</v>
      </c>
      <c r="L364" s="5" t="s">
        <v>4357</v>
      </c>
    </row>
    <row r="365" spans="1:12" x14ac:dyDescent="0.25">
      <c r="A365" s="5" t="s">
        <v>4776</v>
      </c>
      <c r="B365" s="157">
        <v>45680</v>
      </c>
      <c r="C365" s="5" t="s">
        <v>4402</v>
      </c>
      <c r="D365" s="5" t="s">
        <v>4378</v>
      </c>
      <c r="E365" s="5" t="s">
        <v>4377</v>
      </c>
      <c r="F365" s="5">
        <v>1</v>
      </c>
      <c r="G365" s="5">
        <v>2</v>
      </c>
      <c r="H365" s="5" t="s">
        <v>116</v>
      </c>
      <c r="I365" s="5">
        <v>48526</v>
      </c>
      <c r="J365" s="5" t="s">
        <v>4362</v>
      </c>
      <c r="K365" s="5" t="s">
        <v>4399</v>
      </c>
      <c r="L365" s="5" t="s">
        <v>4364</v>
      </c>
    </row>
    <row r="366" spans="1:12" x14ac:dyDescent="0.25">
      <c r="A366" s="5" t="s">
        <v>4602</v>
      </c>
      <c r="B366" s="157">
        <v>45680</v>
      </c>
      <c r="C366" s="5" t="s">
        <v>4353</v>
      </c>
      <c r="D366" s="5" t="s">
        <v>4373</v>
      </c>
      <c r="E366" s="5" t="s">
        <v>4387</v>
      </c>
      <c r="F366" s="5">
        <v>5</v>
      </c>
      <c r="G366" s="5">
        <v>2</v>
      </c>
      <c r="H366" s="5" t="s">
        <v>4367</v>
      </c>
      <c r="I366" s="5">
        <v>0</v>
      </c>
      <c r="J366" s="5" t="s">
        <v>4413</v>
      </c>
      <c r="K366" s="5" t="s">
        <v>1256</v>
      </c>
      <c r="L366" s="5" t="s">
        <v>1256</v>
      </c>
    </row>
    <row r="367" spans="1:12" x14ac:dyDescent="0.25">
      <c r="A367" s="5" t="s">
        <v>4693</v>
      </c>
      <c r="B367" s="157">
        <v>45685</v>
      </c>
      <c r="C367" s="5" t="s">
        <v>4359</v>
      </c>
      <c r="D367" s="5" t="s">
        <v>4378</v>
      </c>
      <c r="E367" s="5" t="s">
        <v>4395</v>
      </c>
      <c r="F367" s="5">
        <v>6</v>
      </c>
      <c r="G367" s="5">
        <v>3</v>
      </c>
      <c r="H367" s="5" t="s">
        <v>4367</v>
      </c>
      <c r="I367" s="5">
        <v>54037</v>
      </c>
      <c r="J367" s="5" t="s">
        <v>4355</v>
      </c>
      <c r="K367" s="5" t="s">
        <v>4375</v>
      </c>
      <c r="L367" s="5" t="s">
        <v>4364</v>
      </c>
    </row>
    <row r="368" spans="1:12" x14ac:dyDescent="0.25">
      <c r="A368" s="5" t="s">
        <v>4927</v>
      </c>
      <c r="B368" s="157">
        <v>45688</v>
      </c>
      <c r="C368" s="5" t="s">
        <v>4415</v>
      </c>
      <c r="D368" s="5" t="s">
        <v>4372</v>
      </c>
      <c r="E368" s="5" t="s">
        <v>4412</v>
      </c>
      <c r="F368" s="5">
        <v>2</v>
      </c>
      <c r="G368" s="5">
        <v>2</v>
      </c>
      <c r="H368" s="5" t="s">
        <v>4361</v>
      </c>
      <c r="I368" s="5">
        <v>40577</v>
      </c>
      <c r="J368" s="5" t="s">
        <v>4355</v>
      </c>
      <c r="K368" s="5" t="s">
        <v>4399</v>
      </c>
      <c r="L368" s="5" t="s">
        <v>4364</v>
      </c>
    </row>
    <row r="369" spans="1:12" x14ac:dyDescent="0.25">
      <c r="A369" s="5" t="s">
        <v>4880</v>
      </c>
      <c r="B369" s="157">
        <v>45689</v>
      </c>
      <c r="C369" s="5" t="s">
        <v>4415</v>
      </c>
      <c r="D369" s="5" t="s">
        <v>4470</v>
      </c>
      <c r="E369" s="5" t="s">
        <v>4369</v>
      </c>
      <c r="F369" s="5">
        <v>1</v>
      </c>
      <c r="G369" s="5">
        <v>5</v>
      </c>
      <c r="H369" s="5" t="s">
        <v>116</v>
      </c>
      <c r="I369" s="5">
        <v>21953</v>
      </c>
      <c r="J369" s="5" t="s">
        <v>4421</v>
      </c>
      <c r="K369" s="5" t="s">
        <v>4405</v>
      </c>
      <c r="L369" s="5" t="s">
        <v>4357</v>
      </c>
    </row>
    <row r="370" spans="1:12" x14ac:dyDescent="0.25">
      <c r="A370" s="5" t="s">
        <v>4545</v>
      </c>
      <c r="B370" s="157">
        <v>45693</v>
      </c>
      <c r="C370" s="5" t="s">
        <v>4353</v>
      </c>
      <c r="D370" s="5" t="s">
        <v>4430</v>
      </c>
      <c r="E370" s="5" t="s">
        <v>4354</v>
      </c>
      <c r="F370" s="5">
        <v>1</v>
      </c>
      <c r="G370" s="5">
        <v>5</v>
      </c>
      <c r="H370" s="5" t="s">
        <v>116</v>
      </c>
      <c r="I370" s="5">
        <v>33760</v>
      </c>
      <c r="J370" s="5" t="s">
        <v>4444</v>
      </c>
      <c r="K370" s="5" t="s">
        <v>4399</v>
      </c>
      <c r="L370" s="5" t="s">
        <v>4364</v>
      </c>
    </row>
    <row r="371" spans="1:12" x14ac:dyDescent="0.25">
      <c r="A371" s="5" t="s">
        <v>4422</v>
      </c>
      <c r="B371" s="157">
        <v>45697</v>
      </c>
      <c r="C371" s="5" t="s">
        <v>4366</v>
      </c>
      <c r="D371" s="5" t="s">
        <v>4373</v>
      </c>
      <c r="E371" s="5" t="s">
        <v>4470</v>
      </c>
      <c r="F371" s="5">
        <v>1</v>
      </c>
      <c r="G371" s="5">
        <v>1</v>
      </c>
      <c r="H371" s="5" t="s">
        <v>4361</v>
      </c>
      <c r="I371" s="5">
        <v>58174</v>
      </c>
      <c r="J371" s="5" t="s">
        <v>4383</v>
      </c>
      <c r="K371" s="5" t="s">
        <v>4399</v>
      </c>
      <c r="L371" s="5" t="s">
        <v>4364</v>
      </c>
    </row>
    <row r="372" spans="1:12" x14ac:dyDescent="0.25">
      <c r="A372" s="5" t="s">
        <v>4792</v>
      </c>
      <c r="B372" s="157">
        <v>45697</v>
      </c>
      <c r="C372" s="5" t="s">
        <v>4415</v>
      </c>
      <c r="D372" s="5" t="s">
        <v>4403</v>
      </c>
      <c r="E372" s="5" t="s">
        <v>5006</v>
      </c>
      <c r="F372" s="5">
        <v>2</v>
      </c>
      <c r="G372" s="5">
        <v>3</v>
      </c>
      <c r="H372" s="5" t="s">
        <v>116</v>
      </c>
      <c r="I372" s="5">
        <v>72018</v>
      </c>
      <c r="J372" s="5" t="s">
        <v>4444</v>
      </c>
      <c r="K372" s="5" t="s">
        <v>1256</v>
      </c>
      <c r="L372" s="5" t="s">
        <v>4364</v>
      </c>
    </row>
    <row r="373" spans="1:12" x14ac:dyDescent="0.25">
      <c r="A373" s="5" t="s">
        <v>4994</v>
      </c>
      <c r="B373" s="157">
        <v>45699</v>
      </c>
      <c r="C373" s="5" t="s">
        <v>4353</v>
      </c>
      <c r="D373" s="5" t="s">
        <v>4403</v>
      </c>
      <c r="E373" s="5" t="s">
        <v>4378</v>
      </c>
      <c r="F373" s="5">
        <v>0</v>
      </c>
      <c r="G373" s="5">
        <v>1</v>
      </c>
      <c r="H373" s="5" t="s">
        <v>116</v>
      </c>
      <c r="I373" s="5">
        <v>18557</v>
      </c>
      <c r="J373" s="5" t="s">
        <v>4417</v>
      </c>
      <c r="K373" s="5" t="s">
        <v>4375</v>
      </c>
      <c r="L373" s="5" t="s">
        <v>4364</v>
      </c>
    </row>
    <row r="374" spans="1:12" x14ac:dyDescent="0.25">
      <c r="A374" s="5" t="s">
        <v>4485</v>
      </c>
      <c r="B374" s="157">
        <v>45700</v>
      </c>
      <c r="C374" s="5" t="s">
        <v>4415</v>
      </c>
      <c r="D374" s="5" t="s">
        <v>4430</v>
      </c>
      <c r="E374" s="5" t="s">
        <v>4440</v>
      </c>
      <c r="F374" s="5">
        <v>2</v>
      </c>
      <c r="G374" s="5">
        <v>2</v>
      </c>
      <c r="H374" s="5" t="s">
        <v>4361</v>
      </c>
      <c r="I374" s="5">
        <v>69060</v>
      </c>
      <c r="J374" s="5" t="s">
        <v>4380</v>
      </c>
      <c r="K374" s="5" t="s">
        <v>4356</v>
      </c>
      <c r="L374" s="5" t="s">
        <v>4357</v>
      </c>
    </row>
    <row r="375" spans="1:12" x14ac:dyDescent="0.25">
      <c r="A375" s="5" t="s">
        <v>4825</v>
      </c>
      <c r="B375" s="157">
        <v>45700</v>
      </c>
      <c r="C375" s="5" t="s">
        <v>4366</v>
      </c>
      <c r="D375" s="5" t="s">
        <v>4440</v>
      </c>
      <c r="E375" s="5" t="s">
        <v>5006</v>
      </c>
      <c r="F375" s="5">
        <v>0</v>
      </c>
      <c r="G375" s="5">
        <v>3</v>
      </c>
      <c r="H375" s="5" t="s">
        <v>116</v>
      </c>
      <c r="I375" s="5">
        <v>37900</v>
      </c>
      <c r="J375" s="5" t="s">
        <v>4355</v>
      </c>
      <c r="K375" s="5" t="s">
        <v>1256</v>
      </c>
      <c r="L375" s="5" t="s">
        <v>4364</v>
      </c>
    </row>
    <row r="376" spans="1:12" x14ac:dyDescent="0.25">
      <c r="A376" s="5" t="s">
        <v>4857</v>
      </c>
      <c r="B376" s="157">
        <v>45705</v>
      </c>
      <c r="C376" s="5" t="s">
        <v>4366</v>
      </c>
      <c r="D376" s="5" t="s">
        <v>4430</v>
      </c>
      <c r="E376" s="5" t="s">
        <v>4470</v>
      </c>
      <c r="F376" s="5">
        <v>0</v>
      </c>
      <c r="G376" s="5">
        <v>1</v>
      </c>
      <c r="H376" s="5" t="s">
        <v>116</v>
      </c>
      <c r="I376" s="5">
        <v>11299</v>
      </c>
      <c r="J376" s="5" t="s">
        <v>4374</v>
      </c>
      <c r="K376" s="5" t="s">
        <v>4363</v>
      </c>
      <c r="L376" s="5" t="s">
        <v>4389</v>
      </c>
    </row>
    <row r="377" spans="1:12" x14ac:dyDescent="0.25">
      <c r="A377" s="5" t="s">
        <v>4873</v>
      </c>
      <c r="B377" s="157">
        <v>45705</v>
      </c>
      <c r="C377" s="5" t="s">
        <v>4359</v>
      </c>
      <c r="D377" s="5" t="s">
        <v>4369</v>
      </c>
      <c r="E377" s="5" t="s">
        <v>4377</v>
      </c>
      <c r="F377" s="5">
        <v>3</v>
      </c>
      <c r="G377" s="5">
        <v>0</v>
      </c>
      <c r="H377" s="5" t="s">
        <v>4367</v>
      </c>
      <c r="I377" s="5">
        <v>22029</v>
      </c>
      <c r="J377" s="5" t="s">
        <v>1256</v>
      </c>
      <c r="K377" s="5" t="s">
        <v>1256</v>
      </c>
      <c r="L377" s="5" t="s">
        <v>1256</v>
      </c>
    </row>
    <row r="378" spans="1:12" x14ac:dyDescent="0.25">
      <c r="A378" s="5" t="s">
        <v>4936</v>
      </c>
      <c r="B378" s="157">
        <v>45707</v>
      </c>
      <c r="C378" s="5" t="s">
        <v>4366</v>
      </c>
      <c r="D378" s="5" t="s">
        <v>4395</v>
      </c>
      <c r="E378" s="5" t="s">
        <v>1256</v>
      </c>
      <c r="F378" s="5">
        <v>0</v>
      </c>
      <c r="G378" s="5">
        <v>2</v>
      </c>
      <c r="H378" s="5" t="s">
        <v>1256</v>
      </c>
      <c r="I378" s="5">
        <v>71834</v>
      </c>
      <c r="J378" s="5" t="s">
        <v>4417</v>
      </c>
      <c r="K378" s="5" t="s">
        <v>1256</v>
      </c>
      <c r="L378" s="5" t="s">
        <v>4357</v>
      </c>
    </row>
    <row r="379" spans="1:12" x14ac:dyDescent="0.25">
      <c r="A379" s="5" t="s">
        <v>4629</v>
      </c>
      <c r="B379" s="157">
        <v>45710</v>
      </c>
      <c r="C379" s="5" t="s">
        <v>4402</v>
      </c>
      <c r="D379" s="5" t="s">
        <v>4403</v>
      </c>
      <c r="E379" s="5" t="s">
        <v>4395</v>
      </c>
      <c r="F379" s="5">
        <v>2</v>
      </c>
      <c r="G379" s="5">
        <v>3</v>
      </c>
      <c r="H379" s="5" t="s">
        <v>116</v>
      </c>
      <c r="I379" s="5">
        <v>80553</v>
      </c>
      <c r="J379" s="5" t="s">
        <v>4442</v>
      </c>
      <c r="K379" s="5" t="s">
        <v>4375</v>
      </c>
      <c r="L379" s="5" t="s">
        <v>4364</v>
      </c>
    </row>
    <row r="380" spans="1:12" x14ac:dyDescent="0.25">
      <c r="A380" s="5" t="s">
        <v>4978</v>
      </c>
      <c r="B380" s="157">
        <v>45711</v>
      </c>
      <c r="C380" s="5" t="s">
        <v>4353</v>
      </c>
      <c r="D380" s="5" t="s">
        <v>4412</v>
      </c>
      <c r="E380" s="5" t="s">
        <v>4387</v>
      </c>
      <c r="F380" s="5">
        <v>0</v>
      </c>
      <c r="G380" s="5">
        <v>1</v>
      </c>
      <c r="H380" s="5" t="s">
        <v>116</v>
      </c>
      <c r="I380" s="5">
        <v>13992</v>
      </c>
      <c r="J380" s="5" t="s">
        <v>4383</v>
      </c>
      <c r="K380" s="5" t="s">
        <v>1256</v>
      </c>
      <c r="L380" s="5" t="s">
        <v>1256</v>
      </c>
    </row>
    <row r="381" spans="1:12" x14ac:dyDescent="0.25">
      <c r="A381" s="5" t="s">
        <v>4826</v>
      </c>
      <c r="B381" s="157">
        <v>45711</v>
      </c>
      <c r="C381" s="5" t="s">
        <v>4415</v>
      </c>
      <c r="D381" s="5" t="s">
        <v>4378</v>
      </c>
      <c r="E381" s="5" t="s">
        <v>4386</v>
      </c>
      <c r="F381" s="5">
        <v>0</v>
      </c>
      <c r="G381" s="5">
        <v>3</v>
      </c>
      <c r="H381" s="5" t="s">
        <v>116</v>
      </c>
      <c r="I381" s="5">
        <v>19092</v>
      </c>
      <c r="J381" s="5" t="s">
        <v>4393</v>
      </c>
      <c r="K381" s="5" t="s">
        <v>4363</v>
      </c>
      <c r="L381" s="5" t="s">
        <v>1256</v>
      </c>
    </row>
    <row r="382" spans="1:12" x14ac:dyDescent="0.25">
      <c r="A382" s="5" t="s">
        <v>4906</v>
      </c>
      <c r="B382" s="157">
        <v>45718</v>
      </c>
      <c r="C382" s="5" t="s">
        <v>4402</v>
      </c>
      <c r="D382" s="5" t="s">
        <v>4412</v>
      </c>
      <c r="E382" s="5" t="s">
        <v>4430</v>
      </c>
      <c r="F382" s="5">
        <v>0</v>
      </c>
      <c r="G382" s="5">
        <v>4</v>
      </c>
      <c r="H382" s="5" t="s">
        <v>116</v>
      </c>
      <c r="I382" s="5">
        <v>60273</v>
      </c>
      <c r="J382" s="5" t="s">
        <v>4393</v>
      </c>
      <c r="K382" s="5" t="s">
        <v>4399</v>
      </c>
      <c r="L382" s="5" t="s">
        <v>4364</v>
      </c>
    </row>
    <row r="383" spans="1:12" x14ac:dyDescent="0.25">
      <c r="A383" s="5" t="s">
        <v>4573</v>
      </c>
      <c r="B383" s="157">
        <v>45719</v>
      </c>
      <c r="C383" s="5" t="s">
        <v>4353</v>
      </c>
      <c r="D383" s="5" t="s">
        <v>4430</v>
      </c>
      <c r="E383" s="5" t="s">
        <v>4387</v>
      </c>
      <c r="F383" s="5">
        <v>4</v>
      </c>
      <c r="G383" s="5">
        <v>1</v>
      </c>
      <c r="H383" s="5" t="s">
        <v>4367</v>
      </c>
      <c r="I383" s="5">
        <v>17564</v>
      </c>
      <c r="J383" s="5" t="s">
        <v>4398</v>
      </c>
      <c r="K383" s="5" t="s">
        <v>4405</v>
      </c>
      <c r="L383" s="5" t="s">
        <v>1256</v>
      </c>
    </row>
    <row r="384" spans="1:12" x14ac:dyDescent="0.25">
      <c r="A384" s="5" t="s">
        <v>4950</v>
      </c>
      <c r="B384" s="157">
        <v>45724</v>
      </c>
      <c r="C384" s="5" t="s">
        <v>4402</v>
      </c>
      <c r="D384" s="5" t="s">
        <v>4412</v>
      </c>
      <c r="E384" s="5" t="s">
        <v>4382</v>
      </c>
      <c r="F384" s="5">
        <v>4</v>
      </c>
      <c r="G384" s="5">
        <v>1</v>
      </c>
      <c r="H384" s="5" t="s">
        <v>4367</v>
      </c>
      <c r="I384" s="5">
        <v>23792</v>
      </c>
      <c r="J384" s="5" t="s">
        <v>4444</v>
      </c>
      <c r="K384" s="5" t="s">
        <v>4399</v>
      </c>
      <c r="L384" s="5" t="s">
        <v>4357</v>
      </c>
    </row>
    <row r="385" spans="1:12" x14ac:dyDescent="0.25">
      <c r="A385" s="5" t="s">
        <v>4504</v>
      </c>
      <c r="B385" s="157">
        <v>45726</v>
      </c>
      <c r="C385" s="5" t="s">
        <v>4415</v>
      </c>
      <c r="D385" s="5" t="s">
        <v>4430</v>
      </c>
      <c r="E385" s="5" t="s">
        <v>4395</v>
      </c>
      <c r="F385" s="5">
        <v>2</v>
      </c>
      <c r="G385" s="5">
        <v>3</v>
      </c>
      <c r="H385" s="5" t="s">
        <v>116</v>
      </c>
      <c r="I385" s="5">
        <v>23512</v>
      </c>
      <c r="J385" s="5" t="s">
        <v>4413</v>
      </c>
      <c r="K385" s="5" t="s">
        <v>1256</v>
      </c>
      <c r="L385" s="5" t="s">
        <v>4370</v>
      </c>
    </row>
    <row r="386" spans="1:12" x14ac:dyDescent="0.25">
      <c r="A386" s="5" t="s">
        <v>4498</v>
      </c>
      <c r="B386" s="157">
        <v>45730</v>
      </c>
      <c r="C386" s="5" t="s">
        <v>4353</v>
      </c>
      <c r="D386" s="5" t="s">
        <v>4470</v>
      </c>
      <c r="E386" s="5" t="s">
        <v>4369</v>
      </c>
      <c r="F386" s="5">
        <v>5</v>
      </c>
      <c r="G386" s="5">
        <v>2</v>
      </c>
      <c r="H386" s="5" t="s">
        <v>4367</v>
      </c>
      <c r="I386" s="5">
        <v>80398</v>
      </c>
      <c r="J386" s="5" t="s">
        <v>4393</v>
      </c>
      <c r="K386" s="5" t="s">
        <v>4356</v>
      </c>
      <c r="L386" s="5" t="s">
        <v>1256</v>
      </c>
    </row>
    <row r="387" spans="1:12" x14ac:dyDescent="0.25">
      <c r="A387" s="5" t="s">
        <v>4503</v>
      </c>
      <c r="B387" s="157">
        <v>45731</v>
      </c>
      <c r="C387" s="5" t="s">
        <v>4366</v>
      </c>
      <c r="D387" s="5" t="s">
        <v>4395</v>
      </c>
      <c r="E387" s="5" t="s">
        <v>5006</v>
      </c>
      <c r="F387" s="5">
        <v>4</v>
      </c>
      <c r="G387" s="5">
        <v>5</v>
      </c>
      <c r="H387" s="5" t="s">
        <v>116</v>
      </c>
      <c r="I387" s="5">
        <v>12034</v>
      </c>
      <c r="J387" s="5" t="s">
        <v>4421</v>
      </c>
      <c r="K387" s="5" t="s">
        <v>4399</v>
      </c>
      <c r="L387" s="5" t="s">
        <v>4357</v>
      </c>
    </row>
    <row r="388" spans="1:12" x14ac:dyDescent="0.25">
      <c r="A388" s="5" t="s">
        <v>4671</v>
      </c>
      <c r="B388" s="157">
        <v>45732</v>
      </c>
      <c r="C388" s="5" t="s">
        <v>4415</v>
      </c>
      <c r="D388" s="5" t="s">
        <v>4440</v>
      </c>
      <c r="E388" s="5" t="s">
        <v>4372</v>
      </c>
      <c r="F388" s="5">
        <v>2</v>
      </c>
      <c r="G388" s="5">
        <v>5</v>
      </c>
      <c r="H388" s="5" t="s">
        <v>116</v>
      </c>
      <c r="I388" s="5">
        <v>23514</v>
      </c>
      <c r="J388" s="5" t="s">
        <v>4417</v>
      </c>
      <c r="K388" s="5" t="s">
        <v>1256</v>
      </c>
      <c r="L388" s="5" t="s">
        <v>4370</v>
      </c>
    </row>
    <row r="389" spans="1:12" x14ac:dyDescent="0.25">
      <c r="A389" s="5" t="s">
        <v>4473</v>
      </c>
      <c r="B389" s="157">
        <v>45734</v>
      </c>
      <c r="C389" s="5" t="s">
        <v>4353</v>
      </c>
      <c r="D389" s="5" t="s">
        <v>4378</v>
      </c>
      <c r="E389" s="5" t="s">
        <v>4412</v>
      </c>
      <c r="F389" s="5">
        <v>1</v>
      </c>
      <c r="G389" s="5">
        <v>1</v>
      </c>
      <c r="H389" s="5" t="s">
        <v>4361</v>
      </c>
      <c r="I389" s="5">
        <v>15862</v>
      </c>
      <c r="J389" s="5" t="s">
        <v>4383</v>
      </c>
      <c r="K389" s="5" t="s">
        <v>1256</v>
      </c>
      <c r="L389" s="5" t="s">
        <v>4357</v>
      </c>
    </row>
    <row r="390" spans="1:12" x14ac:dyDescent="0.25">
      <c r="A390" s="5" t="s">
        <v>4714</v>
      </c>
      <c r="B390" s="157">
        <v>45735</v>
      </c>
      <c r="C390" s="5" t="s">
        <v>4353</v>
      </c>
      <c r="D390" s="5" t="s">
        <v>4360</v>
      </c>
      <c r="E390" s="5" t="s">
        <v>4387</v>
      </c>
      <c r="F390" s="5">
        <v>3</v>
      </c>
      <c r="G390" s="5">
        <v>1</v>
      </c>
      <c r="H390" s="5" t="s">
        <v>4367</v>
      </c>
      <c r="I390" s="5">
        <v>57089</v>
      </c>
      <c r="J390" s="5" t="s">
        <v>4383</v>
      </c>
      <c r="K390" s="5" t="s">
        <v>4405</v>
      </c>
      <c r="L390" s="5" t="s">
        <v>4357</v>
      </c>
    </row>
    <row r="391" spans="1:12" x14ac:dyDescent="0.25">
      <c r="A391" s="5" t="s">
        <v>4928</v>
      </c>
      <c r="B391" s="157">
        <v>45737</v>
      </c>
      <c r="C391" s="5" t="s">
        <v>4402</v>
      </c>
      <c r="D391" s="5" t="s">
        <v>1256</v>
      </c>
      <c r="E391" s="5" t="s">
        <v>4412</v>
      </c>
      <c r="F391" s="5">
        <v>1</v>
      </c>
      <c r="G391" s="5">
        <v>3</v>
      </c>
      <c r="H391" s="5" t="s">
        <v>116</v>
      </c>
      <c r="I391" s="5">
        <v>54330</v>
      </c>
      <c r="J391" s="5" t="s">
        <v>4388</v>
      </c>
      <c r="K391" s="5" t="s">
        <v>4384</v>
      </c>
      <c r="L391" s="5" t="s">
        <v>4389</v>
      </c>
    </row>
    <row r="392" spans="1:12" x14ac:dyDescent="0.25">
      <c r="A392" s="5" t="s">
        <v>4552</v>
      </c>
      <c r="B392" s="157">
        <v>45737</v>
      </c>
      <c r="C392" s="5" t="s">
        <v>4366</v>
      </c>
      <c r="D392" s="5" t="s">
        <v>4470</v>
      </c>
      <c r="E392" s="5" t="s">
        <v>4424</v>
      </c>
      <c r="F392" s="5">
        <v>0</v>
      </c>
      <c r="G392" s="5">
        <v>2</v>
      </c>
      <c r="H392" s="5" t="s">
        <v>116</v>
      </c>
      <c r="I392" s="5">
        <v>17834</v>
      </c>
      <c r="J392" s="5" t="s">
        <v>4393</v>
      </c>
      <c r="K392" s="5" t="s">
        <v>4384</v>
      </c>
      <c r="L392" s="5" t="s">
        <v>4364</v>
      </c>
    </row>
    <row r="393" spans="1:12" x14ac:dyDescent="0.25">
      <c r="A393" s="5" t="s">
        <v>4931</v>
      </c>
      <c r="B393" s="157">
        <v>45739</v>
      </c>
      <c r="C393" s="5" t="s">
        <v>4366</v>
      </c>
      <c r="D393" s="5" t="s">
        <v>4382</v>
      </c>
      <c r="E393" s="5" t="s">
        <v>4373</v>
      </c>
      <c r="F393" s="5">
        <v>0</v>
      </c>
      <c r="G393" s="5">
        <v>3</v>
      </c>
      <c r="H393" s="5" t="s">
        <v>116</v>
      </c>
      <c r="I393" s="5">
        <v>0</v>
      </c>
      <c r="J393" s="5" t="s">
        <v>4362</v>
      </c>
      <c r="K393" s="5" t="s">
        <v>1256</v>
      </c>
      <c r="L393" s="5" t="s">
        <v>1256</v>
      </c>
    </row>
    <row r="394" spans="1:12" x14ac:dyDescent="0.25">
      <c r="A394" s="5" t="s">
        <v>4591</v>
      </c>
      <c r="B394" s="157">
        <v>45741</v>
      </c>
      <c r="C394" s="5" t="s">
        <v>4402</v>
      </c>
      <c r="D394" s="5" t="s">
        <v>4377</v>
      </c>
      <c r="E394" s="5" t="s">
        <v>5006</v>
      </c>
      <c r="F394" s="5">
        <v>2</v>
      </c>
      <c r="G394" s="5">
        <v>0</v>
      </c>
      <c r="H394" s="5" t="s">
        <v>4367</v>
      </c>
      <c r="I394" s="5">
        <v>67299</v>
      </c>
      <c r="J394" s="5" t="s">
        <v>4362</v>
      </c>
      <c r="K394" s="5" t="s">
        <v>4399</v>
      </c>
      <c r="L394" s="5" t="s">
        <v>4357</v>
      </c>
    </row>
    <row r="395" spans="1:12" x14ac:dyDescent="0.25">
      <c r="A395" s="5" t="s">
        <v>4908</v>
      </c>
      <c r="B395" s="157">
        <v>45742</v>
      </c>
      <c r="C395" s="5" t="s">
        <v>4402</v>
      </c>
      <c r="D395" s="5" t="s">
        <v>4403</v>
      </c>
      <c r="E395" s="5" t="s">
        <v>4387</v>
      </c>
      <c r="F395" s="5">
        <v>2</v>
      </c>
      <c r="G395" s="5">
        <v>3</v>
      </c>
      <c r="H395" s="5" t="s">
        <v>116</v>
      </c>
      <c r="I395" s="5">
        <v>28436</v>
      </c>
      <c r="J395" s="5" t="s">
        <v>4393</v>
      </c>
      <c r="K395" s="5" t="s">
        <v>4399</v>
      </c>
      <c r="L395" s="5" t="s">
        <v>4389</v>
      </c>
    </row>
    <row r="396" spans="1:12" x14ac:dyDescent="0.25">
      <c r="A396" s="5" t="s">
        <v>4905</v>
      </c>
      <c r="B396" s="157">
        <v>45743</v>
      </c>
      <c r="C396" s="5" t="s">
        <v>4402</v>
      </c>
      <c r="D396" s="5" t="s">
        <v>4424</v>
      </c>
      <c r="E396" s="5" t="s">
        <v>4412</v>
      </c>
      <c r="F396" s="5">
        <v>2</v>
      </c>
      <c r="G396" s="5">
        <v>0</v>
      </c>
      <c r="H396" s="5" t="s">
        <v>4367</v>
      </c>
      <c r="I396" s="5">
        <v>77179</v>
      </c>
      <c r="J396" s="5" t="s">
        <v>4413</v>
      </c>
      <c r="K396" s="5" t="s">
        <v>4375</v>
      </c>
      <c r="L396" s="5" t="s">
        <v>4357</v>
      </c>
    </row>
    <row r="397" spans="1:12" x14ac:dyDescent="0.25">
      <c r="A397" s="5" t="s">
        <v>4618</v>
      </c>
      <c r="B397" s="157">
        <v>45744</v>
      </c>
      <c r="C397" s="5" t="s">
        <v>4366</v>
      </c>
      <c r="D397" s="5" t="s">
        <v>4387</v>
      </c>
      <c r="E397" s="5" t="s">
        <v>4403</v>
      </c>
      <c r="F397" s="5">
        <v>2</v>
      </c>
      <c r="G397" s="5">
        <v>0</v>
      </c>
      <c r="H397" s="5" t="s">
        <v>4367</v>
      </c>
      <c r="I397" s="5">
        <v>26821</v>
      </c>
      <c r="J397" s="5" t="s">
        <v>4383</v>
      </c>
      <c r="K397" s="5" t="s">
        <v>4363</v>
      </c>
      <c r="L397" s="5" t="s">
        <v>4389</v>
      </c>
    </row>
    <row r="398" spans="1:12" x14ac:dyDescent="0.25">
      <c r="A398" s="5" t="s">
        <v>4631</v>
      </c>
      <c r="B398" s="157">
        <v>45745</v>
      </c>
      <c r="C398" s="5" t="s">
        <v>4415</v>
      </c>
      <c r="D398" s="5" t="s">
        <v>4430</v>
      </c>
      <c r="E398" s="5" t="s">
        <v>4470</v>
      </c>
      <c r="F398" s="5">
        <v>2</v>
      </c>
      <c r="G398" s="5">
        <v>1</v>
      </c>
      <c r="H398" s="5" t="s">
        <v>4367</v>
      </c>
      <c r="I398" s="5">
        <v>42403</v>
      </c>
      <c r="J398" s="5" t="s">
        <v>4355</v>
      </c>
      <c r="K398" s="5" t="s">
        <v>4375</v>
      </c>
      <c r="L398" s="5" t="s">
        <v>4370</v>
      </c>
    </row>
    <row r="399" spans="1:12" x14ac:dyDescent="0.25">
      <c r="A399" s="5" t="s">
        <v>4836</v>
      </c>
      <c r="B399" s="157">
        <v>45746</v>
      </c>
      <c r="C399" s="5" t="s">
        <v>4353</v>
      </c>
      <c r="D399" s="5" t="s">
        <v>4470</v>
      </c>
      <c r="E399" s="5" t="s">
        <v>4395</v>
      </c>
      <c r="F399" s="5">
        <v>1</v>
      </c>
      <c r="G399" s="5">
        <v>2</v>
      </c>
      <c r="H399" s="5" t="s">
        <v>116</v>
      </c>
      <c r="I399" s="5">
        <v>76827</v>
      </c>
      <c r="J399" s="5" t="s">
        <v>4393</v>
      </c>
      <c r="K399" s="5" t="s">
        <v>4384</v>
      </c>
      <c r="L399" s="5" t="s">
        <v>4370</v>
      </c>
    </row>
    <row r="400" spans="1:12" x14ac:dyDescent="0.25">
      <c r="A400" s="5" t="s">
        <v>4918</v>
      </c>
      <c r="B400" s="157">
        <v>45747</v>
      </c>
      <c r="C400" s="5" t="s">
        <v>4353</v>
      </c>
      <c r="D400" s="5" t="s">
        <v>4470</v>
      </c>
      <c r="E400" s="5" t="s">
        <v>4386</v>
      </c>
      <c r="F400" s="5">
        <v>1</v>
      </c>
      <c r="G400" s="5">
        <v>4</v>
      </c>
      <c r="H400" s="5" t="s">
        <v>116</v>
      </c>
      <c r="I400" s="5">
        <v>79676</v>
      </c>
      <c r="J400" s="5" t="s">
        <v>4362</v>
      </c>
      <c r="K400" s="5" t="s">
        <v>4399</v>
      </c>
      <c r="L400" s="5" t="s">
        <v>4389</v>
      </c>
    </row>
    <row r="401" spans="1:12" x14ac:dyDescent="0.25">
      <c r="A401" s="5" t="s">
        <v>4809</v>
      </c>
      <c r="B401" s="157">
        <v>45748</v>
      </c>
      <c r="C401" s="5" t="s">
        <v>4415</v>
      </c>
      <c r="D401" s="5" t="s">
        <v>4440</v>
      </c>
      <c r="E401" s="5" t="s">
        <v>4386</v>
      </c>
      <c r="F401" s="5">
        <v>0</v>
      </c>
      <c r="G401" s="5">
        <v>0</v>
      </c>
      <c r="H401" s="5" t="s">
        <v>4361</v>
      </c>
      <c r="I401" s="5">
        <v>19337</v>
      </c>
      <c r="J401" s="5" t="s">
        <v>1256</v>
      </c>
      <c r="K401" s="5" t="s">
        <v>4405</v>
      </c>
      <c r="L401" s="5" t="s">
        <v>1256</v>
      </c>
    </row>
    <row r="402" spans="1:12" x14ac:dyDescent="0.25">
      <c r="A402" s="5" t="s">
        <v>4637</v>
      </c>
      <c r="B402" s="157">
        <v>45750</v>
      </c>
      <c r="C402" s="5" t="s">
        <v>4415</v>
      </c>
      <c r="D402" s="5" t="s">
        <v>4412</v>
      </c>
      <c r="E402" s="5" t="s">
        <v>4386</v>
      </c>
      <c r="F402" s="5">
        <v>2</v>
      </c>
      <c r="G402" s="5">
        <v>3</v>
      </c>
      <c r="H402" s="5" t="s">
        <v>116</v>
      </c>
      <c r="I402" s="5">
        <v>15955</v>
      </c>
      <c r="J402" s="5" t="s">
        <v>1256</v>
      </c>
      <c r="K402" s="5" t="s">
        <v>1256</v>
      </c>
      <c r="L402" s="5" t="s">
        <v>4389</v>
      </c>
    </row>
    <row r="403" spans="1:12" x14ac:dyDescent="0.25">
      <c r="A403" s="5" t="s">
        <v>4868</v>
      </c>
      <c r="B403" s="157">
        <v>45752</v>
      </c>
      <c r="C403" s="5" t="s">
        <v>1256</v>
      </c>
      <c r="D403" s="5" t="s">
        <v>4387</v>
      </c>
      <c r="E403" s="5" t="s">
        <v>4424</v>
      </c>
      <c r="F403" s="5">
        <v>0</v>
      </c>
      <c r="G403" s="5">
        <v>1</v>
      </c>
      <c r="H403" s="5" t="s">
        <v>116</v>
      </c>
      <c r="I403" s="5">
        <v>22026</v>
      </c>
      <c r="J403" s="5" t="s">
        <v>4383</v>
      </c>
      <c r="K403" s="5" t="s">
        <v>4363</v>
      </c>
      <c r="L403" s="5" t="s">
        <v>4370</v>
      </c>
    </row>
    <row r="404" spans="1:12" x14ac:dyDescent="0.25">
      <c r="A404" s="5" t="s">
        <v>4929</v>
      </c>
      <c r="B404" s="157">
        <v>45753</v>
      </c>
      <c r="C404" s="5" t="s">
        <v>4415</v>
      </c>
      <c r="D404" s="5" t="s">
        <v>4403</v>
      </c>
      <c r="E404" s="5" t="s">
        <v>4382</v>
      </c>
      <c r="F404" s="5">
        <v>2</v>
      </c>
      <c r="G404" s="5">
        <v>1</v>
      </c>
      <c r="H404" s="5" t="s">
        <v>4367</v>
      </c>
      <c r="I404" s="5">
        <v>68749</v>
      </c>
      <c r="J404" s="5" t="s">
        <v>4442</v>
      </c>
      <c r="K404" s="5" t="s">
        <v>4363</v>
      </c>
      <c r="L404" s="5" t="s">
        <v>4364</v>
      </c>
    </row>
    <row r="405" spans="1:12" x14ac:dyDescent="0.25">
      <c r="A405" s="5" t="s">
        <v>4626</v>
      </c>
      <c r="B405" s="157">
        <v>45754</v>
      </c>
      <c r="C405" s="5" t="s">
        <v>4415</v>
      </c>
      <c r="D405" s="5" t="s">
        <v>4403</v>
      </c>
      <c r="E405" s="5" t="s">
        <v>4369</v>
      </c>
      <c r="F405" s="5">
        <v>1</v>
      </c>
      <c r="G405" s="5">
        <v>1</v>
      </c>
      <c r="H405" s="5" t="s">
        <v>4361</v>
      </c>
      <c r="I405" s="5">
        <v>41592</v>
      </c>
      <c r="J405" s="5" t="s">
        <v>4398</v>
      </c>
      <c r="K405" s="5" t="s">
        <v>1256</v>
      </c>
      <c r="L405" s="5" t="s">
        <v>4357</v>
      </c>
    </row>
    <row r="406" spans="1:12" x14ac:dyDescent="0.25">
      <c r="A406" s="5" t="s">
        <v>4561</v>
      </c>
      <c r="B406" s="157">
        <v>45755</v>
      </c>
      <c r="C406" s="5" t="s">
        <v>4402</v>
      </c>
      <c r="D406" s="5" t="s">
        <v>4378</v>
      </c>
      <c r="E406" s="5" t="s">
        <v>4372</v>
      </c>
      <c r="F406" s="5">
        <v>2</v>
      </c>
      <c r="G406" s="5">
        <v>2</v>
      </c>
      <c r="H406" s="5" t="s">
        <v>4361</v>
      </c>
      <c r="I406" s="5">
        <v>79756</v>
      </c>
      <c r="J406" s="5" t="s">
        <v>4374</v>
      </c>
      <c r="K406" s="5" t="s">
        <v>4363</v>
      </c>
      <c r="L406" s="5" t="s">
        <v>1256</v>
      </c>
    </row>
    <row r="407" spans="1:12" x14ac:dyDescent="0.25">
      <c r="A407" s="5" t="s">
        <v>4457</v>
      </c>
      <c r="B407" s="157">
        <v>45758</v>
      </c>
      <c r="C407" s="5" t="s">
        <v>4415</v>
      </c>
      <c r="D407" s="5" t="s">
        <v>4412</v>
      </c>
      <c r="E407" s="5" t="s">
        <v>4382</v>
      </c>
      <c r="F407" s="5">
        <v>3</v>
      </c>
      <c r="G407" s="5">
        <v>2</v>
      </c>
      <c r="H407" s="5" t="s">
        <v>4367</v>
      </c>
      <c r="I407" s="5">
        <v>76121</v>
      </c>
      <c r="J407" s="5" t="s">
        <v>4398</v>
      </c>
      <c r="K407" s="5" t="s">
        <v>4375</v>
      </c>
      <c r="L407" s="5" t="s">
        <v>4370</v>
      </c>
    </row>
    <row r="408" spans="1:12" x14ac:dyDescent="0.25">
      <c r="A408" s="5" t="s">
        <v>4703</v>
      </c>
      <c r="B408" s="157">
        <v>45758</v>
      </c>
      <c r="C408" s="5" t="s">
        <v>4415</v>
      </c>
      <c r="D408" s="5" t="s">
        <v>4387</v>
      </c>
      <c r="E408" s="5" t="s">
        <v>4377</v>
      </c>
      <c r="F408" s="5">
        <v>1</v>
      </c>
      <c r="G408" s="5">
        <v>0</v>
      </c>
      <c r="H408" s="5" t="s">
        <v>4367</v>
      </c>
      <c r="I408" s="5">
        <v>22974</v>
      </c>
      <c r="J408" s="5" t="s">
        <v>4398</v>
      </c>
      <c r="K408" s="5" t="s">
        <v>1256</v>
      </c>
      <c r="L408" s="5" t="s">
        <v>4389</v>
      </c>
    </row>
    <row r="409" spans="1:12" x14ac:dyDescent="0.25">
      <c r="A409" s="5" t="s">
        <v>4511</v>
      </c>
      <c r="B409" s="157">
        <v>45760</v>
      </c>
      <c r="C409" s="5" t="s">
        <v>4359</v>
      </c>
      <c r="D409" s="5" t="s">
        <v>4373</v>
      </c>
      <c r="E409" s="5" t="s">
        <v>4377</v>
      </c>
      <c r="F409" s="5">
        <v>5</v>
      </c>
      <c r="G409" s="5">
        <v>1</v>
      </c>
      <c r="H409" s="5" t="s">
        <v>4367</v>
      </c>
      <c r="I409" s="5">
        <v>23595</v>
      </c>
      <c r="J409" s="5" t="s">
        <v>4393</v>
      </c>
      <c r="K409" s="5" t="s">
        <v>4375</v>
      </c>
      <c r="L409" s="5" t="s">
        <v>4389</v>
      </c>
    </row>
    <row r="410" spans="1:12" x14ac:dyDescent="0.25">
      <c r="A410" s="5" t="s">
        <v>4866</v>
      </c>
      <c r="B410" s="157">
        <v>45760</v>
      </c>
      <c r="C410" s="5" t="s">
        <v>4402</v>
      </c>
      <c r="D410" s="5" t="s">
        <v>4377</v>
      </c>
      <c r="E410" s="5" t="s">
        <v>4440</v>
      </c>
      <c r="F410" s="5">
        <v>2</v>
      </c>
      <c r="G410" s="5">
        <v>3</v>
      </c>
      <c r="H410" s="5" t="s">
        <v>116</v>
      </c>
      <c r="I410" s="5">
        <v>48852</v>
      </c>
      <c r="J410" s="5" t="s">
        <v>4383</v>
      </c>
      <c r="K410" s="5" t="s">
        <v>4405</v>
      </c>
      <c r="L410" s="5" t="s">
        <v>4370</v>
      </c>
    </row>
    <row r="411" spans="1:12" x14ac:dyDescent="0.25">
      <c r="A411" s="5" t="s">
        <v>4921</v>
      </c>
      <c r="B411" s="157">
        <v>45762</v>
      </c>
      <c r="C411" s="5" t="s">
        <v>4415</v>
      </c>
      <c r="D411" s="5" t="s">
        <v>4372</v>
      </c>
      <c r="E411" s="5" t="s">
        <v>4470</v>
      </c>
      <c r="F411" s="5">
        <v>2</v>
      </c>
      <c r="G411" s="5">
        <v>1</v>
      </c>
      <c r="H411" s="5" t="s">
        <v>4367</v>
      </c>
      <c r="I411" s="5">
        <v>65411</v>
      </c>
      <c r="J411" s="5" t="s">
        <v>1256</v>
      </c>
      <c r="K411" s="5" t="s">
        <v>4399</v>
      </c>
      <c r="L411" s="5" t="s">
        <v>1256</v>
      </c>
    </row>
    <row r="412" spans="1:12" x14ac:dyDescent="0.25">
      <c r="A412" s="5" t="s">
        <v>4599</v>
      </c>
      <c r="B412" s="157">
        <v>45763</v>
      </c>
      <c r="C412" s="5" t="s">
        <v>4359</v>
      </c>
      <c r="D412" s="5" t="s">
        <v>4440</v>
      </c>
      <c r="E412" s="5" t="s">
        <v>4470</v>
      </c>
      <c r="F412" s="5">
        <v>0</v>
      </c>
      <c r="G412" s="5">
        <v>1</v>
      </c>
      <c r="H412" s="5" t="s">
        <v>116</v>
      </c>
      <c r="I412" s="5">
        <v>47280</v>
      </c>
      <c r="J412" s="5" t="s">
        <v>4355</v>
      </c>
      <c r="K412" s="5" t="s">
        <v>4396</v>
      </c>
      <c r="L412" s="5" t="s">
        <v>4357</v>
      </c>
    </row>
    <row r="413" spans="1:12" x14ac:dyDescent="0.25">
      <c r="A413" s="5" t="s">
        <v>4600</v>
      </c>
      <c r="B413" s="157">
        <v>45770</v>
      </c>
      <c r="C413" s="5" t="s">
        <v>4366</v>
      </c>
      <c r="D413" s="5" t="s">
        <v>4387</v>
      </c>
      <c r="E413" s="5" t="s">
        <v>4403</v>
      </c>
      <c r="F413" s="5">
        <v>1</v>
      </c>
      <c r="G413" s="5">
        <v>2</v>
      </c>
      <c r="H413" s="5" t="s">
        <v>116</v>
      </c>
      <c r="I413" s="5">
        <v>14753</v>
      </c>
      <c r="J413" s="5" t="s">
        <v>4421</v>
      </c>
      <c r="K413" s="5" t="s">
        <v>4375</v>
      </c>
      <c r="L413" s="5" t="s">
        <v>1256</v>
      </c>
    </row>
    <row r="414" spans="1:12" x14ac:dyDescent="0.25">
      <c r="A414" s="5" t="s">
        <v>4913</v>
      </c>
      <c r="B414" s="157">
        <v>45773</v>
      </c>
      <c r="C414" s="5" t="s">
        <v>4415</v>
      </c>
      <c r="D414" s="5" t="s">
        <v>4470</v>
      </c>
      <c r="E414" s="5" t="s">
        <v>4373</v>
      </c>
      <c r="F414" s="5">
        <v>1</v>
      </c>
      <c r="G414" s="5">
        <v>1</v>
      </c>
      <c r="H414" s="5" t="s">
        <v>4361</v>
      </c>
      <c r="I414" s="5">
        <v>59468</v>
      </c>
      <c r="J414" s="5" t="s">
        <v>1256</v>
      </c>
      <c r="K414" s="5" t="s">
        <v>4405</v>
      </c>
      <c r="L414" s="5" t="s">
        <v>1256</v>
      </c>
    </row>
    <row r="415" spans="1:12" x14ac:dyDescent="0.25">
      <c r="A415" s="5" t="s">
        <v>4886</v>
      </c>
      <c r="B415" s="157">
        <v>45776</v>
      </c>
      <c r="C415" s="5" t="s">
        <v>4402</v>
      </c>
      <c r="D415" s="5" t="s">
        <v>4386</v>
      </c>
      <c r="E415" s="5" t="s">
        <v>4382</v>
      </c>
      <c r="F415" s="5">
        <v>3</v>
      </c>
      <c r="G415" s="5">
        <v>1</v>
      </c>
      <c r="H415" s="5" t="s">
        <v>4367</v>
      </c>
      <c r="I415" s="5">
        <v>53736</v>
      </c>
      <c r="J415" s="5" t="s">
        <v>4383</v>
      </c>
      <c r="K415" s="5" t="s">
        <v>1256</v>
      </c>
      <c r="L415" s="5" t="s">
        <v>4364</v>
      </c>
    </row>
    <row r="416" spans="1:12" x14ac:dyDescent="0.25">
      <c r="A416" s="5" t="s">
        <v>4630</v>
      </c>
      <c r="B416" s="157">
        <v>45777</v>
      </c>
      <c r="C416" s="5" t="s">
        <v>4359</v>
      </c>
      <c r="D416" s="5" t="s">
        <v>4403</v>
      </c>
      <c r="E416" s="5" t="s">
        <v>4386</v>
      </c>
      <c r="F416" s="5">
        <v>1</v>
      </c>
      <c r="G416" s="5">
        <v>1</v>
      </c>
      <c r="H416" s="5" t="s">
        <v>4361</v>
      </c>
      <c r="I416" s="5">
        <v>50925</v>
      </c>
      <c r="J416" s="5" t="s">
        <v>4355</v>
      </c>
      <c r="K416" s="5" t="s">
        <v>1256</v>
      </c>
      <c r="L416" s="5" t="s">
        <v>4370</v>
      </c>
    </row>
    <row r="417" spans="1:12" x14ac:dyDescent="0.25">
      <c r="A417" s="5" t="s">
        <v>4455</v>
      </c>
      <c r="B417" s="157">
        <v>45778</v>
      </c>
      <c r="C417" s="5" t="s">
        <v>4415</v>
      </c>
      <c r="D417" s="5" t="s">
        <v>4382</v>
      </c>
      <c r="E417" s="5" t="s">
        <v>4424</v>
      </c>
      <c r="F417" s="5">
        <v>2</v>
      </c>
      <c r="G417" s="5">
        <v>1</v>
      </c>
      <c r="H417" s="5" t="s">
        <v>4367</v>
      </c>
      <c r="I417" s="5">
        <v>50719</v>
      </c>
      <c r="J417" s="5" t="s">
        <v>4362</v>
      </c>
      <c r="K417" s="5" t="s">
        <v>1256</v>
      </c>
      <c r="L417" s="5" t="s">
        <v>4357</v>
      </c>
    </row>
    <row r="418" spans="1:12" x14ac:dyDescent="0.25">
      <c r="A418" s="5" t="s">
        <v>4449</v>
      </c>
      <c r="B418" s="157">
        <v>45778</v>
      </c>
      <c r="C418" s="5" t="s">
        <v>4359</v>
      </c>
      <c r="D418" s="5" t="s">
        <v>4382</v>
      </c>
      <c r="E418" s="5" t="s">
        <v>4387</v>
      </c>
      <c r="F418" s="5">
        <v>2</v>
      </c>
      <c r="G418" s="5">
        <v>2</v>
      </c>
      <c r="H418" s="5" t="s">
        <v>4361</v>
      </c>
      <c r="I418" s="5">
        <v>30685</v>
      </c>
      <c r="J418" s="5" t="s">
        <v>4444</v>
      </c>
      <c r="K418" s="5" t="s">
        <v>1256</v>
      </c>
      <c r="L418" s="5" t="s">
        <v>4364</v>
      </c>
    </row>
    <row r="419" spans="1:12" x14ac:dyDescent="0.25">
      <c r="A419" s="5" t="s">
        <v>4779</v>
      </c>
      <c r="B419" s="157">
        <v>45779</v>
      </c>
      <c r="C419" s="5" t="s">
        <v>4353</v>
      </c>
      <c r="D419" s="5" t="s">
        <v>4369</v>
      </c>
      <c r="E419" s="5" t="s">
        <v>4382</v>
      </c>
      <c r="F419" s="5">
        <v>1</v>
      </c>
      <c r="G419" s="5">
        <v>0</v>
      </c>
      <c r="H419" s="5" t="s">
        <v>4367</v>
      </c>
      <c r="I419" s="5">
        <v>37545</v>
      </c>
      <c r="J419" s="5" t="s">
        <v>4421</v>
      </c>
      <c r="K419" s="5" t="s">
        <v>4384</v>
      </c>
      <c r="L419" s="5" t="s">
        <v>4370</v>
      </c>
    </row>
    <row r="420" spans="1:12" x14ac:dyDescent="0.25">
      <c r="A420" s="5" t="s">
        <v>4805</v>
      </c>
      <c r="B420" s="157">
        <v>45781</v>
      </c>
      <c r="C420" s="5" t="s">
        <v>4415</v>
      </c>
      <c r="D420" s="5" t="s">
        <v>4373</v>
      </c>
      <c r="E420" s="5" t="s">
        <v>4378</v>
      </c>
      <c r="F420" s="5">
        <v>5</v>
      </c>
      <c r="G420" s="5">
        <v>5</v>
      </c>
      <c r="H420" s="5" t="s">
        <v>4361</v>
      </c>
      <c r="I420" s="5">
        <v>45177</v>
      </c>
      <c r="J420" s="5" t="s">
        <v>1256</v>
      </c>
      <c r="K420" s="5" t="s">
        <v>4399</v>
      </c>
      <c r="L420" s="5" t="s">
        <v>4389</v>
      </c>
    </row>
    <row r="421" spans="1:12" x14ac:dyDescent="0.25">
      <c r="A421" s="5" t="s">
        <v>4500</v>
      </c>
      <c r="B421" s="157">
        <v>45781</v>
      </c>
      <c r="C421" s="5" t="s">
        <v>4415</v>
      </c>
      <c r="D421" s="5" t="s">
        <v>4412</v>
      </c>
      <c r="E421" s="5" t="s">
        <v>4387</v>
      </c>
      <c r="F421" s="5">
        <v>4</v>
      </c>
      <c r="G421" s="5">
        <v>1</v>
      </c>
      <c r="H421" s="5" t="s">
        <v>4367</v>
      </c>
      <c r="I421" s="5">
        <v>64918</v>
      </c>
      <c r="J421" s="5" t="s">
        <v>4413</v>
      </c>
      <c r="K421" s="5" t="s">
        <v>4396</v>
      </c>
      <c r="L421" s="5" t="s">
        <v>4364</v>
      </c>
    </row>
    <row r="422" spans="1:12" x14ac:dyDescent="0.25">
      <c r="A422" s="5" t="s">
        <v>4800</v>
      </c>
      <c r="B422" s="157">
        <v>45782</v>
      </c>
      <c r="C422" s="5" t="s">
        <v>4366</v>
      </c>
      <c r="D422" s="5" t="s">
        <v>4372</v>
      </c>
      <c r="E422" s="5" t="s">
        <v>4403</v>
      </c>
      <c r="F422" s="5">
        <v>4</v>
      </c>
      <c r="G422" s="5">
        <v>3</v>
      </c>
      <c r="H422" s="5" t="s">
        <v>4367</v>
      </c>
      <c r="I422" s="5">
        <v>44509</v>
      </c>
      <c r="J422" s="5" t="s">
        <v>4393</v>
      </c>
      <c r="K422" s="5" t="s">
        <v>4356</v>
      </c>
      <c r="L422" s="5" t="s">
        <v>4364</v>
      </c>
    </row>
    <row r="423" spans="1:12" x14ac:dyDescent="0.25">
      <c r="A423" s="5" t="s">
        <v>4851</v>
      </c>
      <c r="B423" s="157">
        <v>45785</v>
      </c>
      <c r="C423" s="5" t="s">
        <v>4402</v>
      </c>
      <c r="D423" s="5" t="s">
        <v>4369</v>
      </c>
      <c r="E423" s="5" t="s">
        <v>4386</v>
      </c>
      <c r="F423" s="5">
        <v>1</v>
      </c>
      <c r="G423" s="5">
        <v>2</v>
      </c>
      <c r="H423" s="5" t="s">
        <v>116</v>
      </c>
      <c r="I423" s="5">
        <v>50747</v>
      </c>
      <c r="J423" s="5" t="s">
        <v>4362</v>
      </c>
      <c r="K423" s="5" t="s">
        <v>4396</v>
      </c>
      <c r="L423" s="5" t="s">
        <v>4357</v>
      </c>
    </row>
    <row r="424" spans="1:12" x14ac:dyDescent="0.25">
      <c r="A424" s="5" t="s">
        <v>4957</v>
      </c>
      <c r="B424" s="157">
        <v>45792</v>
      </c>
      <c r="C424" s="5" t="s">
        <v>4353</v>
      </c>
      <c r="D424" s="5" t="s">
        <v>4369</v>
      </c>
      <c r="E424" s="5" t="s">
        <v>4387</v>
      </c>
      <c r="F424" s="5">
        <v>1</v>
      </c>
      <c r="G424" s="5">
        <v>3</v>
      </c>
      <c r="H424" s="5" t="s">
        <v>116</v>
      </c>
      <c r="I424" s="5">
        <v>19328</v>
      </c>
      <c r="J424" s="5" t="s">
        <v>4355</v>
      </c>
      <c r="K424" s="5" t="s">
        <v>4405</v>
      </c>
      <c r="L424" s="5" t="s">
        <v>4357</v>
      </c>
    </row>
    <row r="425" spans="1:12" x14ac:dyDescent="0.25">
      <c r="A425" s="5" t="s">
        <v>4861</v>
      </c>
      <c r="B425" s="157">
        <v>45792</v>
      </c>
      <c r="C425" s="5" t="s">
        <v>4353</v>
      </c>
      <c r="D425" s="5" t="s">
        <v>4369</v>
      </c>
      <c r="E425" s="5" t="s">
        <v>4382</v>
      </c>
      <c r="F425" s="5">
        <v>3</v>
      </c>
      <c r="G425" s="5">
        <v>0</v>
      </c>
      <c r="H425" s="5" t="s">
        <v>4367</v>
      </c>
      <c r="I425" s="5">
        <v>50783</v>
      </c>
      <c r="J425" s="5" t="s">
        <v>4421</v>
      </c>
      <c r="K425" s="5" t="s">
        <v>1256</v>
      </c>
      <c r="L425" s="5" t="s">
        <v>4357</v>
      </c>
    </row>
    <row r="426" spans="1:12" x14ac:dyDescent="0.25">
      <c r="A426" s="5" t="s">
        <v>4632</v>
      </c>
      <c r="B426" s="157">
        <v>45794</v>
      </c>
      <c r="C426" s="5" t="s">
        <v>4353</v>
      </c>
      <c r="D426" s="5" t="s">
        <v>5006</v>
      </c>
      <c r="E426" s="5" t="s">
        <v>4424</v>
      </c>
      <c r="F426" s="5">
        <v>4</v>
      </c>
      <c r="G426" s="5">
        <v>1</v>
      </c>
      <c r="H426" s="5" t="s">
        <v>4367</v>
      </c>
      <c r="I426" s="5">
        <v>62959</v>
      </c>
      <c r="J426" s="5" t="s">
        <v>4398</v>
      </c>
      <c r="K426" s="5" t="s">
        <v>1256</v>
      </c>
      <c r="L426" s="5" t="s">
        <v>4364</v>
      </c>
    </row>
    <row r="427" spans="1:12" x14ac:dyDescent="0.25">
      <c r="A427" s="5" t="s">
        <v>4935</v>
      </c>
      <c r="B427" s="157">
        <v>45794</v>
      </c>
      <c r="C427" s="5" t="s">
        <v>4353</v>
      </c>
      <c r="D427" s="5" t="s">
        <v>4354</v>
      </c>
      <c r="E427" s="5" t="s">
        <v>4395</v>
      </c>
      <c r="F427" s="5">
        <v>6</v>
      </c>
      <c r="G427" s="5">
        <v>1</v>
      </c>
      <c r="H427" s="5" t="s">
        <v>4367</v>
      </c>
      <c r="I427" s="5">
        <v>73691</v>
      </c>
      <c r="J427" s="5" t="s">
        <v>4374</v>
      </c>
      <c r="K427" s="5" t="s">
        <v>4375</v>
      </c>
      <c r="L427" s="5" t="s">
        <v>4364</v>
      </c>
    </row>
    <row r="428" spans="1:12" x14ac:dyDescent="0.25">
      <c r="A428" s="5" t="s">
        <v>4436</v>
      </c>
      <c r="B428" s="157">
        <v>45799</v>
      </c>
      <c r="C428" s="5" t="s">
        <v>4415</v>
      </c>
      <c r="D428" s="5" t="s">
        <v>4387</v>
      </c>
      <c r="E428" s="5" t="s">
        <v>4412</v>
      </c>
      <c r="F428" s="5">
        <v>3</v>
      </c>
      <c r="G428" s="5">
        <v>1</v>
      </c>
      <c r="H428" s="5" t="s">
        <v>4367</v>
      </c>
      <c r="I428" s="5">
        <v>65790</v>
      </c>
      <c r="J428" s="5" t="s">
        <v>4409</v>
      </c>
      <c r="K428" s="5" t="s">
        <v>4375</v>
      </c>
      <c r="L428" s="5" t="s">
        <v>4370</v>
      </c>
    </row>
    <row r="429" spans="1:12" x14ac:dyDescent="0.25">
      <c r="A429" s="5" t="s">
        <v>4869</v>
      </c>
      <c r="B429" s="157">
        <v>45800</v>
      </c>
      <c r="C429" s="5" t="s">
        <v>4415</v>
      </c>
      <c r="D429" s="5" t="s">
        <v>4372</v>
      </c>
      <c r="E429" s="5" t="s">
        <v>4369</v>
      </c>
      <c r="F429" s="5">
        <v>0</v>
      </c>
      <c r="G429" s="5">
        <v>0</v>
      </c>
      <c r="H429" s="5" t="s">
        <v>4361</v>
      </c>
      <c r="I429" s="5">
        <v>53515</v>
      </c>
      <c r="J429" s="5" t="s">
        <v>4355</v>
      </c>
      <c r="K429" s="5" t="s">
        <v>4375</v>
      </c>
      <c r="L429" s="5" t="s">
        <v>4364</v>
      </c>
    </row>
    <row r="430" spans="1:12" x14ac:dyDescent="0.25">
      <c r="A430" s="5" t="s">
        <v>4925</v>
      </c>
      <c r="B430" s="157">
        <v>45802</v>
      </c>
      <c r="C430" s="5" t="s">
        <v>4353</v>
      </c>
      <c r="D430" s="5" t="s">
        <v>4440</v>
      </c>
      <c r="E430" s="5" t="s">
        <v>4424</v>
      </c>
      <c r="F430" s="5">
        <v>2</v>
      </c>
      <c r="G430" s="5">
        <v>0</v>
      </c>
      <c r="H430" s="5" t="s">
        <v>4367</v>
      </c>
      <c r="I430" s="5">
        <v>76103</v>
      </c>
      <c r="J430" s="5" t="s">
        <v>4374</v>
      </c>
      <c r="K430" s="5" t="s">
        <v>4405</v>
      </c>
      <c r="L430" s="5" t="s">
        <v>4357</v>
      </c>
    </row>
    <row r="431" spans="1:12" x14ac:dyDescent="0.25">
      <c r="A431" s="5" t="s">
        <v>4633</v>
      </c>
      <c r="B431" s="157">
        <v>45809</v>
      </c>
      <c r="C431" s="5" t="s">
        <v>4415</v>
      </c>
      <c r="D431" s="5" t="s">
        <v>5006</v>
      </c>
      <c r="E431" s="5" t="s">
        <v>4386</v>
      </c>
      <c r="F431" s="5">
        <v>1</v>
      </c>
      <c r="G431" s="5">
        <v>2</v>
      </c>
      <c r="H431" s="5" t="s">
        <v>116</v>
      </c>
      <c r="I431" s="5">
        <v>51507</v>
      </c>
      <c r="J431" s="5" t="s">
        <v>4398</v>
      </c>
      <c r="K431" s="5" t="s">
        <v>1256</v>
      </c>
      <c r="L431" s="5" t="s">
        <v>4364</v>
      </c>
    </row>
    <row r="432" spans="1:12" x14ac:dyDescent="0.25">
      <c r="A432" s="5" t="s">
        <v>4535</v>
      </c>
      <c r="B432" s="157">
        <v>45809</v>
      </c>
      <c r="C432" s="5" t="s">
        <v>4402</v>
      </c>
      <c r="D432" s="5" t="s">
        <v>4430</v>
      </c>
      <c r="E432" s="5" t="s">
        <v>4386</v>
      </c>
      <c r="F432" s="5">
        <v>2</v>
      </c>
      <c r="G432" s="5">
        <v>1</v>
      </c>
      <c r="H432" s="5" t="s">
        <v>4367</v>
      </c>
      <c r="I432" s="5">
        <v>62977</v>
      </c>
      <c r="J432" s="5" t="s">
        <v>4355</v>
      </c>
      <c r="K432" s="5" t="s">
        <v>1256</v>
      </c>
      <c r="L432" s="5" t="s">
        <v>4364</v>
      </c>
    </row>
    <row r="433" spans="1:12" x14ac:dyDescent="0.25">
      <c r="A433" s="5" t="s">
        <v>4565</v>
      </c>
      <c r="B433" s="157">
        <v>45813</v>
      </c>
      <c r="C433" s="5" t="s">
        <v>4353</v>
      </c>
      <c r="D433" s="5" t="s">
        <v>4354</v>
      </c>
      <c r="E433" s="5" t="s">
        <v>4395</v>
      </c>
      <c r="F433" s="5">
        <v>4</v>
      </c>
      <c r="G433" s="5">
        <v>3</v>
      </c>
      <c r="H433" s="5" t="s">
        <v>4367</v>
      </c>
      <c r="I433" s="5">
        <v>75040</v>
      </c>
      <c r="J433" s="5" t="s">
        <v>4362</v>
      </c>
      <c r="K433" s="5" t="s">
        <v>4384</v>
      </c>
      <c r="L433" s="5" t="s">
        <v>4389</v>
      </c>
    </row>
    <row r="434" spans="1:12" x14ac:dyDescent="0.25">
      <c r="A434" s="5" t="s">
        <v>4636</v>
      </c>
      <c r="B434" s="157">
        <v>45813</v>
      </c>
      <c r="C434" s="5" t="s">
        <v>4353</v>
      </c>
      <c r="D434" s="5" t="s">
        <v>4424</v>
      </c>
      <c r="E434" s="5" t="s">
        <v>4386</v>
      </c>
      <c r="F434" s="5">
        <v>1</v>
      </c>
      <c r="G434" s="5">
        <v>2</v>
      </c>
      <c r="H434" s="5" t="s">
        <v>116</v>
      </c>
      <c r="I434" s="5">
        <v>22684</v>
      </c>
      <c r="J434" s="5" t="s">
        <v>4383</v>
      </c>
      <c r="K434" s="5" t="s">
        <v>1256</v>
      </c>
      <c r="L434" s="5" t="s">
        <v>4370</v>
      </c>
    </row>
    <row r="435" spans="1:12" x14ac:dyDescent="0.25">
      <c r="A435" s="5" t="s">
        <v>4416</v>
      </c>
      <c r="B435" s="157">
        <v>45813</v>
      </c>
      <c r="C435" s="5" t="s">
        <v>4402</v>
      </c>
      <c r="D435" s="5" t="s">
        <v>4386</v>
      </c>
      <c r="E435" s="5" t="s">
        <v>4369</v>
      </c>
      <c r="F435" s="5">
        <v>2</v>
      </c>
      <c r="G435" s="5">
        <v>1</v>
      </c>
      <c r="H435" s="5" t="s">
        <v>4367</v>
      </c>
      <c r="I435" s="5">
        <v>14206</v>
      </c>
      <c r="J435" s="5" t="s">
        <v>4417</v>
      </c>
      <c r="K435" s="5" t="s">
        <v>4405</v>
      </c>
      <c r="L435" s="5" t="s">
        <v>4370</v>
      </c>
    </row>
    <row r="436" spans="1:12" x14ac:dyDescent="0.25">
      <c r="A436" s="5" t="s">
        <v>4639</v>
      </c>
      <c r="B436" s="157">
        <v>45819</v>
      </c>
      <c r="C436" s="5" t="s">
        <v>1256</v>
      </c>
      <c r="D436" s="5" t="s">
        <v>4403</v>
      </c>
      <c r="E436" s="5" t="s">
        <v>4382</v>
      </c>
      <c r="F436" s="5">
        <v>2</v>
      </c>
      <c r="G436" s="5">
        <v>2</v>
      </c>
      <c r="H436" s="5" t="s">
        <v>4361</v>
      </c>
      <c r="I436" s="5">
        <v>58447</v>
      </c>
      <c r="J436" s="5" t="s">
        <v>4362</v>
      </c>
      <c r="K436" s="5" t="s">
        <v>4396</v>
      </c>
      <c r="L436" s="5" t="s">
        <v>4364</v>
      </c>
    </row>
    <row r="437" spans="1:12" x14ac:dyDescent="0.25">
      <c r="A437" s="5" t="s">
        <v>4951</v>
      </c>
      <c r="B437" s="157">
        <v>45821</v>
      </c>
      <c r="C437" s="5" t="s">
        <v>4353</v>
      </c>
      <c r="D437" s="5" t="s">
        <v>4430</v>
      </c>
      <c r="E437" s="5" t="s">
        <v>4412</v>
      </c>
      <c r="F437" s="5">
        <v>0</v>
      </c>
      <c r="G437" s="5">
        <v>2</v>
      </c>
      <c r="H437" s="5" t="s">
        <v>116</v>
      </c>
      <c r="I437" s="5">
        <v>38798</v>
      </c>
      <c r="J437" s="5" t="s">
        <v>4393</v>
      </c>
      <c r="K437" s="5" t="s">
        <v>4396</v>
      </c>
      <c r="L437" s="5" t="s">
        <v>4370</v>
      </c>
    </row>
    <row r="438" spans="1:12" x14ac:dyDescent="0.25">
      <c r="A438" s="5" t="s">
        <v>4437</v>
      </c>
      <c r="B438" s="157">
        <v>45831</v>
      </c>
      <c r="C438" s="5" t="s">
        <v>4366</v>
      </c>
      <c r="D438" s="5" t="s">
        <v>4387</v>
      </c>
      <c r="E438" s="5" t="s">
        <v>4369</v>
      </c>
      <c r="F438" s="5">
        <v>3</v>
      </c>
      <c r="G438" s="5">
        <v>3</v>
      </c>
      <c r="H438" s="5" t="s">
        <v>4361</v>
      </c>
      <c r="I438" s="5">
        <v>29336</v>
      </c>
      <c r="J438" s="5" t="s">
        <v>4380</v>
      </c>
      <c r="K438" s="5" t="s">
        <v>4396</v>
      </c>
      <c r="L438" s="5" t="s">
        <v>1256</v>
      </c>
    </row>
    <row r="439" spans="1:12" x14ac:dyDescent="0.25">
      <c r="A439" s="5" t="s">
        <v>4394</v>
      </c>
      <c r="B439" s="157">
        <v>45832</v>
      </c>
      <c r="C439" s="5" t="s">
        <v>4366</v>
      </c>
      <c r="D439" s="5" t="s">
        <v>4377</v>
      </c>
      <c r="E439" s="5" t="s">
        <v>4395</v>
      </c>
      <c r="F439" s="5">
        <v>4</v>
      </c>
      <c r="G439" s="5">
        <v>0</v>
      </c>
      <c r="H439" s="5" t="s">
        <v>1256</v>
      </c>
      <c r="I439" s="5">
        <v>10940</v>
      </c>
      <c r="J439" s="5" t="s">
        <v>4355</v>
      </c>
      <c r="K439" s="5" t="s">
        <v>4396</v>
      </c>
      <c r="L439" s="5" t="s">
        <v>4357</v>
      </c>
    </row>
    <row r="440" spans="1:12" x14ac:dyDescent="0.25">
      <c r="A440" s="5" t="s">
        <v>4771</v>
      </c>
      <c r="B440" s="157">
        <v>45834</v>
      </c>
      <c r="C440" s="5" t="s">
        <v>4415</v>
      </c>
      <c r="D440" s="5" t="s">
        <v>4395</v>
      </c>
      <c r="E440" s="5" t="s">
        <v>4360</v>
      </c>
      <c r="F440" s="5">
        <v>2</v>
      </c>
      <c r="G440" s="5">
        <v>2</v>
      </c>
      <c r="H440" s="5" t="s">
        <v>4361</v>
      </c>
      <c r="I440" s="5">
        <v>68329</v>
      </c>
      <c r="J440" s="5" t="s">
        <v>4444</v>
      </c>
      <c r="K440" s="5" t="s">
        <v>1256</v>
      </c>
      <c r="L440" s="5" t="s">
        <v>1256</v>
      </c>
    </row>
    <row r="441" spans="1:12" x14ac:dyDescent="0.25">
      <c r="A441" s="5" t="s">
        <v>4749</v>
      </c>
      <c r="B441" s="157">
        <v>45836</v>
      </c>
      <c r="C441" s="5" t="s">
        <v>4353</v>
      </c>
      <c r="D441" s="5" t="s">
        <v>4373</v>
      </c>
      <c r="E441" s="5" t="s">
        <v>4440</v>
      </c>
      <c r="F441" s="5">
        <v>4</v>
      </c>
      <c r="G441" s="5">
        <v>3</v>
      </c>
      <c r="H441" s="5" t="s">
        <v>4367</v>
      </c>
      <c r="I441" s="5">
        <v>34229</v>
      </c>
      <c r="J441" s="5" t="s">
        <v>4417</v>
      </c>
      <c r="K441" s="5" t="s">
        <v>1256</v>
      </c>
      <c r="L441" s="5" t="s">
        <v>4370</v>
      </c>
    </row>
    <row r="442" spans="1:12" x14ac:dyDescent="0.25">
      <c r="A442" s="5" t="s">
        <v>4990</v>
      </c>
      <c r="B442" s="157">
        <v>45838</v>
      </c>
      <c r="C442" s="5" t="s">
        <v>4402</v>
      </c>
      <c r="D442" s="5" t="s">
        <v>4470</v>
      </c>
      <c r="E442" s="5" t="s">
        <v>4470</v>
      </c>
      <c r="F442" s="5">
        <v>1</v>
      </c>
      <c r="G442" s="5">
        <v>4</v>
      </c>
      <c r="H442" s="5" t="s">
        <v>116</v>
      </c>
      <c r="I442" s="5">
        <v>19628</v>
      </c>
      <c r="J442" s="5" t="s">
        <v>4362</v>
      </c>
      <c r="K442" s="5" t="s">
        <v>4375</v>
      </c>
      <c r="L442" s="5" t="s">
        <v>4364</v>
      </c>
    </row>
    <row r="443" spans="1:12" x14ac:dyDescent="0.25">
      <c r="A443" s="5" t="s">
        <v>4896</v>
      </c>
      <c r="B443" s="157">
        <v>45841</v>
      </c>
      <c r="C443" s="5" t="s">
        <v>4402</v>
      </c>
      <c r="D443" s="5" t="s">
        <v>4360</v>
      </c>
      <c r="E443" s="5" t="s">
        <v>4395</v>
      </c>
      <c r="F443" s="5">
        <v>2</v>
      </c>
      <c r="G443" s="5">
        <v>1</v>
      </c>
      <c r="H443" s="5" t="s">
        <v>4367</v>
      </c>
      <c r="I443" s="5">
        <v>67803</v>
      </c>
      <c r="J443" s="5" t="s">
        <v>1256</v>
      </c>
      <c r="K443" s="5" t="s">
        <v>4375</v>
      </c>
      <c r="L443" s="5" t="s">
        <v>4370</v>
      </c>
    </row>
    <row r="444" spans="1:12" x14ac:dyDescent="0.25">
      <c r="A444" s="5" t="s">
        <v>4933</v>
      </c>
      <c r="B444" s="157">
        <v>45841</v>
      </c>
      <c r="C444" s="5" t="s">
        <v>4402</v>
      </c>
      <c r="D444" s="5" t="s">
        <v>4354</v>
      </c>
      <c r="E444" s="5" t="s">
        <v>4424</v>
      </c>
      <c r="F444" s="5">
        <v>2</v>
      </c>
      <c r="G444" s="5">
        <v>1</v>
      </c>
      <c r="H444" s="5" t="s">
        <v>4367</v>
      </c>
      <c r="I444" s="5">
        <v>49408</v>
      </c>
      <c r="J444" s="5" t="s">
        <v>4383</v>
      </c>
      <c r="K444" s="5" t="s">
        <v>4356</v>
      </c>
      <c r="L444" s="5" t="s">
        <v>1256</v>
      </c>
    </row>
    <row r="445" spans="1:12" x14ac:dyDescent="0.25">
      <c r="A445" s="5" t="s">
        <v>4471</v>
      </c>
      <c r="B445" s="157">
        <v>45843</v>
      </c>
      <c r="C445" s="5" t="s">
        <v>4366</v>
      </c>
      <c r="D445" s="5" t="s">
        <v>4382</v>
      </c>
      <c r="E445" s="5" t="s">
        <v>4378</v>
      </c>
      <c r="F445" s="5">
        <v>1</v>
      </c>
      <c r="G445" s="5">
        <v>3</v>
      </c>
      <c r="H445" s="5" t="s">
        <v>116</v>
      </c>
      <c r="I445" s="5">
        <v>64724</v>
      </c>
      <c r="J445" s="5" t="s">
        <v>4409</v>
      </c>
      <c r="K445" s="5" t="s">
        <v>1256</v>
      </c>
      <c r="L445" s="5" t="s">
        <v>4364</v>
      </c>
    </row>
    <row r="446" spans="1:12" x14ac:dyDescent="0.25">
      <c r="A446" s="5" t="s">
        <v>4966</v>
      </c>
      <c r="B446" s="157">
        <v>45844</v>
      </c>
      <c r="C446" s="5" t="s">
        <v>4415</v>
      </c>
      <c r="D446" s="5" t="s">
        <v>4372</v>
      </c>
      <c r="E446" s="5" t="s">
        <v>4386</v>
      </c>
      <c r="F446" s="5">
        <v>3</v>
      </c>
      <c r="G446" s="5">
        <v>0</v>
      </c>
      <c r="H446" s="5" t="s">
        <v>4367</v>
      </c>
      <c r="I446" s="5">
        <v>27924</v>
      </c>
      <c r="J446" s="5" t="s">
        <v>4362</v>
      </c>
      <c r="K446" s="5" t="s">
        <v>4375</v>
      </c>
      <c r="L446" s="5" t="s">
        <v>4357</v>
      </c>
    </row>
    <row r="447" spans="1:12" x14ac:dyDescent="0.25">
      <c r="A447" s="5" t="s">
        <v>4731</v>
      </c>
      <c r="B447" s="157">
        <v>45847</v>
      </c>
      <c r="C447" s="5" t="s">
        <v>4402</v>
      </c>
      <c r="D447" s="5" t="s">
        <v>4369</v>
      </c>
      <c r="E447" s="5" t="s">
        <v>4395</v>
      </c>
      <c r="F447" s="5">
        <v>2</v>
      </c>
      <c r="G447" s="5">
        <v>2</v>
      </c>
      <c r="H447" s="5" t="s">
        <v>4361</v>
      </c>
      <c r="I447" s="5">
        <v>27869</v>
      </c>
      <c r="J447" s="5" t="s">
        <v>4398</v>
      </c>
      <c r="K447" s="5" t="s">
        <v>4384</v>
      </c>
      <c r="L447" s="5" t="s">
        <v>4357</v>
      </c>
    </row>
    <row r="448" spans="1:12" x14ac:dyDescent="0.25">
      <c r="A448" s="5" t="s">
        <v>4999</v>
      </c>
      <c r="B448" s="157">
        <v>45854</v>
      </c>
      <c r="C448" s="5" t="s">
        <v>4353</v>
      </c>
      <c r="D448" s="5" t="s">
        <v>4395</v>
      </c>
      <c r="E448" s="5" t="s">
        <v>4373</v>
      </c>
      <c r="F448" s="5">
        <v>0</v>
      </c>
      <c r="G448" s="5">
        <v>1</v>
      </c>
      <c r="H448" s="5" t="s">
        <v>1256</v>
      </c>
      <c r="I448" s="5">
        <v>79186</v>
      </c>
      <c r="J448" s="5" t="s">
        <v>4413</v>
      </c>
      <c r="K448" s="5" t="s">
        <v>4384</v>
      </c>
      <c r="L448" s="5" t="s">
        <v>1256</v>
      </c>
    </row>
    <row r="449" spans="1:12" x14ac:dyDescent="0.25">
      <c r="A449" s="5" t="s">
        <v>4765</v>
      </c>
      <c r="B449" s="157">
        <v>45866</v>
      </c>
      <c r="C449" s="5" t="s">
        <v>4359</v>
      </c>
      <c r="D449" s="5" t="s">
        <v>4440</v>
      </c>
      <c r="E449" s="5" t="s">
        <v>4378</v>
      </c>
      <c r="F449" s="5">
        <v>2</v>
      </c>
      <c r="G449" s="5">
        <v>1</v>
      </c>
      <c r="H449" s="5" t="s">
        <v>4367</v>
      </c>
      <c r="I449" s="5">
        <v>75715</v>
      </c>
      <c r="J449" s="5" t="s">
        <v>4393</v>
      </c>
      <c r="K449" s="5" t="s">
        <v>1256</v>
      </c>
      <c r="L449" s="5" t="s">
        <v>4357</v>
      </c>
    </row>
    <row r="450" spans="1:12" x14ac:dyDescent="0.25">
      <c r="A450" s="5" t="s">
        <v>4655</v>
      </c>
      <c r="B450" s="157">
        <v>45867</v>
      </c>
      <c r="C450" s="5" t="s">
        <v>4415</v>
      </c>
      <c r="D450" s="5" t="s">
        <v>4412</v>
      </c>
      <c r="E450" s="5" t="s">
        <v>4412</v>
      </c>
      <c r="F450" s="5">
        <v>1</v>
      </c>
      <c r="G450" s="5">
        <v>1</v>
      </c>
      <c r="H450" s="5" t="s">
        <v>4361</v>
      </c>
      <c r="I450" s="5">
        <v>50733</v>
      </c>
      <c r="J450" s="5" t="s">
        <v>4413</v>
      </c>
      <c r="K450" s="5" t="s">
        <v>1256</v>
      </c>
      <c r="L450" s="5" t="s">
        <v>4389</v>
      </c>
    </row>
    <row r="451" spans="1:12" x14ac:dyDescent="0.25">
      <c r="A451" s="5" t="s">
        <v>4709</v>
      </c>
      <c r="B451" s="157">
        <v>45872</v>
      </c>
      <c r="C451" s="5" t="s">
        <v>4353</v>
      </c>
      <c r="D451" s="5" t="s">
        <v>4382</v>
      </c>
      <c r="E451" s="5" t="s">
        <v>5006</v>
      </c>
      <c r="F451" s="5">
        <v>1</v>
      </c>
      <c r="G451" s="5">
        <v>0</v>
      </c>
      <c r="H451" s="5" t="s">
        <v>4367</v>
      </c>
      <c r="I451" s="5">
        <v>31905</v>
      </c>
      <c r="J451" s="5" t="s">
        <v>4362</v>
      </c>
      <c r="K451" s="5" t="s">
        <v>4396</v>
      </c>
      <c r="L451" s="5" t="s">
        <v>4357</v>
      </c>
    </row>
    <row r="452" spans="1:12" x14ac:dyDescent="0.25">
      <c r="A452" s="5" t="s">
        <v>4764</v>
      </c>
      <c r="B452" s="157">
        <v>45872</v>
      </c>
      <c r="C452" s="5" t="s">
        <v>4353</v>
      </c>
      <c r="D452" s="5" t="s">
        <v>4412</v>
      </c>
      <c r="E452" s="5" t="s">
        <v>4373</v>
      </c>
      <c r="F452" s="5">
        <v>0</v>
      </c>
      <c r="G452" s="5">
        <v>1</v>
      </c>
      <c r="H452" s="5" t="s">
        <v>116</v>
      </c>
      <c r="I452" s="5">
        <v>58441</v>
      </c>
      <c r="J452" s="5" t="s">
        <v>4398</v>
      </c>
      <c r="K452" s="5" t="s">
        <v>4363</v>
      </c>
      <c r="L452" s="5" t="s">
        <v>4357</v>
      </c>
    </row>
    <row r="453" spans="1:12" x14ac:dyDescent="0.25">
      <c r="A453" s="5" t="s">
        <v>4653</v>
      </c>
      <c r="B453" s="157">
        <v>45873</v>
      </c>
      <c r="C453" s="5" t="s">
        <v>4415</v>
      </c>
      <c r="D453" s="5" t="s">
        <v>4470</v>
      </c>
      <c r="E453" s="5" t="s">
        <v>4360</v>
      </c>
      <c r="F453" s="5">
        <v>2</v>
      </c>
      <c r="G453" s="5">
        <v>4</v>
      </c>
      <c r="H453" s="5" t="s">
        <v>116</v>
      </c>
      <c r="I453" s="5">
        <v>41036</v>
      </c>
      <c r="J453" s="5" t="s">
        <v>4417</v>
      </c>
      <c r="K453" s="5" t="s">
        <v>4363</v>
      </c>
      <c r="L453" s="5" t="s">
        <v>4389</v>
      </c>
    </row>
    <row r="454" spans="1:12" x14ac:dyDescent="0.25">
      <c r="A454" s="5" t="s">
        <v>4781</v>
      </c>
      <c r="B454" s="157">
        <v>45876</v>
      </c>
      <c r="C454" s="5" t="s">
        <v>4366</v>
      </c>
      <c r="D454" s="5" t="s">
        <v>4373</v>
      </c>
      <c r="E454" s="5" t="s">
        <v>4372</v>
      </c>
      <c r="F454" s="5">
        <v>3</v>
      </c>
      <c r="G454" s="5">
        <v>1</v>
      </c>
      <c r="H454" s="5" t="s">
        <v>4367</v>
      </c>
      <c r="I454" s="5">
        <v>43679</v>
      </c>
      <c r="J454" s="5" t="s">
        <v>4383</v>
      </c>
      <c r="K454" s="5" t="s">
        <v>4384</v>
      </c>
      <c r="L454" s="5" t="s">
        <v>4357</v>
      </c>
    </row>
    <row r="455" spans="1:12" x14ac:dyDescent="0.25">
      <c r="A455" s="5" t="s">
        <v>4411</v>
      </c>
      <c r="B455" s="157">
        <v>45878</v>
      </c>
      <c r="C455" s="5" t="s">
        <v>4353</v>
      </c>
      <c r="D455" s="5" t="s">
        <v>4412</v>
      </c>
      <c r="E455" s="5" t="s">
        <v>4387</v>
      </c>
      <c r="F455" s="5">
        <v>0</v>
      </c>
      <c r="G455" s="5">
        <v>4</v>
      </c>
      <c r="H455" s="5" t="s">
        <v>116</v>
      </c>
      <c r="I455" s="5">
        <v>17493</v>
      </c>
      <c r="J455" s="5" t="s">
        <v>4413</v>
      </c>
      <c r="K455" s="5" t="s">
        <v>4399</v>
      </c>
      <c r="L455" s="5" t="s">
        <v>4357</v>
      </c>
    </row>
    <row r="456" spans="1:12" x14ac:dyDescent="0.25">
      <c r="A456" s="5" t="s">
        <v>4685</v>
      </c>
      <c r="B456" s="157">
        <v>45878</v>
      </c>
      <c r="C456" s="5" t="s">
        <v>4415</v>
      </c>
      <c r="D456" s="5" t="s">
        <v>4430</v>
      </c>
      <c r="E456" s="5" t="s">
        <v>4382</v>
      </c>
      <c r="F456" s="5">
        <v>0</v>
      </c>
      <c r="G456" s="5">
        <v>3</v>
      </c>
      <c r="H456" s="5" t="s">
        <v>116</v>
      </c>
      <c r="I456" s="5">
        <v>31892</v>
      </c>
      <c r="J456" s="5" t="s">
        <v>4442</v>
      </c>
      <c r="K456" s="5" t="s">
        <v>4405</v>
      </c>
      <c r="L456" s="5" t="s">
        <v>4364</v>
      </c>
    </row>
    <row r="457" spans="1:12" x14ac:dyDescent="0.25">
      <c r="A457" s="5" t="s">
        <v>4870</v>
      </c>
      <c r="B457" s="157">
        <v>45879</v>
      </c>
      <c r="C457" s="5" t="s">
        <v>4415</v>
      </c>
      <c r="D457" s="5" t="s">
        <v>4378</v>
      </c>
      <c r="E457" s="5" t="s">
        <v>4373</v>
      </c>
      <c r="F457" s="5">
        <v>1</v>
      </c>
      <c r="G457" s="5">
        <v>3</v>
      </c>
      <c r="H457" s="5" t="s">
        <v>116</v>
      </c>
      <c r="I457" s="5">
        <v>26867</v>
      </c>
      <c r="J457" s="5" t="s">
        <v>4442</v>
      </c>
      <c r="K457" s="5" t="s">
        <v>4396</v>
      </c>
      <c r="L457" s="5" t="s">
        <v>4389</v>
      </c>
    </row>
    <row r="458" spans="1:12" x14ac:dyDescent="0.25">
      <c r="A458" s="5" t="s">
        <v>4763</v>
      </c>
      <c r="B458" s="157">
        <v>45880</v>
      </c>
      <c r="C458" s="5" t="s">
        <v>4415</v>
      </c>
      <c r="D458" s="5" t="s">
        <v>4430</v>
      </c>
      <c r="E458" s="5" t="s">
        <v>4387</v>
      </c>
      <c r="F458" s="5">
        <v>1</v>
      </c>
      <c r="G458" s="5">
        <v>2</v>
      </c>
      <c r="H458" s="5" t="s">
        <v>116</v>
      </c>
      <c r="I458" s="5">
        <v>62879</v>
      </c>
      <c r="J458" s="5" t="s">
        <v>4417</v>
      </c>
      <c r="K458" s="5" t="s">
        <v>4375</v>
      </c>
      <c r="L458" s="5" t="s">
        <v>4364</v>
      </c>
    </row>
    <row r="459" spans="1:12" x14ac:dyDescent="0.25">
      <c r="A459" s="5" t="s">
        <v>4365</v>
      </c>
      <c r="B459" s="157">
        <v>45883</v>
      </c>
      <c r="C459" s="5" t="s">
        <v>4366</v>
      </c>
      <c r="D459" s="5" t="s">
        <v>5006</v>
      </c>
      <c r="E459" s="5" t="s">
        <v>4373</v>
      </c>
      <c r="F459" s="5">
        <v>1</v>
      </c>
      <c r="G459" s="5">
        <v>0</v>
      </c>
      <c r="H459" s="5" t="s">
        <v>4367</v>
      </c>
      <c r="I459" s="5">
        <v>58181</v>
      </c>
      <c r="J459" s="5" t="s">
        <v>4355</v>
      </c>
      <c r="K459" s="5" t="s">
        <v>4356</v>
      </c>
      <c r="L459" s="5" t="s">
        <v>4357</v>
      </c>
    </row>
    <row r="460" spans="1:12" x14ac:dyDescent="0.25">
      <c r="A460" s="5" t="s">
        <v>4901</v>
      </c>
      <c r="B460" s="157">
        <v>45884</v>
      </c>
      <c r="C460" s="5" t="s">
        <v>4366</v>
      </c>
      <c r="D460" s="5" t="s">
        <v>4395</v>
      </c>
      <c r="E460" s="5" t="s">
        <v>4377</v>
      </c>
      <c r="F460" s="5">
        <v>6</v>
      </c>
      <c r="G460" s="5">
        <v>4</v>
      </c>
      <c r="H460" s="5" t="s">
        <v>4367</v>
      </c>
      <c r="I460" s="5">
        <v>12933</v>
      </c>
      <c r="J460" s="5" t="s">
        <v>4398</v>
      </c>
      <c r="K460" s="5" t="s">
        <v>4375</v>
      </c>
      <c r="L460" s="5" t="s">
        <v>1256</v>
      </c>
    </row>
    <row r="461" spans="1:12" x14ac:dyDescent="0.25">
      <c r="A461" s="5" t="s">
        <v>4495</v>
      </c>
      <c r="B461" s="157">
        <v>45886</v>
      </c>
      <c r="C461" s="5" t="s">
        <v>4353</v>
      </c>
      <c r="D461" s="5" t="s">
        <v>4440</v>
      </c>
      <c r="E461" s="5" t="s">
        <v>5006</v>
      </c>
      <c r="F461" s="5">
        <v>2</v>
      </c>
      <c r="G461" s="5">
        <v>0</v>
      </c>
      <c r="H461" s="5" t="s">
        <v>4367</v>
      </c>
      <c r="I461" s="5">
        <v>46001</v>
      </c>
      <c r="J461" s="5" t="s">
        <v>4383</v>
      </c>
      <c r="K461" s="5" t="s">
        <v>4399</v>
      </c>
      <c r="L461" s="5" t="s">
        <v>1256</v>
      </c>
    </row>
    <row r="462" spans="1:12" x14ac:dyDescent="0.25">
      <c r="A462" s="5" t="s">
        <v>4675</v>
      </c>
      <c r="B462" s="157">
        <v>45886</v>
      </c>
      <c r="C462" s="5" t="s">
        <v>4415</v>
      </c>
      <c r="D462" s="5" t="s">
        <v>4424</v>
      </c>
      <c r="E462" s="5" t="s">
        <v>4373</v>
      </c>
      <c r="F462" s="5">
        <v>3</v>
      </c>
      <c r="G462" s="5">
        <v>1</v>
      </c>
      <c r="H462" s="5" t="s">
        <v>4367</v>
      </c>
      <c r="I462" s="5">
        <v>0</v>
      </c>
      <c r="J462" s="5" t="s">
        <v>4442</v>
      </c>
      <c r="K462" s="5" t="s">
        <v>4384</v>
      </c>
      <c r="L462" s="5" t="s">
        <v>4364</v>
      </c>
    </row>
    <row r="463" spans="1:12" x14ac:dyDescent="0.25">
      <c r="A463" s="5" t="s">
        <v>4480</v>
      </c>
      <c r="B463" s="157">
        <v>45887</v>
      </c>
      <c r="C463" s="5" t="s">
        <v>4415</v>
      </c>
      <c r="D463" s="5" t="s">
        <v>4372</v>
      </c>
      <c r="E463" s="5" t="s">
        <v>4470</v>
      </c>
      <c r="F463" s="5">
        <v>1</v>
      </c>
      <c r="G463" s="5">
        <v>1</v>
      </c>
      <c r="H463" s="5" t="s">
        <v>4361</v>
      </c>
      <c r="I463" s="5">
        <v>76990</v>
      </c>
      <c r="J463" s="5" t="s">
        <v>4380</v>
      </c>
      <c r="K463" s="5" t="s">
        <v>1256</v>
      </c>
      <c r="L463" s="5" t="s">
        <v>4357</v>
      </c>
    </row>
    <row r="464" spans="1:12" x14ac:dyDescent="0.25">
      <c r="A464" s="5" t="s">
        <v>4658</v>
      </c>
      <c r="B464" s="157">
        <v>45889</v>
      </c>
      <c r="C464" s="5" t="s">
        <v>4415</v>
      </c>
      <c r="D464" s="5" t="s">
        <v>4382</v>
      </c>
      <c r="E464" s="5" t="s">
        <v>4440</v>
      </c>
      <c r="F464" s="5">
        <v>4</v>
      </c>
      <c r="G464" s="5">
        <v>2</v>
      </c>
      <c r="H464" s="5" t="s">
        <v>4367</v>
      </c>
      <c r="I464" s="5">
        <v>60684</v>
      </c>
      <c r="J464" s="5" t="s">
        <v>4388</v>
      </c>
      <c r="K464" s="5" t="s">
        <v>4384</v>
      </c>
      <c r="L464" s="5" t="s">
        <v>4357</v>
      </c>
    </row>
    <row r="465" spans="1:12" x14ac:dyDescent="0.25">
      <c r="A465" s="5" t="s">
        <v>4585</v>
      </c>
      <c r="B465" s="157">
        <v>45890</v>
      </c>
      <c r="C465" s="5" t="s">
        <v>4353</v>
      </c>
      <c r="D465" s="5" t="s">
        <v>4382</v>
      </c>
      <c r="E465" s="5" t="s">
        <v>4387</v>
      </c>
      <c r="F465" s="5">
        <v>1</v>
      </c>
      <c r="G465" s="5">
        <v>1</v>
      </c>
      <c r="H465" s="5" t="s">
        <v>4361</v>
      </c>
      <c r="I465" s="5">
        <v>9351</v>
      </c>
      <c r="J465" s="5" t="s">
        <v>4413</v>
      </c>
      <c r="K465" s="5" t="s">
        <v>4356</v>
      </c>
      <c r="L465" s="5" t="s">
        <v>1256</v>
      </c>
    </row>
    <row r="466" spans="1:12" x14ac:dyDescent="0.25">
      <c r="A466" s="5" t="s">
        <v>4493</v>
      </c>
      <c r="B466" s="157">
        <v>45892</v>
      </c>
      <c r="C466" s="5" t="s">
        <v>4402</v>
      </c>
      <c r="D466" s="5" t="s">
        <v>4412</v>
      </c>
      <c r="E466" s="5" t="s">
        <v>4440</v>
      </c>
      <c r="F466" s="5">
        <v>1</v>
      </c>
      <c r="G466" s="5">
        <v>2</v>
      </c>
      <c r="H466" s="5" t="s">
        <v>116</v>
      </c>
      <c r="I466" s="5">
        <v>71222</v>
      </c>
      <c r="J466" s="5" t="s">
        <v>4417</v>
      </c>
      <c r="K466" s="5" t="s">
        <v>4356</v>
      </c>
      <c r="L466" s="5" t="s">
        <v>4389</v>
      </c>
    </row>
    <row r="467" spans="1:12" x14ac:dyDescent="0.25">
      <c r="A467" s="5" t="s">
        <v>4794</v>
      </c>
      <c r="B467" s="157">
        <v>45893</v>
      </c>
      <c r="C467" s="5" t="s">
        <v>4415</v>
      </c>
      <c r="D467" s="5" t="s">
        <v>4387</v>
      </c>
      <c r="E467" s="5" t="s">
        <v>4470</v>
      </c>
      <c r="F467" s="5">
        <v>3</v>
      </c>
      <c r="G467" s="5">
        <v>1</v>
      </c>
      <c r="H467" s="5" t="s">
        <v>4367</v>
      </c>
      <c r="I467" s="5">
        <v>62244</v>
      </c>
      <c r="J467" s="5" t="s">
        <v>4374</v>
      </c>
      <c r="K467" s="5" t="s">
        <v>4384</v>
      </c>
      <c r="L467" s="5" t="s">
        <v>4364</v>
      </c>
    </row>
    <row r="468" spans="1:12" x14ac:dyDescent="0.25">
      <c r="A468" s="5" t="s">
        <v>4804</v>
      </c>
      <c r="B468" s="157">
        <v>45895</v>
      </c>
      <c r="C468" s="5" t="s">
        <v>4366</v>
      </c>
      <c r="D468" s="5" t="s">
        <v>5006</v>
      </c>
      <c r="E468" s="5" t="s">
        <v>4387</v>
      </c>
      <c r="F468" s="5">
        <v>3</v>
      </c>
      <c r="G468" s="5">
        <v>2</v>
      </c>
      <c r="H468" s="5" t="s">
        <v>4367</v>
      </c>
      <c r="I468" s="5">
        <v>36987</v>
      </c>
      <c r="J468" s="5" t="s">
        <v>4409</v>
      </c>
      <c r="K468" s="5" t="s">
        <v>4384</v>
      </c>
      <c r="L468" s="5" t="s">
        <v>4364</v>
      </c>
    </row>
    <row r="469" spans="1:12" x14ac:dyDescent="0.25">
      <c r="A469" s="5" t="s">
        <v>4624</v>
      </c>
      <c r="B469" s="157">
        <v>45899</v>
      </c>
      <c r="C469" s="5" t="s">
        <v>4353</v>
      </c>
      <c r="D469" s="5" t="s">
        <v>4387</v>
      </c>
      <c r="E469" s="5" t="s">
        <v>4412</v>
      </c>
      <c r="F469" s="5">
        <v>2</v>
      </c>
      <c r="G469" s="5">
        <v>1</v>
      </c>
      <c r="H469" s="5" t="s">
        <v>4367</v>
      </c>
      <c r="I469" s="5">
        <v>34547</v>
      </c>
      <c r="J469" s="5" t="s">
        <v>4383</v>
      </c>
      <c r="K469" s="5" t="s">
        <v>4399</v>
      </c>
      <c r="L469" s="5" t="s">
        <v>1256</v>
      </c>
    </row>
    <row r="470" spans="1:12" x14ac:dyDescent="0.25">
      <c r="A470" s="5" t="s">
        <v>4566</v>
      </c>
      <c r="B470" s="157">
        <v>45902</v>
      </c>
      <c r="C470" s="5" t="s">
        <v>4353</v>
      </c>
      <c r="D470" s="5" t="s">
        <v>4395</v>
      </c>
      <c r="E470" s="5" t="s">
        <v>4403</v>
      </c>
      <c r="F470" s="5">
        <v>0</v>
      </c>
      <c r="G470" s="5">
        <v>0</v>
      </c>
      <c r="H470" s="5" t="s">
        <v>1256</v>
      </c>
      <c r="I470" s="5">
        <v>23371</v>
      </c>
      <c r="J470" s="5" t="s">
        <v>4393</v>
      </c>
      <c r="K470" s="5" t="s">
        <v>4375</v>
      </c>
      <c r="L470" s="5" t="s">
        <v>1256</v>
      </c>
    </row>
    <row r="471" spans="1:12" x14ac:dyDescent="0.25">
      <c r="A471" s="5" t="s">
        <v>4605</v>
      </c>
      <c r="B471" s="157">
        <v>45902</v>
      </c>
      <c r="C471" s="5" t="s">
        <v>4366</v>
      </c>
      <c r="D471" s="5" t="s">
        <v>4373</v>
      </c>
      <c r="E471" s="5" t="s">
        <v>4378</v>
      </c>
      <c r="F471" s="5">
        <v>0</v>
      </c>
      <c r="G471" s="5">
        <v>1</v>
      </c>
      <c r="H471" s="5" t="s">
        <v>116</v>
      </c>
      <c r="I471" s="5">
        <v>75116</v>
      </c>
      <c r="J471" s="5" t="s">
        <v>4355</v>
      </c>
      <c r="K471" s="5" t="s">
        <v>4356</v>
      </c>
      <c r="L471" s="5" t="s">
        <v>4357</v>
      </c>
    </row>
    <row r="472" spans="1:12" x14ac:dyDescent="0.25">
      <c r="A472" s="5" t="s">
        <v>4911</v>
      </c>
      <c r="B472" s="157">
        <v>45903</v>
      </c>
      <c r="C472" s="5" t="s">
        <v>4415</v>
      </c>
      <c r="D472" s="5" t="s">
        <v>4387</v>
      </c>
      <c r="E472" s="5" t="s">
        <v>4378</v>
      </c>
      <c r="F472" s="5">
        <v>2</v>
      </c>
      <c r="G472" s="5">
        <v>2</v>
      </c>
      <c r="H472" s="5" t="s">
        <v>4361</v>
      </c>
      <c r="I472" s="5">
        <v>18362</v>
      </c>
      <c r="J472" s="5" t="s">
        <v>4355</v>
      </c>
      <c r="K472" s="5" t="s">
        <v>4356</v>
      </c>
      <c r="L472" s="5" t="s">
        <v>4364</v>
      </c>
    </row>
    <row r="473" spans="1:12" x14ac:dyDescent="0.25">
      <c r="A473" s="5" t="s">
        <v>4479</v>
      </c>
      <c r="B473" s="157">
        <v>45903</v>
      </c>
      <c r="C473" s="5" t="s">
        <v>4353</v>
      </c>
      <c r="D473" s="5" t="s">
        <v>4412</v>
      </c>
      <c r="E473" s="5" t="s">
        <v>4386</v>
      </c>
      <c r="F473" s="5">
        <v>1</v>
      </c>
      <c r="G473" s="5">
        <v>0</v>
      </c>
      <c r="H473" s="5" t="s">
        <v>4367</v>
      </c>
      <c r="I473" s="5">
        <v>78720</v>
      </c>
      <c r="J473" s="5" t="s">
        <v>4388</v>
      </c>
      <c r="K473" s="5" t="s">
        <v>4399</v>
      </c>
      <c r="L473" s="5" t="s">
        <v>4364</v>
      </c>
    </row>
    <row r="474" spans="1:12" x14ac:dyDescent="0.25">
      <c r="A474" s="5" t="s">
        <v>4648</v>
      </c>
      <c r="B474" s="157">
        <v>45904</v>
      </c>
      <c r="C474" s="5" t="s">
        <v>4402</v>
      </c>
      <c r="D474" s="5" t="s">
        <v>4373</v>
      </c>
      <c r="E474" s="5" t="s">
        <v>4395</v>
      </c>
      <c r="F474" s="5">
        <v>0</v>
      </c>
      <c r="G474" s="5">
        <v>0</v>
      </c>
      <c r="H474" s="5" t="s">
        <v>4361</v>
      </c>
      <c r="I474" s="5">
        <v>70092</v>
      </c>
      <c r="J474" s="5" t="s">
        <v>1256</v>
      </c>
      <c r="K474" s="5" t="s">
        <v>4399</v>
      </c>
      <c r="L474" s="5" t="s">
        <v>4389</v>
      </c>
    </row>
    <row r="475" spans="1:12" x14ac:dyDescent="0.25">
      <c r="A475" s="5" t="s">
        <v>4556</v>
      </c>
      <c r="B475" s="157">
        <v>45910</v>
      </c>
      <c r="C475" s="5" t="s">
        <v>4415</v>
      </c>
      <c r="D475" s="5" t="s">
        <v>4378</v>
      </c>
      <c r="E475" s="5" t="s">
        <v>4386</v>
      </c>
      <c r="F475" s="5">
        <v>2</v>
      </c>
      <c r="G475" s="5">
        <v>0</v>
      </c>
      <c r="H475" s="5" t="s">
        <v>4367</v>
      </c>
      <c r="I475" s="5">
        <v>54888</v>
      </c>
      <c r="J475" s="5" t="s">
        <v>4442</v>
      </c>
      <c r="K475" s="5" t="s">
        <v>4375</v>
      </c>
      <c r="L475" s="5" t="s">
        <v>4364</v>
      </c>
    </row>
    <row r="476" spans="1:12" x14ac:dyDescent="0.25">
      <c r="A476" s="5" t="s">
        <v>4783</v>
      </c>
      <c r="B476" s="157">
        <v>45910</v>
      </c>
      <c r="C476" s="5" t="s">
        <v>4366</v>
      </c>
      <c r="D476" s="5" t="s">
        <v>4386</v>
      </c>
      <c r="E476" s="5" t="s">
        <v>4470</v>
      </c>
      <c r="F476" s="5">
        <v>0</v>
      </c>
      <c r="G476" s="5">
        <v>0</v>
      </c>
      <c r="H476" s="5" t="s">
        <v>4361</v>
      </c>
      <c r="I476" s="5">
        <v>60153</v>
      </c>
      <c r="J476" s="5" t="s">
        <v>4442</v>
      </c>
      <c r="K476" s="5" t="s">
        <v>1256</v>
      </c>
      <c r="L476" s="5" t="s">
        <v>4357</v>
      </c>
    </row>
    <row r="477" spans="1:12" x14ac:dyDescent="0.25">
      <c r="A477" s="5" t="s">
        <v>4604</v>
      </c>
      <c r="B477" s="157">
        <v>45915</v>
      </c>
      <c r="C477" s="5" t="s">
        <v>4366</v>
      </c>
      <c r="D477" s="5" t="s">
        <v>4378</v>
      </c>
      <c r="E477" s="5" t="s">
        <v>4386</v>
      </c>
      <c r="F477" s="5">
        <v>2</v>
      </c>
      <c r="G477" s="5">
        <v>1</v>
      </c>
      <c r="H477" s="5" t="s">
        <v>4367</v>
      </c>
      <c r="I477" s="5">
        <v>71907</v>
      </c>
      <c r="J477" s="5" t="s">
        <v>4388</v>
      </c>
      <c r="K477" s="5" t="s">
        <v>4396</v>
      </c>
      <c r="L477" s="5" t="s">
        <v>4364</v>
      </c>
    </row>
    <row r="478" spans="1:12" x14ac:dyDescent="0.25">
      <c r="A478" s="5" t="s">
        <v>4612</v>
      </c>
      <c r="B478" s="157">
        <v>45915</v>
      </c>
      <c r="C478" s="5" t="s">
        <v>1256</v>
      </c>
      <c r="D478" s="5" t="s">
        <v>4440</v>
      </c>
      <c r="E478" s="5" t="s">
        <v>4386</v>
      </c>
      <c r="F478" s="5">
        <v>4</v>
      </c>
      <c r="G478" s="5">
        <v>1</v>
      </c>
      <c r="H478" s="5" t="s">
        <v>4367</v>
      </c>
      <c r="I478" s="5">
        <v>62470</v>
      </c>
      <c r="J478" s="5" t="s">
        <v>4380</v>
      </c>
      <c r="K478" s="5" t="s">
        <v>4363</v>
      </c>
      <c r="L478" s="5" t="s">
        <v>1256</v>
      </c>
    </row>
    <row r="479" spans="1:12" x14ac:dyDescent="0.25">
      <c r="A479" s="5" t="s">
        <v>4563</v>
      </c>
      <c r="B479" s="157">
        <v>45916</v>
      </c>
      <c r="C479" s="5" t="s">
        <v>4366</v>
      </c>
      <c r="D479" s="5" t="s">
        <v>4373</v>
      </c>
      <c r="E479" s="5" t="s">
        <v>4424</v>
      </c>
      <c r="F479" s="5">
        <v>3</v>
      </c>
      <c r="G479" s="5">
        <v>2</v>
      </c>
      <c r="H479" s="5" t="s">
        <v>4367</v>
      </c>
      <c r="I479" s="5">
        <v>38081</v>
      </c>
      <c r="J479" s="5" t="s">
        <v>4413</v>
      </c>
      <c r="K479" s="5" t="s">
        <v>1256</v>
      </c>
      <c r="L479" s="5" t="s">
        <v>4364</v>
      </c>
    </row>
    <row r="480" spans="1:12" x14ac:dyDescent="0.25">
      <c r="A480" s="5" t="s">
        <v>4989</v>
      </c>
      <c r="B480" s="157">
        <v>45916</v>
      </c>
      <c r="C480" s="5" t="s">
        <v>4366</v>
      </c>
      <c r="D480" s="5" t="s">
        <v>4403</v>
      </c>
      <c r="E480" s="5" t="s">
        <v>4424</v>
      </c>
      <c r="F480" s="5">
        <v>2</v>
      </c>
      <c r="G480" s="5">
        <v>1</v>
      </c>
      <c r="H480" s="5" t="s">
        <v>4367</v>
      </c>
      <c r="I480" s="5">
        <v>28209</v>
      </c>
      <c r="J480" s="5" t="s">
        <v>4383</v>
      </c>
      <c r="K480" s="5" t="s">
        <v>4375</v>
      </c>
      <c r="L480" s="5" t="s">
        <v>1256</v>
      </c>
    </row>
    <row r="481" spans="1:12" x14ac:dyDescent="0.25">
      <c r="A481" s="5" t="s">
        <v>4988</v>
      </c>
      <c r="B481" s="157">
        <v>45921</v>
      </c>
      <c r="C481" s="5" t="s">
        <v>4353</v>
      </c>
      <c r="D481" s="5" t="s">
        <v>4369</v>
      </c>
      <c r="E481" s="5" t="s">
        <v>4440</v>
      </c>
      <c r="F481" s="5">
        <v>4</v>
      </c>
      <c r="G481" s="5">
        <v>3</v>
      </c>
      <c r="H481" s="5" t="s">
        <v>4367</v>
      </c>
      <c r="I481" s="5">
        <v>46221</v>
      </c>
      <c r="J481" s="5" t="s">
        <v>4380</v>
      </c>
      <c r="K481" s="5" t="s">
        <v>1256</v>
      </c>
      <c r="L481" s="5" t="s">
        <v>4364</v>
      </c>
    </row>
    <row r="482" spans="1:12" x14ac:dyDescent="0.25">
      <c r="A482" s="5" t="s">
        <v>4832</v>
      </c>
      <c r="B482" s="157">
        <v>45924</v>
      </c>
      <c r="C482" s="5" t="s">
        <v>4415</v>
      </c>
      <c r="D482" s="5" t="s">
        <v>4412</v>
      </c>
      <c r="E482" s="5" t="s">
        <v>4386</v>
      </c>
      <c r="F482" s="5">
        <v>1</v>
      </c>
      <c r="G482" s="5">
        <v>2</v>
      </c>
      <c r="H482" s="5" t="s">
        <v>116</v>
      </c>
      <c r="I482" s="5">
        <v>59139</v>
      </c>
      <c r="J482" s="5" t="s">
        <v>4442</v>
      </c>
      <c r="K482" s="5" t="s">
        <v>1256</v>
      </c>
      <c r="L482" s="5" t="s">
        <v>4364</v>
      </c>
    </row>
    <row r="483" spans="1:12" x14ac:dyDescent="0.25">
      <c r="A483" s="5" t="s">
        <v>4448</v>
      </c>
      <c r="B483" s="157">
        <v>45924</v>
      </c>
      <c r="C483" s="5" t="s">
        <v>4359</v>
      </c>
      <c r="D483" s="5" t="s">
        <v>4387</v>
      </c>
      <c r="E483" s="5" t="s">
        <v>4430</v>
      </c>
      <c r="F483" s="5">
        <v>2</v>
      </c>
      <c r="G483" s="5">
        <v>4</v>
      </c>
      <c r="H483" s="5" t="s">
        <v>116</v>
      </c>
      <c r="I483" s="5">
        <v>37760</v>
      </c>
      <c r="J483" s="5" t="s">
        <v>4417</v>
      </c>
      <c r="K483" s="5" t="s">
        <v>4356</v>
      </c>
      <c r="L483" s="5" t="s">
        <v>4364</v>
      </c>
    </row>
    <row r="484" spans="1:12" x14ac:dyDescent="0.25">
      <c r="A484" s="5" t="s">
        <v>4724</v>
      </c>
      <c r="B484" s="157">
        <v>45925</v>
      </c>
      <c r="C484" s="5" t="s">
        <v>4366</v>
      </c>
      <c r="D484" s="5" t="s">
        <v>4377</v>
      </c>
      <c r="E484" s="5" t="s">
        <v>4412</v>
      </c>
      <c r="F484" s="5">
        <v>1</v>
      </c>
      <c r="G484" s="5">
        <v>1</v>
      </c>
      <c r="H484" s="5" t="s">
        <v>4361</v>
      </c>
      <c r="I484" s="5">
        <v>26075</v>
      </c>
      <c r="J484" s="5" t="s">
        <v>4421</v>
      </c>
      <c r="K484" s="5" t="s">
        <v>4384</v>
      </c>
      <c r="L484" s="5" t="s">
        <v>4370</v>
      </c>
    </row>
    <row r="485" spans="1:12" x14ac:dyDescent="0.25">
      <c r="A485" s="5" t="s">
        <v>4465</v>
      </c>
      <c r="B485" s="157">
        <v>45927</v>
      </c>
      <c r="C485" s="5" t="s">
        <v>4402</v>
      </c>
      <c r="D485" s="5" t="s">
        <v>4386</v>
      </c>
      <c r="E485" s="5" t="s">
        <v>4424</v>
      </c>
      <c r="F485" s="5">
        <v>4</v>
      </c>
      <c r="G485" s="5">
        <v>3</v>
      </c>
      <c r="H485" s="5" t="s">
        <v>4367</v>
      </c>
      <c r="I485" s="5">
        <v>79557</v>
      </c>
      <c r="J485" s="5" t="s">
        <v>4388</v>
      </c>
      <c r="K485" s="5" t="s">
        <v>4356</v>
      </c>
      <c r="L485" s="5" t="s">
        <v>4364</v>
      </c>
    </row>
    <row r="486" spans="1:12" x14ac:dyDescent="0.25">
      <c r="A486" s="5" t="s">
        <v>4705</v>
      </c>
      <c r="B486" s="157">
        <v>45928</v>
      </c>
      <c r="C486" s="5" t="s">
        <v>4353</v>
      </c>
      <c r="D486" s="5" t="s">
        <v>4395</v>
      </c>
      <c r="E486" s="5" t="s">
        <v>4403</v>
      </c>
      <c r="F486" s="5">
        <v>3</v>
      </c>
      <c r="G486" s="5">
        <v>2</v>
      </c>
      <c r="H486" s="5" t="s">
        <v>4367</v>
      </c>
      <c r="I486" s="5">
        <v>0</v>
      </c>
      <c r="J486" s="5" t="s">
        <v>1256</v>
      </c>
      <c r="K486" s="5" t="s">
        <v>1256</v>
      </c>
      <c r="L486" s="5" t="s">
        <v>4389</v>
      </c>
    </row>
    <row r="487" spans="1:12" x14ac:dyDescent="0.25">
      <c r="A487" s="5" t="s">
        <v>4615</v>
      </c>
      <c r="B487" s="157">
        <v>45930</v>
      </c>
      <c r="C487" s="5" t="s">
        <v>4366</v>
      </c>
      <c r="D487" s="5" t="s">
        <v>4424</v>
      </c>
      <c r="E487" s="5" t="s">
        <v>4360</v>
      </c>
      <c r="F487" s="5">
        <v>1</v>
      </c>
      <c r="G487" s="5">
        <v>3</v>
      </c>
      <c r="H487" s="5" t="s">
        <v>116</v>
      </c>
      <c r="I487" s="5">
        <v>35652</v>
      </c>
      <c r="J487" s="5" t="s">
        <v>4362</v>
      </c>
      <c r="K487" s="5" t="s">
        <v>4384</v>
      </c>
      <c r="L487" s="5" t="s">
        <v>4389</v>
      </c>
    </row>
    <row r="488" spans="1:12" x14ac:dyDescent="0.25">
      <c r="A488" s="5" t="s">
        <v>4644</v>
      </c>
      <c r="B488" s="157">
        <v>45931</v>
      </c>
      <c r="C488" s="5" t="s">
        <v>4353</v>
      </c>
      <c r="D488" s="5" t="s">
        <v>4395</v>
      </c>
      <c r="E488" s="5" t="s">
        <v>4412</v>
      </c>
      <c r="F488" s="5">
        <v>0</v>
      </c>
      <c r="G488" s="5">
        <v>3</v>
      </c>
      <c r="H488" s="5" t="s">
        <v>116</v>
      </c>
      <c r="I488" s="5">
        <v>12785</v>
      </c>
      <c r="J488" s="5" t="s">
        <v>4388</v>
      </c>
      <c r="K488" s="5" t="s">
        <v>4384</v>
      </c>
      <c r="L488" s="5" t="s">
        <v>4364</v>
      </c>
    </row>
    <row r="489" spans="1:12" x14ac:dyDescent="0.25">
      <c r="A489" s="5" t="s">
        <v>4536</v>
      </c>
      <c r="B489" s="157">
        <v>45932</v>
      </c>
      <c r="C489" s="5" t="s">
        <v>4366</v>
      </c>
      <c r="D489" s="5" t="s">
        <v>4360</v>
      </c>
      <c r="E489" s="5" t="s">
        <v>4403</v>
      </c>
      <c r="F489" s="5">
        <v>5</v>
      </c>
      <c r="G489" s="5">
        <v>5</v>
      </c>
      <c r="H489" s="5" t="s">
        <v>4361</v>
      </c>
      <c r="I489" s="5">
        <v>14077</v>
      </c>
      <c r="J489" s="5" t="s">
        <v>4409</v>
      </c>
      <c r="K489" s="5" t="s">
        <v>4384</v>
      </c>
      <c r="L489" s="5" t="s">
        <v>1256</v>
      </c>
    </row>
    <row r="490" spans="1:12" x14ac:dyDescent="0.25">
      <c r="A490" s="5" t="s">
        <v>4830</v>
      </c>
      <c r="B490" s="157">
        <v>45934</v>
      </c>
      <c r="C490" s="5" t="s">
        <v>4366</v>
      </c>
      <c r="D490" s="5" t="s">
        <v>4386</v>
      </c>
      <c r="E490" s="5" t="s">
        <v>4373</v>
      </c>
      <c r="F490" s="5">
        <v>3</v>
      </c>
      <c r="G490" s="5">
        <v>1</v>
      </c>
      <c r="H490" s="5" t="s">
        <v>4367</v>
      </c>
      <c r="I490" s="5">
        <v>51980</v>
      </c>
      <c r="J490" s="5" t="s">
        <v>1256</v>
      </c>
      <c r="K490" s="5" t="s">
        <v>4356</v>
      </c>
      <c r="L490" s="5" t="s">
        <v>1256</v>
      </c>
    </row>
    <row r="491" spans="1:12" x14ac:dyDescent="0.25">
      <c r="A491" s="5" t="s">
        <v>4613</v>
      </c>
      <c r="B491" s="157">
        <v>45934</v>
      </c>
      <c r="C491" s="5" t="s">
        <v>4415</v>
      </c>
      <c r="D491" s="5" t="s">
        <v>4412</v>
      </c>
      <c r="E491" s="5" t="s">
        <v>4369</v>
      </c>
      <c r="F491" s="5">
        <v>1</v>
      </c>
      <c r="G491" s="5">
        <v>0</v>
      </c>
      <c r="H491" s="5" t="s">
        <v>4367</v>
      </c>
      <c r="I491" s="5">
        <v>23617</v>
      </c>
      <c r="J491" s="5" t="s">
        <v>1256</v>
      </c>
      <c r="K491" s="5" t="s">
        <v>1256</v>
      </c>
      <c r="L491" s="5" t="s">
        <v>4357</v>
      </c>
    </row>
    <row r="492" spans="1:12" x14ac:dyDescent="0.25">
      <c r="A492" s="5" t="s">
        <v>4791</v>
      </c>
      <c r="B492" s="157">
        <v>45937</v>
      </c>
      <c r="C492" s="5" t="s">
        <v>4359</v>
      </c>
      <c r="D492" s="5" t="s">
        <v>4412</v>
      </c>
      <c r="E492" s="5" t="s">
        <v>4403</v>
      </c>
      <c r="F492" s="5">
        <v>2</v>
      </c>
      <c r="G492" s="5">
        <v>4</v>
      </c>
      <c r="H492" s="5" t="s">
        <v>116</v>
      </c>
      <c r="I492" s="5">
        <v>45798</v>
      </c>
      <c r="J492" s="5" t="s">
        <v>4393</v>
      </c>
      <c r="K492" s="5" t="s">
        <v>1256</v>
      </c>
      <c r="L492" s="5" t="s">
        <v>4364</v>
      </c>
    </row>
    <row r="493" spans="1:12" x14ac:dyDescent="0.25">
      <c r="A493" s="5" t="s">
        <v>4619</v>
      </c>
      <c r="B493" s="157">
        <v>45938</v>
      </c>
      <c r="C493" s="5" t="s">
        <v>4415</v>
      </c>
      <c r="D493" s="5" t="s">
        <v>4424</v>
      </c>
      <c r="E493" s="5" t="s">
        <v>4440</v>
      </c>
      <c r="F493" s="5">
        <v>1</v>
      </c>
      <c r="G493" s="5">
        <v>2</v>
      </c>
      <c r="H493" s="5" t="s">
        <v>116</v>
      </c>
      <c r="I493" s="5">
        <v>70236</v>
      </c>
      <c r="J493" s="5" t="s">
        <v>4413</v>
      </c>
      <c r="K493" s="5" t="s">
        <v>4375</v>
      </c>
      <c r="L493" s="5" t="s">
        <v>4357</v>
      </c>
    </row>
    <row r="494" spans="1:12" x14ac:dyDescent="0.25">
      <c r="A494" s="5" t="s">
        <v>4734</v>
      </c>
      <c r="B494" s="157">
        <v>45939</v>
      </c>
      <c r="C494" s="5" t="s">
        <v>4402</v>
      </c>
      <c r="D494" s="5" t="s">
        <v>4372</v>
      </c>
      <c r="E494" s="5" t="s">
        <v>4387</v>
      </c>
      <c r="F494" s="5">
        <v>4</v>
      </c>
      <c r="G494" s="5">
        <v>1</v>
      </c>
      <c r="H494" s="5" t="s">
        <v>4367</v>
      </c>
      <c r="I494" s="5">
        <v>48357</v>
      </c>
      <c r="J494" s="5" t="s">
        <v>4355</v>
      </c>
      <c r="K494" s="5" t="s">
        <v>4405</v>
      </c>
      <c r="L494" s="5" t="s">
        <v>4370</v>
      </c>
    </row>
    <row r="495" spans="1:12" x14ac:dyDescent="0.25">
      <c r="A495" s="5" t="s">
        <v>4689</v>
      </c>
      <c r="B495" s="157">
        <v>45939</v>
      </c>
      <c r="C495" s="5" t="s">
        <v>4402</v>
      </c>
      <c r="D495" s="5" t="s">
        <v>4369</v>
      </c>
      <c r="E495" s="5" t="s">
        <v>4360</v>
      </c>
      <c r="F495" s="5">
        <v>2</v>
      </c>
      <c r="G495" s="5">
        <v>1</v>
      </c>
      <c r="H495" s="5" t="s">
        <v>4367</v>
      </c>
      <c r="I495" s="5">
        <v>55502</v>
      </c>
      <c r="J495" s="5" t="s">
        <v>4362</v>
      </c>
      <c r="K495" s="5" t="s">
        <v>4399</v>
      </c>
      <c r="L495" s="5" t="s">
        <v>1256</v>
      </c>
    </row>
    <row r="496" spans="1:12" x14ac:dyDescent="0.25">
      <c r="A496" s="5" t="s">
        <v>4584</v>
      </c>
      <c r="B496" s="157">
        <v>45942</v>
      </c>
      <c r="C496" s="5" t="s">
        <v>4415</v>
      </c>
      <c r="D496" s="5" t="s">
        <v>4440</v>
      </c>
      <c r="E496" s="5" t="s">
        <v>4373</v>
      </c>
      <c r="F496" s="5">
        <v>1</v>
      </c>
      <c r="G496" s="5">
        <v>2</v>
      </c>
      <c r="H496" s="5" t="s">
        <v>116</v>
      </c>
      <c r="I496" s="5">
        <v>77114</v>
      </c>
      <c r="J496" s="5" t="s">
        <v>4383</v>
      </c>
      <c r="K496" s="5" t="s">
        <v>4375</v>
      </c>
      <c r="L496" s="5" t="s">
        <v>4364</v>
      </c>
    </row>
    <row r="497" spans="1:12" x14ac:dyDescent="0.25">
      <c r="A497" s="5" t="s">
        <v>4678</v>
      </c>
      <c r="B497" s="157">
        <v>45943</v>
      </c>
      <c r="C497" s="5" t="s">
        <v>1256</v>
      </c>
      <c r="D497" s="5" t="s">
        <v>4386</v>
      </c>
      <c r="E497" s="5" t="s">
        <v>4424</v>
      </c>
      <c r="F497" s="5">
        <v>2</v>
      </c>
      <c r="G497" s="5">
        <v>1</v>
      </c>
      <c r="H497" s="5" t="s">
        <v>4367</v>
      </c>
      <c r="I497" s="5">
        <v>61854</v>
      </c>
      <c r="J497" s="5" t="s">
        <v>4409</v>
      </c>
      <c r="K497" s="5" t="s">
        <v>4375</v>
      </c>
      <c r="L497" s="5" t="s">
        <v>4357</v>
      </c>
    </row>
    <row r="498" spans="1:12" x14ac:dyDescent="0.25">
      <c r="A498" s="5" t="s">
        <v>4589</v>
      </c>
      <c r="B498" s="157">
        <v>45945</v>
      </c>
      <c r="C498" s="5" t="s">
        <v>4353</v>
      </c>
      <c r="D498" s="5" t="s">
        <v>4412</v>
      </c>
      <c r="E498" s="5" t="s">
        <v>4386</v>
      </c>
      <c r="F498" s="5">
        <v>3</v>
      </c>
      <c r="G498" s="5">
        <v>1</v>
      </c>
      <c r="H498" s="5" t="s">
        <v>4367</v>
      </c>
      <c r="I498" s="5">
        <v>78575</v>
      </c>
      <c r="J498" s="5" t="s">
        <v>4417</v>
      </c>
      <c r="K498" s="5" t="s">
        <v>1256</v>
      </c>
      <c r="L498" s="5" t="s">
        <v>1256</v>
      </c>
    </row>
    <row r="499" spans="1:12" x14ac:dyDescent="0.25">
      <c r="A499" s="5" t="s">
        <v>4529</v>
      </c>
      <c r="B499" s="157">
        <v>45948</v>
      </c>
      <c r="C499" s="5" t="s">
        <v>4353</v>
      </c>
      <c r="D499" s="5" t="s">
        <v>4440</v>
      </c>
      <c r="E499" s="5" t="s">
        <v>4395</v>
      </c>
      <c r="F499" s="5">
        <v>1</v>
      </c>
      <c r="G499" s="5">
        <v>4</v>
      </c>
      <c r="H499" s="5" t="s">
        <v>116</v>
      </c>
      <c r="I499" s="5">
        <v>73904</v>
      </c>
      <c r="J499" s="5" t="s">
        <v>4355</v>
      </c>
      <c r="K499" s="5" t="s">
        <v>4384</v>
      </c>
      <c r="L499" s="5" t="s">
        <v>4389</v>
      </c>
    </row>
    <row r="500" spans="1:12" x14ac:dyDescent="0.25">
      <c r="A500" s="5" t="s">
        <v>4577</v>
      </c>
      <c r="B500" s="157">
        <v>45953</v>
      </c>
      <c r="C500" s="5" t="s">
        <v>4402</v>
      </c>
      <c r="D500" s="5" t="s">
        <v>4470</v>
      </c>
      <c r="E500" s="5" t="s">
        <v>4403</v>
      </c>
      <c r="F500" s="5">
        <v>1</v>
      </c>
      <c r="G500" s="5">
        <v>1</v>
      </c>
      <c r="H500" s="5" t="s">
        <v>4361</v>
      </c>
      <c r="I500" s="5">
        <v>46447</v>
      </c>
      <c r="J500" s="5" t="s">
        <v>1256</v>
      </c>
      <c r="K500" s="5" t="s">
        <v>4405</v>
      </c>
      <c r="L500" s="5" t="s">
        <v>1256</v>
      </c>
    </row>
    <row r="501" spans="1:12" x14ac:dyDescent="0.25">
      <c r="A501" s="5" t="s">
        <v>4516</v>
      </c>
      <c r="B501" s="157">
        <v>45953</v>
      </c>
      <c r="C501" s="5" t="s">
        <v>4359</v>
      </c>
      <c r="D501" s="5" t="s">
        <v>1256</v>
      </c>
      <c r="E501" s="5" t="s">
        <v>4377</v>
      </c>
      <c r="F501" s="5">
        <v>1</v>
      </c>
      <c r="G501" s="5">
        <v>2</v>
      </c>
      <c r="H501" s="5" t="s">
        <v>116</v>
      </c>
      <c r="I501" s="5">
        <v>39551</v>
      </c>
      <c r="J501" s="5" t="s">
        <v>4388</v>
      </c>
      <c r="K501" s="5" t="s">
        <v>4356</v>
      </c>
      <c r="L501" s="5" t="s">
        <v>1256</v>
      </c>
    </row>
    <row r="502" spans="1:12" x14ac:dyDescent="0.25">
      <c r="A502" s="5" t="s">
        <v>4622</v>
      </c>
      <c r="B502" s="157">
        <v>45953</v>
      </c>
      <c r="C502" s="5" t="s">
        <v>4402</v>
      </c>
      <c r="D502" s="5" t="s">
        <v>4440</v>
      </c>
      <c r="E502" s="5" t="s">
        <v>4386</v>
      </c>
      <c r="F502" s="5">
        <v>0</v>
      </c>
      <c r="G502" s="5">
        <v>0</v>
      </c>
      <c r="H502" s="5" t="s">
        <v>4361</v>
      </c>
      <c r="I502" s="5">
        <v>38975</v>
      </c>
      <c r="J502" s="5" t="s">
        <v>4398</v>
      </c>
      <c r="K502" s="5" t="s">
        <v>4375</v>
      </c>
      <c r="L502" s="5" t="s">
        <v>4370</v>
      </c>
    </row>
    <row r="503" spans="1:12" x14ac:dyDescent="0.25">
      <c r="A503" s="5" t="s">
        <v>4699</v>
      </c>
      <c r="B503" s="157">
        <v>45960</v>
      </c>
      <c r="C503" s="5" t="s">
        <v>4366</v>
      </c>
      <c r="D503" s="5" t="s">
        <v>4354</v>
      </c>
      <c r="E503" s="5" t="s">
        <v>4386</v>
      </c>
      <c r="F503" s="5">
        <v>1</v>
      </c>
      <c r="G503" s="5">
        <v>4</v>
      </c>
      <c r="H503" s="5" t="s">
        <v>116</v>
      </c>
      <c r="I503" s="5">
        <v>0</v>
      </c>
      <c r="J503" s="5" t="s">
        <v>4398</v>
      </c>
      <c r="K503" s="5" t="s">
        <v>4363</v>
      </c>
      <c r="L503" s="5" t="s">
        <v>4389</v>
      </c>
    </row>
    <row r="504" spans="1:12" x14ac:dyDescent="0.25">
      <c r="A504" s="5" t="s">
        <v>4946</v>
      </c>
      <c r="B504" s="157">
        <v>45961</v>
      </c>
      <c r="C504" s="5" t="s">
        <v>4402</v>
      </c>
      <c r="D504" s="5" t="s">
        <v>4378</v>
      </c>
      <c r="E504" s="5" t="s">
        <v>4360</v>
      </c>
      <c r="F504" s="5">
        <v>2</v>
      </c>
      <c r="G504" s="5">
        <v>1</v>
      </c>
      <c r="H504" s="5" t="s">
        <v>4367</v>
      </c>
      <c r="I504" s="5">
        <v>66454</v>
      </c>
      <c r="J504" s="5" t="s">
        <v>4417</v>
      </c>
      <c r="K504" s="5" t="s">
        <v>4384</v>
      </c>
      <c r="L504" s="5" t="s">
        <v>4364</v>
      </c>
    </row>
    <row r="505" spans="1:12" x14ac:dyDescent="0.25">
      <c r="A505" s="5" t="s">
        <v>4523</v>
      </c>
      <c r="B505" s="157">
        <v>45967</v>
      </c>
      <c r="C505" s="5" t="s">
        <v>4366</v>
      </c>
      <c r="D505" s="5" t="s">
        <v>4424</v>
      </c>
      <c r="E505" s="5" t="s">
        <v>4360</v>
      </c>
      <c r="F505" s="5">
        <v>3</v>
      </c>
      <c r="G505" s="5">
        <v>1</v>
      </c>
      <c r="H505" s="5" t="s">
        <v>4367</v>
      </c>
      <c r="I505" s="5">
        <v>43171</v>
      </c>
      <c r="J505" s="5" t="s">
        <v>4444</v>
      </c>
      <c r="K505" s="5" t="s">
        <v>4363</v>
      </c>
      <c r="L505" s="5" t="s">
        <v>4364</v>
      </c>
    </row>
    <row r="506" spans="1:12" x14ac:dyDescent="0.25">
      <c r="A506" s="5" t="s">
        <v>4748</v>
      </c>
      <c r="B506" s="157">
        <v>45970</v>
      </c>
      <c r="C506" s="5" t="s">
        <v>4415</v>
      </c>
      <c r="D506" s="5" t="s">
        <v>4440</v>
      </c>
      <c r="E506" s="5" t="s">
        <v>4354</v>
      </c>
      <c r="F506" s="5">
        <v>6</v>
      </c>
      <c r="G506" s="5">
        <v>5</v>
      </c>
      <c r="H506" s="5" t="s">
        <v>4367</v>
      </c>
      <c r="I506" s="5">
        <v>40987</v>
      </c>
      <c r="J506" s="5" t="s">
        <v>4417</v>
      </c>
      <c r="K506" s="5" t="s">
        <v>4384</v>
      </c>
      <c r="L506" s="5" t="s">
        <v>4370</v>
      </c>
    </row>
    <row r="507" spans="1:12" x14ac:dyDescent="0.25">
      <c r="A507" s="5" t="s">
        <v>4666</v>
      </c>
      <c r="B507" s="157">
        <v>45970</v>
      </c>
      <c r="C507" s="5" t="s">
        <v>4402</v>
      </c>
      <c r="D507" s="5" t="s">
        <v>4424</v>
      </c>
      <c r="E507" s="5" t="s">
        <v>4395</v>
      </c>
      <c r="F507" s="5">
        <v>3</v>
      </c>
      <c r="G507" s="5">
        <v>0</v>
      </c>
      <c r="H507" s="5" t="s">
        <v>4367</v>
      </c>
      <c r="I507" s="5">
        <v>28790</v>
      </c>
      <c r="J507" s="5" t="s">
        <v>4374</v>
      </c>
      <c r="K507" s="5" t="s">
        <v>4356</v>
      </c>
      <c r="L507" s="5" t="s">
        <v>4370</v>
      </c>
    </row>
    <row r="508" spans="1:12" x14ac:dyDescent="0.25">
      <c r="A508" s="5" t="s">
        <v>4806</v>
      </c>
      <c r="B508" s="157">
        <v>45971</v>
      </c>
      <c r="C508" s="5" t="s">
        <v>4359</v>
      </c>
      <c r="D508" s="5" t="s">
        <v>4386</v>
      </c>
      <c r="E508" s="5" t="s">
        <v>4373</v>
      </c>
      <c r="F508" s="5">
        <v>1</v>
      </c>
      <c r="G508" s="5">
        <v>2</v>
      </c>
      <c r="H508" s="5" t="s">
        <v>116</v>
      </c>
      <c r="I508" s="5">
        <v>37246</v>
      </c>
      <c r="J508" s="5" t="s">
        <v>4444</v>
      </c>
      <c r="K508" s="5" t="s">
        <v>1256</v>
      </c>
      <c r="L508" s="5" t="s">
        <v>4364</v>
      </c>
    </row>
    <row r="509" spans="1:12" x14ac:dyDescent="0.25">
      <c r="A509" s="5" t="s">
        <v>4376</v>
      </c>
      <c r="B509" s="157">
        <v>45972</v>
      </c>
      <c r="C509" s="5" t="s">
        <v>4415</v>
      </c>
      <c r="D509" s="5" t="s">
        <v>4377</v>
      </c>
      <c r="E509" s="5" t="s">
        <v>4378</v>
      </c>
      <c r="F509" s="5">
        <v>2</v>
      </c>
      <c r="G509" s="5">
        <v>2</v>
      </c>
      <c r="H509" s="5" t="s">
        <v>4361</v>
      </c>
      <c r="I509" s="5">
        <v>31260</v>
      </c>
      <c r="J509" s="5" t="s">
        <v>4355</v>
      </c>
      <c r="K509" s="5" t="s">
        <v>4356</v>
      </c>
      <c r="L509" s="5" t="s">
        <v>4357</v>
      </c>
    </row>
    <row r="510" spans="1:12" x14ac:dyDescent="0.25">
      <c r="A510" s="5" t="s">
        <v>4628</v>
      </c>
      <c r="B510" s="157">
        <v>45975</v>
      </c>
      <c r="C510" s="5" t="s">
        <v>4353</v>
      </c>
      <c r="D510" s="5" t="s">
        <v>4378</v>
      </c>
      <c r="E510" s="5" t="s">
        <v>4470</v>
      </c>
      <c r="F510" s="5">
        <v>3</v>
      </c>
      <c r="G510" s="5">
        <v>1</v>
      </c>
      <c r="H510" s="5" t="s">
        <v>4367</v>
      </c>
      <c r="I510" s="5">
        <v>17354</v>
      </c>
      <c r="J510" s="5" t="s">
        <v>4421</v>
      </c>
      <c r="K510" s="5" t="s">
        <v>4384</v>
      </c>
      <c r="L510" s="5" t="s">
        <v>1256</v>
      </c>
    </row>
    <row r="511" spans="1:12" x14ac:dyDescent="0.25">
      <c r="A511" s="5" t="s">
        <v>4817</v>
      </c>
      <c r="B511" s="157">
        <v>45980</v>
      </c>
      <c r="C511" s="5" t="s">
        <v>4402</v>
      </c>
      <c r="D511" s="5" t="s">
        <v>4378</v>
      </c>
      <c r="E511" s="5" t="s">
        <v>4382</v>
      </c>
      <c r="F511" s="5">
        <v>4</v>
      </c>
      <c r="G511" s="5">
        <v>0</v>
      </c>
      <c r="H511" s="5" t="s">
        <v>4367</v>
      </c>
      <c r="I511" s="5">
        <v>9068</v>
      </c>
      <c r="J511" s="5" t="s">
        <v>4442</v>
      </c>
      <c r="K511" s="5" t="s">
        <v>4399</v>
      </c>
      <c r="L511" s="5" t="s">
        <v>4364</v>
      </c>
    </row>
    <row r="512" spans="1:12" x14ac:dyDescent="0.25">
      <c r="A512" s="5" t="s">
        <v>4610</v>
      </c>
      <c r="B512" s="157">
        <v>45981</v>
      </c>
      <c r="C512" s="5" t="s">
        <v>4402</v>
      </c>
      <c r="D512" s="5" t="s">
        <v>4440</v>
      </c>
      <c r="E512" s="5" t="s">
        <v>4373</v>
      </c>
      <c r="F512" s="5">
        <v>2</v>
      </c>
      <c r="G512" s="5">
        <v>1</v>
      </c>
      <c r="H512" s="5" t="s">
        <v>4367</v>
      </c>
      <c r="I512" s="5">
        <v>74183</v>
      </c>
      <c r="J512" s="5" t="s">
        <v>4442</v>
      </c>
      <c r="K512" s="5" t="s">
        <v>4375</v>
      </c>
      <c r="L512" s="5" t="s">
        <v>4364</v>
      </c>
    </row>
    <row r="513" spans="1:12" x14ac:dyDescent="0.25">
      <c r="A513" s="5" t="s">
        <v>4487</v>
      </c>
      <c r="B513" s="157">
        <v>45982</v>
      </c>
      <c r="C513" s="5" t="s">
        <v>4402</v>
      </c>
      <c r="D513" s="5" t="s">
        <v>4369</v>
      </c>
      <c r="E513" s="5" t="s">
        <v>4430</v>
      </c>
      <c r="F513" s="5">
        <v>1</v>
      </c>
      <c r="G513" s="5">
        <v>0</v>
      </c>
      <c r="H513" s="5" t="s">
        <v>4367</v>
      </c>
      <c r="I513" s="5">
        <v>21569</v>
      </c>
      <c r="J513" s="5" t="s">
        <v>4442</v>
      </c>
      <c r="K513" s="5" t="s">
        <v>1256</v>
      </c>
      <c r="L513" s="5" t="s">
        <v>4357</v>
      </c>
    </row>
    <row r="514" spans="1:12" x14ac:dyDescent="0.25">
      <c r="A514" s="5" t="s">
        <v>4742</v>
      </c>
      <c r="B514" s="157">
        <v>45984</v>
      </c>
      <c r="C514" s="5" t="s">
        <v>4366</v>
      </c>
      <c r="D514" s="5" t="s">
        <v>4386</v>
      </c>
      <c r="E514" s="5" t="s">
        <v>4395</v>
      </c>
      <c r="F514" s="5">
        <v>2</v>
      </c>
      <c r="G514" s="5">
        <v>2</v>
      </c>
      <c r="H514" s="5" t="s">
        <v>4361</v>
      </c>
      <c r="I514" s="5">
        <v>65513</v>
      </c>
      <c r="J514" s="5" t="s">
        <v>4442</v>
      </c>
      <c r="K514" s="5" t="s">
        <v>1256</v>
      </c>
      <c r="L514" s="5" t="s">
        <v>4370</v>
      </c>
    </row>
    <row r="515" spans="1:12" x14ac:dyDescent="0.25">
      <c r="A515" s="5" t="s">
        <v>4694</v>
      </c>
      <c r="B515" s="157">
        <v>45987</v>
      </c>
      <c r="C515" s="5" t="s">
        <v>4415</v>
      </c>
      <c r="D515" s="5" t="s">
        <v>4424</v>
      </c>
      <c r="E515" s="5" t="s">
        <v>4386</v>
      </c>
      <c r="F515" s="5">
        <v>1</v>
      </c>
      <c r="G515" s="5">
        <v>2</v>
      </c>
      <c r="H515" s="5" t="s">
        <v>116</v>
      </c>
      <c r="I515" s="5">
        <v>27749</v>
      </c>
      <c r="J515" s="5" t="s">
        <v>4374</v>
      </c>
      <c r="K515" s="5" t="s">
        <v>4356</v>
      </c>
      <c r="L515" s="5" t="s">
        <v>4370</v>
      </c>
    </row>
    <row r="516" spans="1:12" x14ac:dyDescent="0.25">
      <c r="A516" s="5" t="s">
        <v>4427</v>
      </c>
      <c r="B516" s="157">
        <v>45990</v>
      </c>
      <c r="C516" s="5" t="s">
        <v>4415</v>
      </c>
      <c r="D516" s="5" t="s">
        <v>4372</v>
      </c>
      <c r="E516" s="5" t="s">
        <v>4412</v>
      </c>
      <c r="F516" s="5">
        <v>6</v>
      </c>
      <c r="G516" s="5">
        <v>2</v>
      </c>
      <c r="H516" s="5" t="s">
        <v>4367</v>
      </c>
      <c r="I516" s="5">
        <v>14822</v>
      </c>
      <c r="J516" s="5" t="s">
        <v>4355</v>
      </c>
      <c r="K516" s="5" t="s">
        <v>4375</v>
      </c>
      <c r="L516" s="5" t="s">
        <v>4364</v>
      </c>
    </row>
    <row r="517" spans="1:12" x14ac:dyDescent="0.25">
      <c r="A517" s="5" t="s">
        <v>4820</v>
      </c>
      <c r="B517" s="157">
        <v>45993</v>
      </c>
      <c r="C517" s="5" t="s">
        <v>4402</v>
      </c>
      <c r="D517" s="5" t="s">
        <v>4369</v>
      </c>
      <c r="E517" s="5" t="s">
        <v>4386</v>
      </c>
      <c r="F517" s="5">
        <v>1</v>
      </c>
      <c r="G517" s="5">
        <v>2</v>
      </c>
      <c r="H517" s="5" t="s">
        <v>116</v>
      </c>
      <c r="I517" s="5">
        <v>74662</v>
      </c>
      <c r="J517" s="5" t="s">
        <v>4421</v>
      </c>
      <c r="K517" s="5" t="s">
        <v>1256</v>
      </c>
      <c r="L517" s="5" t="s">
        <v>4364</v>
      </c>
    </row>
    <row r="518" spans="1:12" x14ac:dyDescent="0.25">
      <c r="A518" s="5" t="s">
        <v>4469</v>
      </c>
      <c r="B518" s="157">
        <v>46000</v>
      </c>
      <c r="C518" s="5" t="s">
        <v>4415</v>
      </c>
      <c r="D518" s="5" t="s">
        <v>4470</v>
      </c>
      <c r="E518" s="5" t="s">
        <v>5006</v>
      </c>
      <c r="F518" s="5">
        <v>4</v>
      </c>
      <c r="G518" s="5">
        <v>2</v>
      </c>
      <c r="H518" s="5" t="s">
        <v>4367</v>
      </c>
      <c r="I518" s="5">
        <v>78117</v>
      </c>
      <c r="J518" s="5" t="s">
        <v>4444</v>
      </c>
      <c r="K518" s="5" t="s">
        <v>1256</v>
      </c>
      <c r="L518" s="5" t="s">
        <v>4370</v>
      </c>
    </row>
    <row r="519" spans="1:12" x14ac:dyDescent="0.25">
      <c r="A519" s="5" t="s">
        <v>4882</v>
      </c>
      <c r="B519" s="157">
        <v>46001</v>
      </c>
      <c r="C519" s="5" t="s">
        <v>4353</v>
      </c>
      <c r="D519" s="5" t="s">
        <v>4373</v>
      </c>
      <c r="E519" s="5" t="s">
        <v>4440</v>
      </c>
      <c r="F519" s="5">
        <v>0</v>
      </c>
      <c r="G519" s="5">
        <v>1</v>
      </c>
      <c r="H519" s="5" t="s">
        <v>116</v>
      </c>
      <c r="I519" s="5">
        <v>26487</v>
      </c>
      <c r="J519" s="5" t="s">
        <v>4413</v>
      </c>
      <c r="K519" s="5" t="s">
        <v>4396</v>
      </c>
      <c r="L519" s="5" t="s">
        <v>4370</v>
      </c>
    </row>
    <row r="520" spans="1:12" x14ac:dyDescent="0.25">
      <c r="A520" s="5" t="s">
        <v>4659</v>
      </c>
      <c r="B520" s="157">
        <v>46003</v>
      </c>
      <c r="C520" s="5" t="s">
        <v>4402</v>
      </c>
      <c r="D520" s="5" t="s">
        <v>4440</v>
      </c>
      <c r="E520" s="5" t="s">
        <v>4382</v>
      </c>
      <c r="F520" s="5">
        <v>2</v>
      </c>
      <c r="G520" s="5">
        <v>1</v>
      </c>
      <c r="H520" s="5" t="s">
        <v>4367</v>
      </c>
      <c r="I520" s="5">
        <v>63375</v>
      </c>
      <c r="J520" s="5" t="s">
        <v>4362</v>
      </c>
      <c r="K520" s="5" t="s">
        <v>4384</v>
      </c>
      <c r="L520" s="5" t="s">
        <v>4370</v>
      </c>
    </row>
    <row r="521" spans="1:12" x14ac:dyDescent="0.25">
      <c r="A521" s="5" t="s">
        <v>4576</v>
      </c>
      <c r="B521" s="157">
        <v>46006</v>
      </c>
      <c r="C521" s="5" t="s">
        <v>4353</v>
      </c>
      <c r="D521" s="5" t="s">
        <v>4395</v>
      </c>
      <c r="E521" s="5" t="s">
        <v>4440</v>
      </c>
      <c r="F521" s="5">
        <v>2</v>
      </c>
      <c r="G521" s="5">
        <v>0</v>
      </c>
      <c r="H521" s="5" t="s">
        <v>4367</v>
      </c>
      <c r="I521" s="5">
        <v>62844</v>
      </c>
      <c r="J521" s="5" t="s">
        <v>4413</v>
      </c>
      <c r="K521" s="5" t="s">
        <v>4363</v>
      </c>
      <c r="L521" s="5" t="s">
        <v>1256</v>
      </c>
    </row>
    <row r="522" spans="1:12" x14ac:dyDescent="0.25">
      <c r="A522" s="5" t="s">
        <v>4431</v>
      </c>
      <c r="B522" s="157">
        <v>46009</v>
      </c>
      <c r="C522" s="5" t="s">
        <v>4353</v>
      </c>
      <c r="D522" s="5" t="s">
        <v>4386</v>
      </c>
      <c r="E522" s="5" t="s">
        <v>4387</v>
      </c>
      <c r="F522" s="5">
        <v>1</v>
      </c>
      <c r="G522" s="5">
        <v>2</v>
      </c>
      <c r="H522" s="5" t="s">
        <v>116</v>
      </c>
      <c r="I522" s="5">
        <v>47058</v>
      </c>
      <c r="J522" s="5" t="s">
        <v>4393</v>
      </c>
      <c r="K522" s="5" t="s">
        <v>4356</v>
      </c>
      <c r="L522" s="5" t="s">
        <v>1256</v>
      </c>
    </row>
    <row r="523" spans="1:12" x14ac:dyDescent="0.25">
      <c r="A523" s="5" t="s">
        <v>4496</v>
      </c>
      <c r="B523" s="157">
        <v>46012</v>
      </c>
      <c r="C523" s="5" t="s">
        <v>4353</v>
      </c>
      <c r="D523" s="5" t="s">
        <v>4373</v>
      </c>
      <c r="E523" s="5" t="s">
        <v>4403</v>
      </c>
      <c r="F523" s="5">
        <v>1</v>
      </c>
      <c r="G523" s="5">
        <v>1</v>
      </c>
      <c r="H523" s="5" t="s">
        <v>4361</v>
      </c>
      <c r="I523" s="5">
        <v>74744</v>
      </c>
      <c r="J523" s="5" t="s">
        <v>4393</v>
      </c>
      <c r="K523" s="5" t="s">
        <v>4396</v>
      </c>
      <c r="L523" s="5" t="s">
        <v>4357</v>
      </c>
    </row>
    <row r="524" spans="1:12" x14ac:dyDescent="0.25">
      <c r="A524" s="5" t="s">
        <v>4512</v>
      </c>
      <c r="B524" s="157">
        <v>46013</v>
      </c>
      <c r="C524" s="5" t="s">
        <v>4415</v>
      </c>
      <c r="D524" s="5" t="s">
        <v>4378</v>
      </c>
      <c r="E524" s="5" t="s">
        <v>4369</v>
      </c>
      <c r="F524" s="5">
        <v>1</v>
      </c>
      <c r="G524" s="5">
        <v>3</v>
      </c>
      <c r="H524" s="5" t="s">
        <v>116</v>
      </c>
      <c r="I524" s="5">
        <v>80764</v>
      </c>
      <c r="J524" s="5" t="s">
        <v>1256</v>
      </c>
      <c r="K524" s="5" t="s">
        <v>4384</v>
      </c>
      <c r="L524" s="5" t="s">
        <v>1256</v>
      </c>
    </row>
    <row r="525" spans="1:12" x14ac:dyDescent="0.25">
      <c r="A525" s="5" t="s">
        <v>4762</v>
      </c>
      <c r="B525" s="157">
        <v>46014</v>
      </c>
      <c r="C525" s="5" t="s">
        <v>4353</v>
      </c>
      <c r="D525" s="5" t="s">
        <v>4440</v>
      </c>
      <c r="E525" s="5" t="s">
        <v>4373</v>
      </c>
      <c r="F525" s="5">
        <v>2</v>
      </c>
      <c r="G525" s="5">
        <v>0</v>
      </c>
      <c r="H525" s="5" t="s">
        <v>4367</v>
      </c>
      <c r="I525" s="5">
        <v>72909</v>
      </c>
      <c r="J525" s="5" t="s">
        <v>4398</v>
      </c>
      <c r="K525" s="5" t="s">
        <v>4375</v>
      </c>
      <c r="L525" s="5" t="s">
        <v>4364</v>
      </c>
    </row>
    <row r="526" spans="1:12" x14ac:dyDescent="0.25">
      <c r="A526" s="5" t="s">
        <v>4528</v>
      </c>
      <c r="B526" s="157">
        <v>46016</v>
      </c>
      <c r="C526" s="5" t="s">
        <v>4415</v>
      </c>
      <c r="D526" s="5" t="s">
        <v>4395</v>
      </c>
      <c r="E526" s="5" t="s">
        <v>4382</v>
      </c>
      <c r="F526" s="5">
        <v>0</v>
      </c>
      <c r="G526" s="5">
        <v>1</v>
      </c>
      <c r="H526" s="5" t="s">
        <v>116</v>
      </c>
      <c r="I526" s="5">
        <v>79097</v>
      </c>
      <c r="J526" s="5" t="s">
        <v>4409</v>
      </c>
      <c r="K526" s="5" t="s">
        <v>4396</v>
      </c>
      <c r="L526" s="5" t="s">
        <v>1256</v>
      </c>
    </row>
    <row r="527" spans="1:12" x14ac:dyDescent="0.25">
      <c r="A527" s="5" t="s">
        <v>4937</v>
      </c>
      <c r="B527" s="157">
        <v>46016</v>
      </c>
      <c r="C527" s="5" t="s">
        <v>4415</v>
      </c>
      <c r="D527" s="5" t="s">
        <v>4395</v>
      </c>
      <c r="E527" s="5" t="s">
        <v>4378</v>
      </c>
      <c r="F527" s="5">
        <v>6</v>
      </c>
      <c r="G527" s="5">
        <v>3</v>
      </c>
      <c r="H527" s="5" t="s">
        <v>4367</v>
      </c>
      <c r="I527" s="5">
        <v>37252</v>
      </c>
      <c r="J527" s="5" t="s">
        <v>4398</v>
      </c>
      <c r="K527" s="5" t="s">
        <v>4405</v>
      </c>
      <c r="L527" s="5" t="s">
        <v>4364</v>
      </c>
    </row>
    <row r="528" spans="1:12" x14ac:dyDescent="0.25">
      <c r="A528" s="5" t="s">
        <v>4871</v>
      </c>
      <c r="B528" s="157">
        <v>46021</v>
      </c>
      <c r="C528" s="5" t="s">
        <v>4402</v>
      </c>
      <c r="D528" s="5" t="s">
        <v>4369</v>
      </c>
      <c r="E528" s="5" t="s">
        <v>4386</v>
      </c>
      <c r="F528" s="5">
        <v>2</v>
      </c>
      <c r="G528" s="5">
        <v>0</v>
      </c>
      <c r="H528" s="5" t="s">
        <v>4367</v>
      </c>
      <c r="I528" s="5">
        <v>27355</v>
      </c>
      <c r="J528" s="5" t="s">
        <v>4362</v>
      </c>
      <c r="K528" s="5" t="s">
        <v>4405</v>
      </c>
      <c r="L528" s="5" t="s">
        <v>4357</v>
      </c>
    </row>
    <row r="529" spans="1:12" x14ac:dyDescent="0.25">
      <c r="A529" s="5" t="s">
        <v>4958</v>
      </c>
      <c r="B529" s="157">
        <v>46022</v>
      </c>
      <c r="C529" s="5" t="s">
        <v>4353</v>
      </c>
      <c r="D529" s="5" t="s">
        <v>4395</v>
      </c>
      <c r="E529" s="5" t="s">
        <v>4412</v>
      </c>
      <c r="F529" s="5">
        <v>3</v>
      </c>
      <c r="G529" s="5">
        <v>2</v>
      </c>
      <c r="H529" s="5" t="s">
        <v>4367</v>
      </c>
      <c r="I529" s="5">
        <v>73730</v>
      </c>
      <c r="J529" s="5" t="s">
        <v>4362</v>
      </c>
      <c r="K529" s="5" t="s">
        <v>4356</v>
      </c>
      <c r="L529" s="5" t="s">
        <v>4389</v>
      </c>
    </row>
    <row r="530" spans="1:12" x14ac:dyDescent="0.25">
      <c r="A530" s="5" t="s">
        <v>4885</v>
      </c>
      <c r="B530" s="157">
        <v>46026</v>
      </c>
      <c r="C530" s="5" t="s">
        <v>4415</v>
      </c>
      <c r="D530" s="5" t="s">
        <v>4369</v>
      </c>
      <c r="E530" s="5" t="s">
        <v>4354</v>
      </c>
      <c r="F530" s="5">
        <v>4</v>
      </c>
      <c r="G530" s="5">
        <v>3</v>
      </c>
      <c r="H530" s="5" t="s">
        <v>4367</v>
      </c>
      <c r="I530" s="5">
        <v>26598</v>
      </c>
      <c r="J530" s="5" t="s">
        <v>4442</v>
      </c>
      <c r="K530" s="5" t="s">
        <v>4384</v>
      </c>
      <c r="L530" s="5" t="s">
        <v>4364</v>
      </c>
    </row>
    <row r="531" spans="1:12" x14ac:dyDescent="0.25">
      <c r="A531" s="5" t="s">
        <v>4878</v>
      </c>
      <c r="B531" s="157">
        <v>46026</v>
      </c>
      <c r="C531" s="5" t="s">
        <v>4402</v>
      </c>
      <c r="D531" s="5" t="s">
        <v>4372</v>
      </c>
      <c r="E531" s="5" t="s">
        <v>4403</v>
      </c>
      <c r="F531" s="5">
        <v>1</v>
      </c>
      <c r="G531" s="5">
        <v>2</v>
      </c>
      <c r="H531" s="5" t="s">
        <v>116</v>
      </c>
      <c r="I531" s="5">
        <v>26934</v>
      </c>
      <c r="J531" s="5" t="s">
        <v>4383</v>
      </c>
      <c r="K531" s="5" t="s">
        <v>4375</v>
      </c>
      <c r="L531" s="5" t="s">
        <v>4389</v>
      </c>
    </row>
    <row r="532" spans="1:12" x14ac:dyDescent="0.25">
      <c r="A532" s="5" t="s">
        <v>4379</v>
      </c>
      <c r="B532" s="157">
        <v>46027</v>
      </c>
      <c r="C532" s="5" t="s">
        <v>4402</v>
      </c>
      <c r="D532" s="5" t="s">
        <v>4378</v>
      </c>
      <c r="E532" s="5" t="s">
        <v>4395</v>
      </c>
      <c r="F532" s="5">
        <v>1</v>
      </c>
      <c r="G532" s="5">
        <v>4</v>
      </c>
      <c r="H532" s="5" t="s">
        <v>116</v>
      </c>
      <c r="I532" s="5">
        <v>34737</v>
      </c>
      <c r="J532" s="5" t="s">
        <v>4380</v>
      </c>
      <c r="K532" s="5" t="s">
        <v>4356</v>
      </c>
      <c r="L532" s="5" t="s">
        <v>4357</v>
      </c>
    </row>
    <row r="533" spans="1:12" x14ac:dyDescent="0.25">
      <c r="A533" s="5" t="s">
        <v>4708</v>
      </c>
      <c r="B533" s="157">
        <v>46029</v>
      </c>
      <c r="C533" s="5" t="s">
        <v>4415</v>
      </c>
      <c r="D533" s="5" t="s">
        <v>5006</v>
      </c>
      <c r="E533" s="5" t="s">
        <v>4386</v>
      </c>
      <c r="F533" s="5">
        <v>0</v>
      </c>
      <c r="G533" s="5">
        <v>2</v>
      </c>
      <c r="H533" s="5" t="s">
        <v>116</v>
      </c>
      <c r="I533" s="5">
        <v>74765</v>
      </c>
      <c r="J533" s="5" t="s">
        <v>4398</v>
      </c>
      <c r="K533" s="5" t="s">
        <v>1256</v>
      </c>
      <c r="L533" s="5" t="s">
        <v>4364</v>
      </c>
    </row>
    <row r="534" spans="1:12" x14ac:dyDescent="0.25">
      <c r="A534" s="5" t="s">
        <v>4484</v>
      </c>
      <c r="B534" s="157">
        <v>46029</v>
      </c>
      <c r="C534" s="5" t="s">
        <v>4353</v>
      </c>
      <c r="D534" s="5" t="s">
        <v>4354</v>
      </c>
      <c r="E534" s="5" t="s">
        <v>4360</v>
      </c>
      <c r="F534" s="5">
        <v>3</v>
      </c>
      <c r="G534" s="5">
        <v>2</v>
      </c>
      <c r="H534" s="5" t="s">
        <v>4367</v>
      </c>
      <c r="I534" s="5">
        <v>78222</v>
      </c>
      <c r="J534" s="5" t="s">
        <v>4413</v>
      </c>
      <c r="K534" s="5" t="s">
        <v>4396</v>
      </c>
      <c r="L534" s="5" t="s">
        <v>4364</v>
      </c>
    </row>
    <row r="535" spans="1:12" x14ac:dyDescent="0.25">
      <c r="A535" s="5" t="s">
        <v>4418</v>
      </c>
      <c r="B535" s="157">
        <v>46031</v>
      </c>
      <c r="C535" s="5" t="s">
        <v>4359</v>
      </c>
      <c r="D535" s="5" t="s">
        <v>4372</v>
      </c>
      <c r="E535" s="5" t="s">
        <v>4354</v>
      </c>
      <c r="F535" s="5">
        <v>4</v>
      </c>
      <c r="G535" s="5">
        <v>1</v>
      </c>
      <c r="H535" s="5" t="s">
        <v>4367</v>
      </c>
      <c r="I535" s="5">
        <v>12383</v>
      </c>
      <c r="J535" s="5" t="s">
        <v>4417</v>
      </c>
      <c r="K535" s="5" t="s">
        <v>4396</v>
      </c>
      <c r="L535" s="5" t="s">
        <v>4364</v>
      </c>
    </row>
    <row r="536" spans="1:12" x14ac:dyDescent="0.25">
      <c r="A536" s="5" t="s">
        <v>4558</v>
      </c>
      <c r="B536" s="157">
        <v>46036</v>
      </c>
      <c r="C536" s="5" t="s">
        <v>4415</v>
      </c>
      <c r="D536" s="5" t="s">
        <v>4378</v>
      </c>
      <c r="E536" s="5" t="s">
        <v>4403</v>
      </c>
      <c r="F536" s="5">
        <v>2</v>
      </c>
      <c r="G536" s="5">
        <v>2</v>
      </c>
      <c r="H536" s="5" t="s">
        <v>4361</v>
      </c>
      <c r="I536" s="5">
        <v>56274</v>
      </c>
      <c r="J536" s="5" t="s">
        <v>4413</v>
      </c>
      <c r="K536" s="5" t="s">
        <v>4363</v>
      </c>
      <c r="L536" s="5" t="s">
        <v>1256</v>
      </c>
    </row>
    <row r="537" spans="1:12" x14ac:dyDescent="0.25">
      <c r="A537" s="5" t="s">
        <v>4942</v>
      </c>
      <c r="B537" s="157">
        <v>46040</v>
      </c>
      <c r="C537" s="5" t="s">
        <v>4353</v>
      </c>
      <c r="D537" s="5" t="s">
        <v>4369</v>
      </c>
      <c r="E537" s="5" t="s">
        <v>4387</v>
      </c>
      <c r="F537" s="5">
        <v>0</v>
      </c>
      <c r="G537" s="5">
        <v>2</v>
      </c>
      <c r="H537" s="5" t="s">
        <v>116</v>
      </c>
      <c r="I537" s="5">
        <v>71667</v>
      </c>
      <c r="J537" s="5" t="s">
        <v>4383</v>
      </c>
      <c r="K537" s="5" t="s">
        <v>4405</v>
      </c>
      <c r="L537" s="5" t="s">
        <v>4389</v>
      </c>
    </row>
    <row r="538" spans="1:12" x14ac:dyDescent="0.25">
      <c r="A538" s="5" t="s">
        <v>4914</v>
      </c>
      <c r="B538" s="157">
        <v>46040</v>
      </c>
      <c r="C538" s="5" t="s">
        <v>4415</v>
      </c>
      <c r="D538" s="5" t="s">
        <v>4430</v>
      </c>
      <c r="E538" s="5" t="s">
        <v>4354</v>
      </c>
      <c r="F538" s="5">
        <v>2</v>
      </c>
      <c r="G538" s="5">
        <v>6</v>
      </c>
      <c r="H538" s="5" t="s">
        <v>116</v>
      </c>
      <c r="I538" s="5">
        <v>23536</v>
      </c>
      <c r="J538" s="5" t="s">
        <v>4417</v>
      </c>
      <c r="K538" s="5" t="s">
        <v>4363</v>
      </c>
      <c r="L538" s="5" t="s">
        <v>4364</v>
      </c>
    </row>
    <row r="539" spans="1:12" x14ac:dyDescent="0.25">
      <c r="A539" s="5" t="s">
        <v>4634</v>
      </c>
      <c r="B539" s="157">
        <v>46043</v>
      </c>
      <c r="C539" s="5" t="s">
        <v>4353</v>
      </c>
      <c r="D539" s="5" t="s">
        <v>4373</v>
      </c>
      <c r="E539" s="5" t="s">
        <v>4395</v>
      </c>
      <c r="F539" s="5">
        <v>2</v>
      </c>
      <c r="G539" s="5">
        <v>3</v>
      </c>
      <c r="H539" s="5" t="s">
        <v>116</v>
      </c>
      <c r="I539" s="5">
        <v>60522</v>
      </c>
      <c r="J539" s="5" t="s">
        <v>4380</v>
      </c>
      <c r="K539" s="5" t="s">
        <v>4363</v>
      </c>
      <c r="L539" s="5" t="s">
        <v>1256</v>
      </c>
    </row>
    <row r="540" spans="1:12" x14ac:dyDescent="0.25">
      <c r="A540" s="5" t="s">
        <v>4786</v>
      </c>
      <c r="B540" s="157">
        <v>46050</v>
      </c>
      <c r="C540" s="5" t="s">
        <v>4415</v>
      </c>
      <c r="D540" s="5" t="s">
        <v>4373</v>
      </c>
      <c r="E540" s="5" t="s">
        <v>5006</v>
      </c>
      <c r="F540" s="5">
        <v>2</v>
      </c>
      <c r="G540" s="5">
        <v>0</v>
      </c>
      <c r="H540" s="5" t="s">
        <v>4367</v>
      </c>
      <c r="I540" s="5">
        <v>60129</v>
      </c>
      <c r="J540" s="5" t="s">
        <v>4383</v>
      </c>
      <c r="K540" s="5" t="s">
        <v>4363</v>
      </c>
      <c r="L540" s="5" t="s">
        <v>4364</v>
      </c>
    </row>
    <row r="541" spans="1:12" x14ac:dyDescent="0.25">
      <c r="A541" s="5" t="s">
        <v>4772</v>
      </c>
      <c r="B541" s="157">
        <v>46052</v>
      </c>
      <c r="C541" s="5" t="s">
        <v>4359</v>
      </c>
      <c r="D541" s="5" t="s">
        <v>4424</v>
      </c>
      <c r="E541" s="5" t="s">
        <v>4373</v>
      </c>
      <c r="F541" s="5">
        <v>2</v>
      </c>
      <c r="G541" s="5">
        <v>2</v>
      </c>
      <c r="H541" s="5" t="s">
        <v>4361</v>
      </c>
      <c r="I541" s="5">
        <v>58425</v>
      </c>
      <c r="J541" s="5" t="s">
        <v>4362</v>
      </c>
      <c r="K541" s="5" t="s">
        <v>1256</v>
      </c>
      <c r="L541" s="5" t="s">
        <v>4370</v>
      </c>
    </row>
    <row r="542" spans="1:12" x14ac:dyDescent="0.25">
      <c r="A542" s="5" t="s">
        <v>4744</v>
      </c>
      <c r="B542" s="157">
        <v>46054</v>
      </c>
      <c r="C542" s="5" t="s">
        <v>4402</v>
      </c>
      <c r="D542" s="5" t="s">
        <v>4372</v>
      </c>
      <c r="E542" s="5" t="s">
        <v>4412</v>
      </c>
      <c r="F542" s="5">
        <v>2</v>
      </c>
      <c r="G542" s="5">
        <v>2</v>
      </c>
      <c r="H542" s="5" t="s">
        <v>4361</v>
      </c>
      <c r="I542" s="5">
        <v>80610</v>
      </c>
      <c r="J542" s="5" t="s">
        <v>4383</v>
      </c>
      <c r="K542" s="5" t="s">
        <v>4375</v>
      </c>
      <c r="L542" s="5" t="s">
        <v>1256</v>
      </c>
    </row>
    <row r="543" spans="1:12" x14ac:dyDescent="0.25">
      <c r="A543" s="5" t="s">
        <v>4922</v>
      </c>
      <c r="B543" s="157">
        <v>46057</v>
      </c>
      <c r="C543" s="5" t="s">
        <v>4353</v>
      </c>
      <c r="D543" s="5" t="s">
        <v>4386</v>
      </c>
      <c r="E543" s="5" t="s">
        <v>4412</v>
      </c>
      <c r="F543" s="5">
        <v>0</v>
      </c>
      <c r="G543" s="5">
        <v>2</v>
      </c>
      <c r="H543" s="5" t="s">
        <v>116</v>
      </c>
      <c r="I543" s="5">
        <v>64101</v>
      </c>
      <c r="J543" s="5" t="s">
        <v>4398</v>
      </c>
      <c r="K543" s="5" t="s">
        <v>4375</v>
      </c>
      <c r="L543" s="5" t="s">
        <v>4389</v>
      </c>
    </row>
    <row r="544" spans="1:12" x14ac:dyDescent="0.25">
      <c r="A544" s="5" t="s">
        <v>4910</v>
      </c>
      <c r="B544" s="157">
        <v>46057</v>
      </c>
      <c r="C544" s="5" t="s">
        <v>4415</v>
      </c>
      <c r="D544" s="5" t="s">
        <v>4403</v>
      </c>
      <c r="E544" s="5" t="s">
        <v>4378</v>
      </c>
      <c r="F544" s="5">
        <v>0</v>
      </c>
      <c r="G544" s="5">
        <v>2</v>
      </c>
      <c r="H544" s="5" t="s">
        <v>116</v>
      </c>
      <c r="I544" s="5">
        <v>12244</v>
      </c>
      <c r="J544" s="5" t="s">
        <v>1256</v>
      </c>
      <c r="K544" s="5" t="s">
        <v>4363</v>
      </c>
      <c r="L544" s="5" t="s">
        <v>4370</v>
      </c>
    </row>
    <row r="545" spans="1:12" x14ac:dyDescent="0.25">
      <c r="A545" s="5" t="s">
        <v>4490</v>
      </c>
      <c r="B545" s="157">
        <v>46058</v>
      </c>
      <c r="C545" s="5" t="s">
        <v>4353</v>
      </c>
      <c r="D545" s="5" t="s">
        <v>4386</v>
      </c>
      <c r="E545" s="5" t="s">
        <v>4387</v>
      </c>
      <c r="F545" s="5">
        <v>1</v>
      </c>
      <c r="G545" s="5">
        <v>2</v>
      </c>
      <c r="H545" s="5" t="s">
        <v>116</v>
      </c>
      <c r="I545" s="5">
        <v>24366</v>
      </c>
      <c r="J545" s="5" t="s">
        <v>4413</v>
      </c>
      <c r="K545" s="5" t="s">
        <v>4399</v>
      </c>
      <c r="L545" s="5" t="s">
        <v>4370</v>
      </c>
    </row>
    <row r="546" spans="1:12" x14ac:dyDescent="0.25">
      <c r="A546" s="5" t="s">
        <v>4997</v>
      </c>
      <c r="B546" s="157">
        <v>46059</v>
      </c>
      <c r="C546" s="5" t="s">
        <v>4415</v>
      </c>
      <c r="D546" s="5" t="s">
        <v>4382</v>
      </c>
      <c r="E546" s="5" t="s">
        <v>4373</v>
      </c>
      <c r="F546" s="5">
        <v>1</v>
      </c>
      <c r="G546" s="5">
        <v>1</v>
      </c>
      <c r="H546" s="5" t="s">
        <v>4361</v>
      </c>
      <c r="I546" s="5">
        <v>61302</v>
      </c>
      <c r="J546" s="5" t="s">
        <v>4442</v>
      </c>
      <c r="K546" s="5" t="s">
        <v>4396</v>
      </c>
      <c r="L546" s="5" t="s">
        <v>1256</v>
      </c>
    </row>
    <row r="547" spans="1:12" x14ac:dyDescent="0.25">
      <c r="A547" s="5" t="s">
        <v>4912</v>
      </c>
      <c r="B547" s="157">
        <v>46061</v>
      </c>
      <c r="C547" s="5" t="s">
        <v>4366</v>
      </c>
      <c r="D547" s="5" t="s">
        <v>4386</v>
      </c>
      <c r="E547" s="5" t="s">
        <v>4403</v>
      </c>
      <c r="F547" s="5">
        <v>2</v>
      </c>
      <c r="G547" s="5">
        <v>3</v>
      </c>
      <c r="H547" s="5" t="s">
        <v>116</v>
      </c>
      <c r="I547" s="5">
        <v>33703</v>
      </c>
      <c r="J547" s="5" t="s">
        <v>4355</v>
      </c>
      <c r="K547" s="5" t="s">
        <v>4375</v>
      </c>
      <c r="L547" s="5" t="s">
        <v>4357</v>
      </c>
    </row>
    <row r="548" spans="1:12" x14ac:dyDescent="0.25">
      <c r="A548" s="5" t="s">
        <v>4741</v>
      </c>
      <c r="B548" s="157">
        <v>46070</v>
      </c>
      <c r="C548" s="5" t="s">
        <v>4366</v>
      </c>
      <c r="D548" s="5" t="s">
        <v>4424</v>
      </c>
      <c r="E548" s="5" t="s">
        <v>4387</v>
      </c>
      <c r="F548" s="5">
        <v>5</v>
      </c>
      <c r="G548" s="5">
        <v>0</v>
      </c>
      <c r="H548" s="5" t="s">
        <v>4367</v>
      </c>
      <c r="I548" s="5">
        <v>36697</v>
      </c>
      <c r="J548" s="5" t="s">
        <v>4421</v>
      </c>
      <c r="K548" s="5" t="s">
        <v>1256</v>
      </c>
      <c r="L548" s="5" t="s">
        <v>4364</v>
      </c>
    </row>
    <row r="549" spans="1:12" x14ac:dyDescent="0.25">
      <c r="A549" s="5" t="s">
        <v>4815</v>
      </c>
      <c r="B549" s="157">
        <v>46070</v>
      </c>
      <c r="C549" s="5" t="s">
        <v>4359</v>
      </c>
      <c r="D549" s="5" t="s">
        <v>4412</v>
      </c>
      <c r="E549" s="5" t="s">
        <v>4369</v>
      </c>
      <c r="F549" s="5">
        <v>0</v>
      </c>
      <c r="G549" s="5">
        <v>2</v>
      </c>
      <c r="H549" s="5" t="s">
        <v>116</v>
      </c>
      <c r="I549" s="5">
        <v>54519</v>
      </c>
      <c r="J549" s="5" t="s">
        <v>4355</v>
      </c>
      <c r="K549" s="5" t="s">
        <v>4356</v>
      </c>
      <c r="L549" s="5" t="s">
        <v>4389</v>
      </c>
    </row>
    <row r="550" spans="1:12" x14ac:dyDescent="0.25">
      <c r="A550" s="5" t="s">
        <v>4944</v>
      </c>
      <c r="B550" s="157">
        <v>46071</v>
      </c>
      <c r="C550" s="5" t="s">
        <v>4415</v>
      </c>
      <c r="D550" s="5" t="s">
        <v>4424</v>
      </c>
      <c r="E550" s="5" t="s">
        <v>4354</v>
      </c>
      <c r="F550" s="5">
        <v>2</v>
      </c>
      <c r="G550" s="5">
        <v>0</v>
      </c>
      <c r="H550" s="5" t="s">
        <v>4367</v>
      </c>
      <c r="I550" s="5">
        <v>47751</v>
      </c>
      <c r="J550" s="5" t="s">
        <v>4374</v>
      </c>
      <c r="K550" s="5" t="s">
        <v>4399</v>
      </c>
      <c r="L550" s="5" t="s">
        <v>4370</v>
      </c>
    </row>
    <row r="551" spans="1:12" x14ac:dyDescent="0.25">
      <c r="A551" s="5" t="s">
        <v>4546</v>
      </c>
      <c r="B551" s="157">
        <v>46071</v>
      </c>
      <c r="C551" s="5" t="s">
        <v>4415</v>
      </c>
      <c r="D551" s="5" t="s">
        <v>4369</v>
      </c>
      <c r="E551" s="5" t="s">
        <v>4424</v>
      </c>
      <c r="F551" s="5">
        <v>1</v>
      </c>
      <c r="G551" s="5">
        <v>1</v>
      </c>
      <c r="H551" s="5" t="s">
        <v>4361</v>
      </c>
      <c r="I551" s="5">
        <v>63960</v>
      </c>
      <c r="J551" s="5" t="s">
        <v>4413</v>
      </c>
      <c r="K551" s="5" t="s">
        <v>4405</v>
      </c>
      <c r="L551" s="5" t="s">
        <v>4357</v>
      </c>
    </row>
    <row r="552" spans="1:12" x14ac:dyDescent="0.25">
      <c r="A552" s="5" t="s">
        <v>4965</v>
      </c>
      <c r="B552" s="157">
        <v>46073</v>
      </c>
      <c r="C552" s="5" t="s">
        <v>4353</v>
      </c>
      <c r="D552" s="5" t="s">
        <v>4395</v>
      </c>
      <c r="E552" s="5" t="s">
        <v>4403</v>
      </c>
      <c r="F552" s="5">
        <v>0</v>
      </c>
      <c r="G552" s="5">
        <v>1</v>
      </c>
      <c r="H552" s="5" t="s">
        <v>116</v>
      </c>
      <c r="I552" s="5">
        <v>30599</v>
      </c>
      <c r="J552" s="5" t="s">
        <v>4362</v>
      </c>
      <c r="K552" s="5" t="s">
        <v>4356</v>
      </c>
      <c r="L552" s="5" t="s">
        <v>4364</v>
      </c>
    </row>
    <row r="553" spans="1:12" x14ac:dyDescent="0.25">
      <c r="A553" s="5" t="s">
        <v>4797</v>
      </c>
      <c r="B553" s="157">
        <v>46075</v>
      </c>
      <c r="C553" s="5" t="s">
        <v>4353</v>
      </c>
      <c r="D553" s="5" t="s">
        <v>4369</v>
      </c>
      <c r="E553" s="5" t="s">
        <v>4440</v>
      </c>
      <c r="F553" s="5">
        <v>4</v>
      </c>
      <c r="G553" s="5">
        <v>2</v>
      </c>
      <c r="H553" s="5" t="s">
        <v>4367</v>
      </c>
      <c r="I553" s="5">
        <v>57319</v>
      </c>
      <c r="J553" s="5" t="s">
        <v>4393</v>
      </c>
      <c r="K553" s="5" t="s">
        <v>1256</v>
      </c>
      <c r="L553" s="5" t="s">
        <v>4389</v>
      </c>
    </row>
    <row r="554" spans="1:12" x14ac:dyDescent="0.25">
      <c r="A554" s="5" t="s">
        <v>4662</v>
      </c>
      <c r="B554" s="157">
        <v>46082</v>
      </c>
      <c r="C554" s="5" t="s">
        <v>4366</v>
      </c>
      <c r="D554" s="5" t="s">
        <v>4378</v>
      </c>
      <c r="E554" s="5" t="s">
        <v>4372</v>
      </c>
      <c r="F554" s="5">
        <v>0</v>
      </c>
      <c r="G554" s="5">
        <v>3</v>
      </c>
      <c r="H554" s="5" t="s">
        <v>116</v>
      </c>
      <c r="I554" s="5">
        <v>46467</v>
      </c>
      <c r="J554" s="5" t="s">
        <v>4417</v>
      </c>
      <c r="K554" s="5" t="s">
        <v>4396</v>
      </c>
      <c r="L554" s="5" t="s">
        <v>4364</v>
      </c>
    </row>
    <row r="555" spans="1:12" x14ac:dyDescent="0.25">
      <c r="A555" s="5" t="s">
        <v>4698</v>
      </c>
      <c r="B555" s="157">
        <v>46082</v>
      </c>
      <c r="C555" s="5" t="s">
        <v>4366</v>
      </c>
      <c r="D555" s="5" t="s">
        <v>4372</v>
      </c>
      <c r="E555" s="5" t="s">
        <v>4470</v>
      </c>
      <c r="F555" s="5">
        <v>4</v>
      </c>
      <c r="G555" s="5">
        <v>3</v>
      </c>
      <c r="H555" s="5" t="s">
        <v>4367</v>
      </c>
      <c r="I555" s="5">
        <v>51482</v>
      </c>
      <c r="J555" s="5" t="s">
        <v>4380</v>
      </c>
      <c r="K555" s="5" t="s">
        <v>4405</v>
      </c>
      <c r="L555" s="5" t="s">
        <v>1256</v>
      </c>
    </row>
    <row r="556" spans="1:12" x14ac:dyDescent="0.25">
      <c r="A556" s="5" t="s">
        <v>4983</v>
      </c>
      <c r="B556" s="157">
        <v>46083</v>
      </c>
      <c r="C556" s="5" t="s">
        <v>4415</v>
      </c>
      <c r="D556" s="5" t="s">
        <v>4378</v>
      </c>
      <c r="E556" s="5" t="s">
        <v>4373</v>
      </c>
      <c r="F556" s="5">
        <v>5</v>
      </c>
      <c r="G556" s="5">
        <v>4</v>
      </c>
      <c r="H556" s="5" t="s">
        <v>4367</v>
      </c>
      <c r="I556" s="5">
        <v>61742</v>
      </c>
      <c r="J556" s="5" t="s">
        <v>4383</v>
      </c>
      <c r="K556" s="5" t="s">
        <v>1256</v>
      </c>
      <c r="L556" s="5" t="s">
        <v>1256</v>
      </c>
    </row>
    <row r="557" spans="1:12" x14ac:dyDescent="0.25">
      <c r="A557" s="5" t="s">
        <v>4924</v>
      </c>
      <c r="B557" s="157">
        <v>46089</v>
      </c>
      <c r="C557" s="5" t="s">
        <v>4415</v>
      </c>
      <c r="D557" s="5" t="s">
        <v>4373</v>
      </c>
      <c r="E557" s="5" t="s">
        <v>4470</v>
      </c>
      <c r="F557" s="5">
        <v>2</v>
      </c>
      <c r="G557" s="5">
        <v>2</v>
      </c>
      <c r="H557" s="5" t="s">
        <v>4361</v>
      </c>
      <c r="I557" s="5">
        <v>50565</v>
      </c>
      <c r="J557" s="5" t="s">
        <v>4421</v>
      </c>
      <c r="K557" s="5" t="s">
        <v>4375</v>
      </c>
      <c r="L557" s="5" t="s">
        <v>1256</v>
      </c>
    </row>
    <row r="558" spans="1:12" x14ac:dyDescent="0.25">
      <c r="A558" s="5" t="s">
        <v>4953</v>
      </c>
      <c r="B558" s="157">
        <v>46091</v>
      </c>
      <c r="C558" s="5" t="s">
        <v>4366</v>
      </c>
      <c r="D558" s="5" t="s">
        <v>4386</v>
      </c>
      <c r="E558" s="5" t="s">
        <v>4440</v>
      </c>
      <c r="F558" s="5">
        <v>3</v>
      </c>
      <c r="G558" s="5">
        <v>3</v>
      </c>
      <c r="H558" s="5" t="s">
        <v>4361</v>
      </c>
      <c r="I558" s="5">
        <v>20749</v>
      </c>
      <c r="J558" s="5" t="s">
        <v>4417</v>
      </c>
      <c r="K558" s="5" t="s">
        <v>4405</v>
      </c>
      <c r="L558" s="5" t="s">
        <v>4364</v>
      </c>
    </row>
    <row r="559" spans="1:12" x14ac:dyDescent="0.25">
      <c r="A559" s="5" t="s">
        <v>4385</v>
      </c>
      <c r="B559" s="157">
        <v>46095</v>
      </c>
      <c r="C559" s="5" t="s">
        <v>4415</v>
      </c>
      <c r="D559" s="5" t="s">
        <v>4386</v>
      </c>
      <c r="E559" s="5" t="s">
        <v>4387</v>
      </c>
      <c r="F559" s="5">
        <v>4</v>
      </c>
      <c r="G559" s="5">
        <v>0</v>
      </c>
      <c r="H559" s="5" t="s">
        <v>4367</v>
      </c>
      <c r="I559" s="5">
        <v>72678</v>
      </c>
      <c r="J559" s="5" t="s">
        <v>4388</v>
      </c>
      <c r="K559" s="5" t="s">
        <v>4356</v>
      </c>
      <c r="L559" s="5" t="s">
        <v>4389</v>
      </c>
    </row>
    <row r="560" spans="1:12" x14ac:dyDescent="0.25">
      <c r="A560" s="5" t="s">
        <v>4657</v>
      </c>
      <c r="B560" s="157">
        <v>46096</v>
      </c>
      <c r="C560" s="5" t="s">
        <v>4366</v>
      </c>
      <c r="D560" s="5" t="s">
        <v>4403</v>
      </c>
      <c r="E560" s="5" t="s">
        <v>4403</v>
      </c>
      <c r="F560" s="5">
        <v>0</v>
      </c>
      <c r="G560" s="5">
        <v>3</v>
      </c>
      <c r="H560" s="5" t="s">
        <v>116</v>
      </c>
      <c r="I560" s="5">
        <v>38937</v>
      </c>
      <c r="J560" s="5" t="s">
        <v>4442</v>
      </c>
      <c r="K560" s="5" t="s">
        <v>4399</v>
      </c>
      <c r="L560" s="5" t="s">
        <v>1256</v>
      </c>
    </row>
    <row r="561" spans="1:12" x14ac:dyDescent="0.25">
      <c r="A561" s="5" t="s">
        <v>4454</v>
      </c>
      <c r="B561" s="157">
        <v>46096</v>
      </c>
      <c r="C561" s="5" t="s">
        <v>4353</v>
      </c>
      <c r="D561" s="5" t="s">
        <v>4387</v>
      </c>
      <c r="E561" s="5" t="s">
        <v>4387</v>
      </c>
      <c r="F561" s="5">
        <v>1</v>
      </c>
      <c r="G561" s="5">
        <v>1</v>
      </c>
      <c r="H561" s="5" t="s">
        <v>4361</v>
      </c>
      <c r="I561" s="5">
        <v>18882</v>
      </c>
      <c r="J561" s="5" t="s">
        <v>4421</v>
      </c>
      <c r="K561" s="5" t="s">
        <v>4384</v>
      </c>
      <c r="L561" s="5" t="s">
        <v>4364</v>
      </c>
    </row>
    <row r="562" spans="1:12" x14ac:dyDescent="0.25">
      <c r="A562" s="5" t="s">
        <v>4993</v>
      </c>
      <c r="B562" s="157">
        <v>46098</v>
      </c>
      <c r="C562" s="5" t="s">
        <v>4359</v>
      </c>
      <c r="D562" s="5" t="s">
        <v>4395</v>
      </c>
      <c r="E562" s="5" t="s">
        <v>4403</v>
      </c>
      <c r="F562" s="5">
        <v>0</v>
      </c>
      <c r="G562" s="5">
        <v>1</v>
      </c>
      <c r="H562" s="5" t="s">
        <v>116</v>
      </c>
      <c r="I562" s="5">
        <v>20619</v>
      </c>
      <c r="J562" s="5" t="s">
        <v>4442</v>
      </c>
      <c r="K562" s="5" t="s">
        <v>4384</v>
      </c>
      <c r="L562" s="5" t="s">
        <v>4357</v>
      </c>
    </row>
    <row r="563" spans="1:12" x14ac:dyDescent="0.25">
      <c r="A563" s="5" t="s">
        <v>4371</v>
      </c>
      <c r="B563" s="157">
        <v>46099</v>
      </c>
      <c r="C563" s="5" t="s">
        <v>4366</v>
      </c>
      <c r="D563" s="5" t="s">
        <v>4372</v>
      </c>
      <c r="E563" s="5" t="s">
        <v>4373</v>
      </c>
      <c r="F563" s="5">
        <v>1</v>
      </c>
      <c r="G563" s="5">
        <v>1</v>
      </c>
      <c r="H563" s="5" t="s">
        <v>4361</v>
      </c>
      <c r="I563" s="5">
        <v>71287</v>
      </c>
      <c r="J563" s="5" t="s">
        <v>4374</v>
      </c>
      <c r="K563" s="5" t="s">
        <v>4375</v>
      </c>
      <c r="L563" s="5" t="s">
        <v>4370</v>
      </c>
    </row>
    <row r="564" spans="1:12" x14ac:dyDescent="0.25">
      <c r="A564" s="5" t="s">
        <v>4428</v>
      </c>
      <c r="B564" s="157">
        <v>46104</v>
      </c>
      <c r="C564" s="5" t="s">
        <v>4402</v>
      </c>
      <c r="D564" s="5" t="s">
        <v>4382</v>
      </c>
      <c r="E564" s="5" t="s">
        <v>4354</v>
      </c>
      <c r="F564" s="5">
        <v>2</v>
      </c>
      <c r="G564" s="5">
        <v>0</v>
      </c>
      <c r="H564" s="5" t="s">
        <v>4367</v>
      </c>
      <c r="I564" s="5">
        <v>39778</v>
      </c>
      <c r="J564" s="5" t="s">
        <v>4374</v>
      </c>
      <c r="K564" s="5" t="s">
        <v>4384</v>
      </c>
      <c r="L564" s="5" t="s">
        <v>4357</v>
      </c>
    </row>
    <row r="565" spans="1:12" x14ac:dyDescent="0.25">
      <c r="A565" s="5" t="s">
        <v>4725</v>
      </c>
      <c r="B565" s="157">
        <v>46108</v>
      </c>
      <c r="C565" s="5" t="s">
        <v>4415</v>
      </c>
      <c r="D565" s="5" t="s">
        <v>4395</v>
      </c>
      <c r="E565" s="5" t="s">
        <v>4373</v>
      </c>
      <c r="F565" s="5">
        <v>1</v>
      </c>
      <c r="G565" s="5">
        <v>0</v>
      </c>
      <c r="H565" s="5" t="s">
        <v>4367</v>
      </c>
      <c r="I565" s="5">
        <v>70640</v>
      </c>
      <c r="J565" s="5" t="s">
        <v>4444</v>
      </c>
      <c r="K565" s="5" t="s">
        <v>4356</v>
      </c>
      <c r="L565" s="5" t="s">
        <v>1256</v>
      </c>
    </row>
    <row r="566" spans="1:12" x14ac:dyDescent="0.25">
      <c r="A566" s="5" t="s">
        <v>4900</v>
      </c>
      <c r="B566" s="157">
        <v>46112</v>
      </c>
      <c r="C566" s="5" t="s">
        <v>4415</v>
      </c>
      <c r="D566" s="5" t="s">
        <v>4424</v>
      </c>
      <c r="E566" s="5" t="s">
        <v>4387</v>
      </c>
      <c r="F566" s="5">
        <v>3</v>
      </c>
      <c r="G566" s="5">
        <v>1</v>
      </c>
      <c r="H566" s="5" t="s">
        <v>4367</v>
      </c>
      <c r="I566" s="5">
        <v>67447</v>
      </c>
      <c r="J566" s="5" t="s">
        <v>4388</v>
      </c>
      <c r="K566" s="5" t="s">
        <v>4363</v>
      </c>
      <c r="L566" s="5" t="s">
        <v>4357</v>
      </c>
    </row>
    <row r="567" spans="1:12" x14ac:dyDescent="0.25">
      <c r="A567" s="5" t="s">
        <v>4704</v>
      </c>
      <c r="B567" s="157">
        <v>46116</v>
      </c>
      <c r="C567" s="5" t="s">
        <v>4366</v>
      </c>
      <c r="D567" s="5" t="s">
        <v>4369</v>
      </c>
      <c r="E567" s="5" t="s">
        <v>4373</v>
      </c>
      <c r="F567" s="5">
        <v>3</v>
      </c>
      <c r="G567" s="5">
        <v>3</v>
      </c>
      <c r="H567" s="5" t="s">
        <v>4361</v>
      </c>
      <c r="I567" s="5">
        <v>38324</v>
      </c>
      <c r="J567" s="5" t="s">
        <v>4355</v>
      </c>
      <c r="K567" s="5" t="s">
        <v>4399</v>
      </c>
      <c r="L567" s="5" t="s">
        <v>4364</v>
      </c>
    </row>
    <row r="568" spans="1:12" x14ac:dyDescent="0.25">
      <c r="A568" s="5" t="s">
        <v>4502</v>
      </c>
      <c r="B568" s="157">
        <v>46116</v>
      </c>
      <c r="C568" s="5" t="s">
        <v>4402</v>
      </c>
      <c r="D568" s="5" t="s">
        <v>4360</v>
      </c>
      <c r="E568" s="5" t="s">
        <v>4377</v>
      </c>
      <c r="F568" s="5">
        <v>1</v>
      </c>
      <c r="G568" s="5">
        <v>1</v>
      </c>
      <c r="H568" s="5" t="s">
        <v>4361</v>
      </c>
      <c r="I568" s="5">
        <v>50434</v>
      </c>
      <c r="J568" s="5" t="s">
        <v>4388</v>
      </c>
      <c r="K568" s="5" t="s">
        <v>4375</v>
      </c>
      <c r="L568" s="5" t="s">
        <v>4364</v>
      </c>
    </row>
    <row r="569" spans="1:12" x14ac:dyDescent="0.25">
      <c r="A569" s="5" t="s">
        <v>4959</v>
      </c>
      <c r="B569" s="157">
        <v>46117</v>
      </c>
      <c r="C569" s="5" t="s">
        <v>4353</v>
      </c>
      <c r="D569" s="5" t="s">
        <v>4377</v>
      </c>
      <c r="E569" s="5" t="s">
        <v>4378</v>
      </c>
      <c r="F569" s="5">
        <v>1</v>
      </c>
      <c r="G569" s="5">
        <v>1</v>
      </c>
      <c r="H569" s="5" t="s">
        <v>4361</v>
      </c>
      <c r="I569" s="5">
        <v>79092</v>
      </c>
      <c r="J569" s="5" t="s">
        <v>4388</v>
      </c>
      <c r="K569" s="5" t="s">
        <v>1256</v>
      </c>
      <c r="L569" s="5" t="s">
        <v>1256</v>
      </c>
    </row>
    <row r="570" spans="1:12" x14ac:dyDescent="0.25">
      <c r="A570" s="5" t="s">
        <v>4972</v>
      </c>
      <c r="B570" s="157">
        <v>46119</v>
      </c>
      <c r="C570" s="5" t="s">
        <v>4415</v>
      </c>
      <c r="D570" s="5" t="s">
        <v>4372</v>
      </c>
      <c r="E570" s="5" t="s">
        <v>4369</v>
      </c>
      <c r="F570" s="5">
        <v>1</v>
      </c>
      <c r="G570" s="5">
        <v>1</v>
      </c>
      <c r="H570" s="5" t="s">
        <v>4361</v>
      </c>
      <c r="I570" s="5">
        <v>37564</v>
      </c>
      <c r="J570" s="5" t="s">
        <v>4374</v>
      </c>
      <c r="K570" s="5" t="s">
        <v>4363</v>
      </c>
      <c r="L570" s="5" t="s">
        <v>4370</v>
      </c>
    </row>
    <row r="571" spans="1:12" x14ac:dyDescent="0.25">
      <c r="A571" s="5" t="s">
        <v>4956</v>
      </c>
      <c r="B571" s="157">
        <v>46120</v>
      </c>
      <c r="C571" s="5" t="s">
        <v>4353</v>
      </c>
      <c r="D571" s="5" t="s">
        <v>4412</v>
      </c>
      <c r="E571" s="5" t="s">
        <v>4378</v>
      </c>
      <c r="F571" s="5">
        <v>2</v>
      </c>
      <c r="G571" s="5">
        <v>2</v>
      </c>
      <c r="H571" s="5" t="s">
        <v>4361</v>
      </c>
      <c r="I571" s="5">
        <v>35272</v>
      </c>
      <c r="J571" s="5" t="s">
        <v>4417</v>
      </c>
      <c r="K571" s="5" t="s">
        <v>4363</v>
      </c>
      <c r="L571" s="5" t="s">
        <v>4389</v>
      </c>
    </row>
    <row r="572" spans="1:12" x14ac:dyDescent="0.25">
      <c r="A572" s="5" t="s">
        <v>4541</v>
      </c>
      <c r="B572" s="157">
        <v>46123</v>
      </c>
      <c r="C572" s="5" t="s">
        <v>4415</v>
      </c>
      <c r="D572" s="5" t="s">
        <v>4360</v>
      </c>
      <c r="E572" s="5" t="s">
        <v>4377</v>
      </c>
      <c r="F572" s="5">
        <v>2</v>
      </c>
      <c r="G572" s="5">
        <v>1</v>
      </c>
      <c r="H572" s="5" t="s">
        <v>4367</v>
      </c>
      <c r="I572" s="5">
        <v>16472</v>
      </c>
      <c r="J572" s="5" t="s">
        <v>4393</v>
      </c>
      <c r="K572" s="5" t="s">
        <v>4405</v>
      </c>
      <c r="L572" s="5" t="s">
        <v>1256</v>
      </c>
    </row>
    <row r="573" spans="1:12" x14ac:dyDescent="0.25">
      <c r="A573" s="5" t="s">
        <v>4813</v>
      </c>
      <c r="B573" s="157">
        <v>46123</v>
      </c>
      <c r="C573" s="5" t="s">
        <v>4415</v>
      </c>
      <c r="D573" s="5" t="s">
        <v>4424</v>
      </c>
      <c r="E573" s="5" t="s">
        <v>4369</v>
      </c>
      <c r="F573" s="5">
        <v>0</v>
      </c>
      <c r="G573" s="5">
        <v>3</v>
      </c>
      <c r="H573" s="5" t="s">
        <v>116</v>
      </c>
      <c r="I573" s="5">
        <v>31914</v>
      </c>
      <c r="J573" s="5" t="s">
        <v>4398</v>
      </c>
      <c r="K573" s="5" t="s">
        <v>4399</v>
      </c>
      <c r="L573" s="5" t="s">
        <v>4389</v>
      </c>
    </row>
    <row r="574" spans="1:12" x14ac:dyDescent="0.25">
      <c r="A574" s="5" t="s">
        <v>4463</v>
      </c>
      <c r="B574" s="157">
        <v>46127</v>
      </c>
      <c r="C574" s="5" t="s">
        <v>4402</v>
      </c>
      <c r="D574" s="5" t="s">
        <v>4369</v>
      </c>
      <c r="E574" s="5" t="s">
        <v>4470</v>
      </c>
      <c r="F574" s="5">
        <v>1</v>
      </c>
      <c r="G574" s="5">
        <v>2</v>
      </c>
      <c r="H574" s="5" t="s">
        <v>116</v>
      </c>
      <c r="I574" s="5">
        <v>32732</v>
      </c>
      <c r="J574" s="5" t="s">
        <v>4383</v>
      </c>
      <c r="K574" s="5" t="s">
        <v>4405</v>
      </c>
      <c r="L574" s="5" t="s">
        <v>4370</v>
      </c>
    </row>
    <row r="575" spans="1:12" x14ac:dyDescent="0.25">
      <c r="A575" s="5" t="s">
        <v>4835</v>
      </c>
      <c r="B575" s="157">
        <v>46128</v>
      </c>
      <c r="C575" s="5" t="s">
        <v>4359</v>
      </c>
      <c r="D575" s="5" t="s">
        <v>4386</v>
      </c>
      <c r="E575" s="5" t="s">
        <v>4378</v>
      </c>
      <c r="F575" s="5">
        <v>1</v>
      </c>
      <c r="G575" s="5">
        <v>2</v>
      </c>
      <c r="H575" s="5" t="s">
        <v>116</v>
      </c>
      <c r="I575" s="5">
        <v>10158</v>
      </c>
      <c r="J575" s="5" t="s">
        <v>4398</v>
      </c>
      <c r="K575" s="5" t="s">
        <v>4405</v>
      </c>
      <c r="L575" s="5" t="s">
        <v>4364</v>
      </c>
    </row>
    <row r="576" spans="1:12" x14ac:dyDescent="0.25">
      <c r="A576" s="5" t="s">
        <v>4941</v>
      </c>
      <c r="B576" s="157">
        <v>46134</v>
      </c>
      <c r="C576" s="5" t="s">
        <v>4366</v>
      </c>
      <c r="D576" s="5" t="s">
        <v>4378</v>
      </c>
      <c r="E576" s="5" t="s">
        <v>4382</v>
      </c>
      <c r="F576" s="5">
        <v>2</v>
      </c>
      <c r="G576" s="5">
        <v>3</v>
      </c>
      <c r="H576" s="5" t="s">
        <v>116</v>
      </c>
      <c r="I576" s="5">
        <v>60629</v>
      </c>
      <c r="J576" s="5" t="s">
        <v>4409</v>
      </c>
      <c r="K576" s="5" t="s">
        <v>4405</v>
      </c>
      <c r="L576" s="5" t="s">
        <v>4389</v>
      </c>
    </row>
    <row r="577" spans="1:12" x14ac:dyDescent="0.25">
      <c r="A577" s="5" t="s">
        <v>4458</v>
      </c>
      <c r="B577" s="157">
        <v>46136</v>
      </c>
      <c r="C577" s="5" t="s">
        <v>4402</v>
      </c>
      <c r="D577" s="5" t="s">
        <v>4378</v>
      </c>
      <c r="E577" s="5" t="s">
        <v>4403</v>
      </c>
      <c r="F577" s="5">
        <v>1</v>
      </c>
      <c r="G577" s="5">
        <v>4</v>
      </c>
      <c r="H577" s="5" t="s">
        <v>116</v>
      </c>
      <c r="I577" s="5">
        <v>17299</v>
      </c>
      <c r="J577" s="5" t="s">
        <v>4380</v>
      </c>
      <c r="K577" s="5" t="s">
        <v>4375</v>
      </c>
      <c r="L577" s="5" t="s">
        <v>4357</v>
      </c>
    </row>
    <row r="578" spans="1:12" x14ac:dyDescent="0.25">
      <c r="A578" s="5" t="s">
        <v>4587</v>
      </c>
      <c r="B578" s="157">
        <v>46136</v>
      </c>
      <c r="C578" s="5" t="s">
        <v>1256</v>
      </c>
      <c r="D578" s="5" t="s">
        <v>4440</v>
      </c>
      <c r="E578" s="5" t="s">
        <v>4470</v>
      </c>
      <c r="F578" s="5">
        <v>4</v>
      </c>
      <c r="G578" s="5">
        <v>1</v>
      </c>
      <c r="H578" s="5" t="s">
        <v>4367</v>
      </c>
      <c r="I578" s="5">
        <v>46200</v>
      </c>
      <c r="J578" s="5" t="s">
        <v>4362</v>
      </c>
      <c r="K578" s="5" t="s">
        <v>4396</v>
      </c>
      <c r="L578" s="5" t="s">
        <v>4370</v>
      </c>
    </row>
    <row r="579" spans="1:12" x14ac:dyDescent="0.25">
      <c r="A579" s="5" t="s">
        <v>4938</v>
      </c>
      <c r="B579" s="157">
        <v>46140</v>
      </c>
      <c r="C579" s="5" t="s">
        <v>4366</v>
      </c>
      <c r="D579" s="5" t="s">
        <v>4354</v>
      </c>
      <c r="E579" s="5" t="s">
        <v>4387</v>
      </c>
      <c r="F579" s="5">
        <v>0</v>
      </c>
      <c r="G579" s="5">
        <v>2</v>
      </c>
      <c r="H579" s="5" t="s">
        <v>116</v>
      </c>
      <c r="I579" s="5">
        <v>62762</v>
      </c>
      <c r="J579" s="5" t="s">
        <v>4413</v>
      </c>
      <c r="K579" s="5" t="s">
        <v>4384</v>
      </c>
      <c r="L579" s="5" t="s">
        <v>4364</v>
      </c>
    </row>
    <row r="580" spans="1:12" x14ac:dyDescent="0.25">
      <c r="A580" s="5" t="s">
        <v>4547</v>
      </c>
      <c r="B580" s="157">
        <v>46141</v>
      </c>
      <c r="C580" s="5" t="s">
        <v>4402</v>
      </c>
      <c r="D580" s="5" t="s">
        <v>4373</v>
      </c>
      <c r="E580" s="5" t="s">
        <v>4412</v>
      </c>
      <c r="F580" s="5">
        <v>0</v>
      </c>
      <c r="G580" s="5">
        <v>1</v>
      </c>
      <c r="H580" s="5" t="s">
        <v>116</v>
      </c>
      <c r="I580" s="5">
        <v>74366</v>
      </c>
      <c r="J580" s="5" t="s">
        <v>4355</v>
      </c>
      <c r="K580" s="5" t="s">
        <v>4396</v>
      </c>
      <c r="L580" s="5" t="s">
        <v>1256</v>
      </c>
    </row>
    <row r="581" spans="1:12" x14ac:dyDescent="0.25">
      <c r="A581" s="5" t="s">
        <v>4829</v>
      </c>
      <c r="B581" s="157">
        <v>46142</v>
      </c>
      <c r="C581" s="5" t="s">
        <v>4415</v>
      </c>
      <c r="D581" s="5" t="s">
        <v>4386</v>
      </c>
      <c r="E581" s="5" t="s">
        <v>5006</v>
      </c>
      <c r="F581" s="5">
        <v>3</v>
      </c>
      <c r="G581" s="5">
        <v>0</v>
      </c>
      <c r="H581" s="5" t="s">
        <v>4367</v>
      </c>
      <c r="I581" s="5">
        <v>65676</v>
      </c>
      <c r="J581" s="5" t="s">
        <v>4374</v>
      </c>
      <c r="K581" s="5" t="s">
        <v>1256</v>
      </c>
      <c r="L581" s="5" t="s">
        <v>4357</v>
      </c>
    </row>
    <row r="582" spans="1:12" x14ac:dyDescent="0.25">
      <c r="A582" s="5" t="s">
        <v>4761</v>
      </c>
      <c r="B582" s="157">
        <v>46148</v>
      </c>
      <c r="C582" s="5" t="s">
        <v>4366</v>
      </c>
      <c r="D582" s="5" t="s">
        <v>4440</v>
      </c>
      <c r="E582" s="5" t="s">
        <v>4424</v>
      </c>
      <c r="F582" s="5">
        <v>2</v>
      </c>
      <c r="G582" s="5">
        <v>0</v>
      </c>
      <c r="H582" s="5" t="s">
        <v>4367</v>
      </c>
      <c r="I582" s="5">
        <v>17649</v>
      </c>
      <c r="J582" s="5" t="s">
        <v>4409</v>
      </c>
      <c r="K582" s="5" t="s">
        <v>4363</v>
      </c>
      <c r="L582" s="5" t="s">
        <v>4364</v>
      </c>
    </row>
    <row r="583" spans="1:12" x14ac:dyDescent="0.25">
      <c r="A583" s="5" t="s">
        <v>4751</v>
      </c>
      <c r="B583" s="157">
        <v>46149</v>
      </c>
      <c r="C583" s="5" t="s">
        <v>4366</v>
      </c>
      <c r="D583" s="5" t="s">
        <v>4403</v>
      </c>
      <c r="E583" s="5" t="s">
        <v>4440</v>
      </c>
      <c r="F583" s="5">
        <v>2</v>
      </c>
      <c r="G583" s="5">
        <v>1</v>
      </c>
      <c r="H583" s="5" t="s">
        <v>4367</v>
      </c>
      <c r="I583" s="5">
        <v>67677</v>
      </c>
      <c r="J583" s="5" t="s">
        <v>4380</v>
      </c>
      <c r="K583" s="5" t="s">
        <v>4384</v>
      </c>
      <c r="L583" s="5" t="s">
        <v>4389</v>
      </c>
    </row>
    <row r="584" spans="1:12" x14ac:dyDescent="0.25">
      <c r="A584" s="5" t="s">
        <v>4525</v>
      </c>
      <c r="B584" s="157">
        <v>46150</v>
      </c>
      <c r="C584" s="5" t="s">
        <v>4353</v>
      </c>
      <c r="D584" s="5" t="s">
        <v>4386</v>
      </c>
      <c r="E584" s="5" t="s">
        <v>4412</v>
      </c>
      <c r="F584" s="5">
        <v>0</v>
      </c>
      <c r="G584" s="5">
        <v>0</v>
      </c>
      <c r="H584" s="5" t="s">
        <v>4361</v>
      </c>
      <c r="I584" s="5">
        <v>23828</v>
      </c>
      <c r="J584" s="5" t="s">
        <v>4444</v>
      </c>
      <c r="K584" s="5" t="s">
        <v>1256</v>
      </c>
      <c r="L584" s="5" t="s">
        <v>1256</v>
      </c>
    </row>
    <row r="585" spans="1:12" x14ac:dyDescent="0.25">
      <c r="A585" s="5" t="s">
        <v>4788</v>
      </c>
      <c r="B585" s="157">
        <v>46153</v>
      </c>
      <c r="C585" s="5" t="s">
        <v>4415</v>
      </c>
      <c r="D585" s="5" t="s">
        <v>4373</v>
      </c>
      <c r="E585" s="5" t="s">
        <v>4440</v>
      </c>
      <c r="F585" s="5">
        <v>2</v>
      </c>
      <c r="G585" s="5">
        <v>0</v>
      </c>
      <c r="H585" s="5" t="s">
        <v>4367</v>
      </c>
      <c r="I585" s="5">
        <v>33162</v>
      </c>
      <c r="J585" s="5" t="s">
        <v>4413</v>
      </c>
      <c r="K585" s="5" t="s">
        <v>1256</v>
      </c>
      <c r="L585" s="5" t="s">
        <v>4389</v>
      </c>
    </row>
    <row r="586" spans="1:12" x14ac:dyDescent="0.25">
      <c r="A586" s="5" t="s">
        <v>4902</v>
      </c>
      <c r="B586" s="157">
        <v>46154</v>
      </c>
      <c r="C586" s="5" t="s">
        <v>4415</v>
      </c>
      <c r="D586" s="5" t="s">
        <v>4412</v>
      </c>
      <c r="E586" s="5" t="s">
        <v>4373</v>
      </c>
      <c r="F586" s="5">
        <v>3</v>
      </c>
      <c r="G586" s="5">
        <v>2</v>
      </c>
      <c r="H586" s="5" t="s">
        <v>4367</v>
      </c>
      <c r="I586" s="5">
        <v>43825</v>
      </c>
      <c r="J586" s="5" t="s">
        <v>4362</v>
      </c>
      <c r="K586" s="5" t="s">
        <v>4399</v>
      </c>
      <c r="L586" s="5" t="s">
        <v>4389</v>
      </c>
    </row>
    <row r="587" spans="1:12" x14ac:dyDescent="0.25">
      <c r="A587" s="5" t="s">
        <v>4586</v>
      </c>
      <c r="B587" s="157">
        <v>46154</v>
      </c>
      <c r="C587" s="5" t="s">
        <v>4415</v>
      </c>
      <c r="D587" s="5" t="s">
        <v>5006</v>
      </c>
      <c r="E587" s="5" t="s">
        <v>4387</v>
      </c>
      <c r="F587" s="5">
        <v>1</v>
      </c>
      <c r="G587" s="5">
        <v>4</v>
      </c>
      <c r="H587" s="5" t="s">
        <v>116</v>
      </c>
      <c r="I587" s="5">
        <v>22526</v>
      </c>
      <c r="J587" s="5" t="s">
        <v>4380</v>
      </c>
      <c r="K587" s="5" t="s">
        <v>1256</v>
      </c>
      <c r="L587" s="5" t="s">
        <v>4389</v>
      </c>
    </row>
    <row r="588" spans="1:12" x14ac:dyDescent="0.25">
      <c r="A588" s="5" t="s">
        <v>4782</v>
      </c>
      <c r="B588" s="157">
        <v>46156</v>
      </c>
      <c r="C588" s="5" t="s">
        <v>4415</v>
      </c>
      <c r="D588" s="5" t="s">
        <v>4424</v>
      </c>
      <c r="E588" s="5" t="s">
        <v>4369</v>
      </c>
      <c r="F588" s="5">
        <v>2</v>
      </c>
      <c r="G588" s="5">
        <v>1</v>
      </c>
      <c r="H588" s="5" t="s">
        <v>4367</v>
      </c>
      <c r="I588" s="5">
        <v>62357</v>
      </c>
      <c r="J588" s="5" t="s">
        <v>4374</v>
      </c>
      <c r="K588" s="5" t="s">
        <v>4384</v>
      </c>
      <c r="L588" s="5" t="s">
        <v>4357</v>
      </c>
    </row>
    <row r="589" spans="1:12" x14ac:dyDescent="0.25">
      <c r="A589" s="5" t="s">
        <v>4840</v>
      </c>
      <c r="B589" s="157">
        <v>46158</v>
      </c>
      <c r="C589" s="5" t="s">
        <v>4415</v>
      </c>
      <c r="D589" s="5" t="s">
        <v>4377</v>
      </c>
      <c r="E589" s="5" t="s">
        <v>4412</v>
      </c>
      <c r="F589" s="5">
        <v>4</v>
      </c>
      <c r="G589" s="5">
        <v>1</v>
      </c>
      <c r="H589" s="5" t="s">
        <v>4367</v>
      </c>
      <c r="I589" s="5">
        <v>79472</v>
      </c>
      <c r="J589" s="5" t="s">
        <v>4374</v>
      </c>
      <c r="K589" s="5" t="s">
        <v>1256</v>
      </c>
      <c r="L589" s="5" t="s">
        <v>4370</v>
      </c>
    </row>
    <row r="590" spans="1:12" x14ac:dyDescent="0.25">
      <c r="A590" s="5" t="s">
        <v>4834</v>
      </c>
      <c r="B590" s="157">
        <v>46159</v>
      </c>
      <c r="C590" s="5" t="s">
        <v>4366</v>
      </c>
      <c r="D590" s="5" t="s">
        <v>4378</v>
      </c>
      <c r="E590" s="5" t="s">
        <v>4440</v>
      </c>
      <c r="F590" s="5">
        <v>2</v>
      </c>
      <c r="G590" s="5">
        <v>5</v>
      </c>
      <c r="H590" s="5" t="s">
        <v>116</v>
      </c>
      <c r="I590" s="5">
        <v>45846</v>
      </c>
      <c r="J590" s="5" t="s">
        <v>4413</v>
      </c>
      <c r="K590" s="5" t="s">
        <v>1256</v>
      </c>
      <c r="L590" s="5" t="s">
        <v>4389</v>
      </c>
    </row>
    <row r="591" spans="1:12" x14ac:dyDescent="0.25">
      <c r="A591" s="5" t="s">
        <v>4598</v>
      </c>
      <c r="B591" s="157">
        <v>46165</v>
      </c>
      <c r="C591" s="5" t="s">
        <v>4359</v>
      </c>
      <c r="D591" s="5" t="s">
        <v>4378</v>
      </c>
      <c r="E591" s="5" t="s">
        <v>4354</v>
      </c>
      <c r="F591" s="5">
        <v>2</v>
      </c>
      <c r="G591" s="5">
        <v>2</v>
      </c>
      <c r="H591" s="5" t="s">
        <v>4361</v>
      </c>
      <c r="I591" s="5">
        <v>11719</v>
      </c>
      <c r="J591" s="5" t="s">
        <v>4393</v>
      </c>
      <c r="K591" s="5" t="s">
        <v>4375</v>
      </c>
      <c r="L591" s="5" t="s">
        <v>4370</v>
      </c>
    </row>
    <row r="592" spans="1:12" x14ac:dyDescent="0.25">
      <c r="A592" s="5" t="s">
        <v>4897</v>
      </c>
      <c r="B592" s="157">
        <v>46168</v>
      </c>
      <c r="C592" s="5" t="s">
        <v>4366</v>
      </c>
      <c r="D592" s="5" t="s">
        <v>4440</v>
      </c>
      <c r="E592" s="5" t="s">
        <v>4382</v>
      </c>
      <c r="F592" s="5">
        <v>2</v>
      </c>
      <c r="G592" s="5">
        <v>2</v>
      </c>
      <c r="H592" s="5" t="s">
        <v>4361</v>
      </c>
      <c r="I592" s="5">
        <v>71962</v>
      </c>
      <c r="J592" s="5" t="s">
        <v>4409</v>
      </c>
      <c r="K592" s="5" t="s">
        <v>4384</v>
      </c>
      <c r="L592" s="5" t="s">
        <v>4370</v>
      </c>
    </row>
    <row r="593" spans="1:12" x14ac:dyDescent="0.25">
      <c r="A593" s="5" t="s">
        <v>4970</v>
      </c>
      <c r="B593" s="157">
        <v>46168</v>
      </c>
      <c r="C593" s="5" t="s">
        <v>4415</v>
      </c>
      <c r="D593" s="5" t="s">
        <v>4424</v>
      </c>
      <c r="E593" s="5" t="s">
        <v>4470</v>
      </c>
      <c r="F593" s="5">
        <v>1</v>
      </c>
      <c r="G593" s="5">
        <v>1</v>
      </c>
      <c r="H593" s="5" t="s">
        <v>4361</v>
      </c>
      <c r="I593" s="5">
        <v>28262</v>
      </c>
      <c r="J593" s="5" t="s">
        <v>4444</v>
      </c>
      <c r="K593" s="5" t="s">
        <v>4384</v>
      </c>
      <c r="L593" s="5" t="s">
        <v>4370</v>
      </c>
    </row>
    <row r="594" spans="1:12" x14ac:dyDescent="0.25">
      <c r="A594" s="5" t="s">
        <v>4850</v>
      </c>
      <c r="B594" s="157"/>
      <c r="C594" s="5" t="s">
        <v>4402</v>
      </c>
      <c r="D594" s="5" t="s">
        <v>4354</v>
      </c>
      <c r="E594" s="5" t="s">
        <v>4382</v>
      </c>
      <c r="F594" s="5">
        <v>0</v>
      </c>
      <c r="G594" s="5">
        <v>1</v>
      </c>
      <c r="H594" s="5" t="s">
        <v>116</v>
      </c>
      <c r="I594" s="5">
        <v>8925</v>
      </c>
      <c r="J594" s="5" t="s">
        <v>4355</v>
      </c>
      <c r="K594" s="5" t="s">
        <v>4396</v>
      </c>
      <c r="L594" s="5" t="s">
        <v>4364</v>
      </c>
    </row>
    <row r="595" spans="1:12" x14ac:dyDescent="0.25">
      <c r="A595" s="5" t="s">
        <v>4551</v>
      </c>
      <c r="B595" s="157"/>
      <c r="C595" s="5" t="s">
        <v>4353</v>
      </c>
      <c r="D595" s="5" t="s">
        <v>4360</v>
      </c>
      <c r="E595" s="5" t="s">
        <v>4412</v>
      </c>
      <c r="F595" s="5">
        <v>1</v>
      </c>
      <c r="G595" s="5">
        <v>1</v>
      </c>
      <c r="H595" s="5" t="s">
        <v>4361</v>
      </c>
      <c r="I595" s="5">
        <v>78121</v>
      </c>
      <c r="J595" s="5" t="s">
        <v>4421</v>
      </c>
      <c r="K595" s="5" t="s">
        <v>4356</v>
      </c>
      <c r="L595" s="5" t="s">
        <v>4389</v>
      </c>
    </row>
    <row r="596" spans="1:12" x14ac:dyDescent="0.25">
      <c r="A596" s="5" t="s">
        <v>4877</v>
      </c>
      <c r="B596" s="157"/>
      <c r="C596" s="5" t="s">
        <v>4353</v>
      </c>
      <c r="D596" s="5" t="s">
        <v>4373</v>
      </c>
      <c r="E596" s="5" t="s">
        <v>4395</v>
      </c>
      <c r="F596" s="5">
        <v>0</v>
      </c>
      <c r="G596" s="5">
        <v>1</v>
      </c>
      <c r="H596" s="5" t="s">
        <v>116</v>
      </c>
      <c r="I596" s="5">
        <v>72283</v>
      </c>
      <c r="J596" s="5" t="s">
        <v>4442</v>
      </c>
      <c r="K596" s="5" t="s">
        <v>4396</v>
      </c>
      <c r="L596" s="5" t="s">
        <v>4357</v>
      </c>
    </row>
    <row r="597" spans="1:12" x14ac:dyDescent="0.25">
      <c r="A597" s="5" t="s">
        <v>4888</v>
      </c>
      <c r="B597" s="157"/>
      <c r="C597" s="5" t="s">
        <v>4402</v>
      </c>
      <c r="D597" s="5" t="s">
        <v>4470</v>
      </c>
      <c r="E597" s="5" t="s">
        <v>4386</v>
      </c>
      <c r="F597" s="5">
        <v>2</v>
      </c>
      <c r="G597" s="5">
        <v>0</v>
      </c>
      <c r="H597" s="5" t="s">
        <v>4367</v>
      </c>
      <c r="I597" s="5">
        <v>30716</v>
      </c>
      <c r="J597" s="5" t="s">
        <v>4444</v>
      </c>
      <c r="K597" s="5" t="s">
        <v>4396</v>
      </c>
      <c r="L597" s="5" t="s">
        <v>4370</v>
      </c>
    </row>
    <row r="598" spans="1:12" x14ac:dyDescent="0.25">
      <c r="A598" s="5" t="s">
        <v>4909</v>
      </c>
      <c r="B598" s="157"/>
      <c r="C598" s="5" t="s">
        <v>4366</v>
      </c>
      <c r="D598" s="5" t="s">
        <v>4395</v>
      </c>
      <c r="E598" s="5" t="s">
        <v>4382</v>
      </c>
      <c r="F598" s="5">
        <v>1</v>
      </c>
      <c r="G598" s="5">
        <v>0</v>
      </c>
      <c r="H598" s="5" t="s">
        <v>4367</v>
      </c>
      <c r="I598" s="5">
        <v>0</v>
      </c>
      <c r="J598" s="5" t="s">
        <v>4393</v>
      </c>
      <c r="K598" s="5" t="s">
        <v>4405</v>
      </c>
      <c r="L598" s="5" t="s">
        <v>4364</v>
      </c>
    </row>
    <row r="599" spans="1:12" x14ac:dyDescent="0.25">
      <c r="A599" s="5" t="s">
        <v>4745</v>
      </c>
      <c r="B599" s="157"/>
      <c r="C599" s="5" t="s">
        <v>4353</v>
      </c>
      <c r="D599" s="5" t="s">
        <v>4377</v>
      </c>
      <c r="E599" s="5" t="s">
        <v>4378</v>
      </c>
      <c r="F599" s="5">
        <v>1</v>
      </c>
      <c r="G599" s="5">
        <v>2</v>
      </c>
      <c r="H599" s="5" t="s">
        <v>116</v>
      </c>
      <c r="I599" s="5">
        <v>31522</v>
      </c>
      <c r="J599" s="5" t="s">
        <v>4380</v>
      </c>
      <c r="K599" s="5" t="s">
        <v>4399</v>
      </c>
      <c r="L599" s="5" t="s">
        <v>1256</v>
      </c>
    </row>
    <row r="600" spans="1:12" x14ac:dyDescent="0.25">
      <c r="A600" s="5" t="s">
        <v>4723</v>
      </c>
      <c r="B600" s="157"/>
      <c r="C600" s="5" t="s">
        <v>4359</v>
      </c>
      <c r="D600" s="5" t="s">
        <v>4470</v>
      </c>
      <c r="E600" s="5" t="s">
        <v>4395</v>
      </c>
      <c r="F600" s="5">
        <v>3</v>
      </c>
      <c r="G600" s="5">
        <v>1</v>
      </c>
      <c r="H600" s="5" t="s">
        <v>4367</v>
      </c>
      <c r="I600" s="5">
        <v>44958</v>
      </c>
      <c r="J600" s="5" t="s">
        <v>4374</v>
      </c>
      <c r="K600" s="5" t="s">
        <v>1256</v>
      </c>
      <c r="L600" s="5" t="s">
        <v>4389</v>
      </c>
    </row>
    <row r="601" spans="1:12" x14ac:dyDescent="0.25">
      <c r="A601" s="5" t="s">
        <v>4785</v>
      </c>
      <c r="B601" s="157"/>
      <c r="C601" s="5" t="s">
        <v>4415</v>
      </c>
      <c r="D601" s="5" t="s">
        <v>4412</v>
      </c>
      <c r="E601" s="5" t="s">
        <v>4395</v>
      </c>
      <c r="F601" s="5">
        <v>2</v>
      </c>
      <c r="G601" s="5">
        <v>0</v>
      </c>
      <c r="H601" s="5" t="s">
        <v>4367</v>
      </c>
      <c r="I601" s="5">
        <v>64665</v>
      </c>
      <c r="J601" s="5" t="s">
        <v>4388</v>
      </c>
      <c r="K601" s="5" t="s">
        <v>1256</v>
      </c>
      <c r="L601" s="5" t="s">
        <v>4370</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8F6F-8395-412B-BFCB-7E9E6AF57D87}">
  <sheetPr codeName="Sheet45"/>
  <dimension ref="E5:T42"/>
  <sheetViews>
    <sheetView tabSelected="1" zoomScale="73" zoomScaleNormal="73" workbookViewId="0">
      <selection activeCell="G42" sqref="G42"/>
    </sheetView>
  </sheetViews>
  <sheetFormatPr defaultRowHeight="15" x14ac:dyDescent="0.25"/>
  <cols>
    <col min="1" max="16384" width="9.140625" style="158"/>
  </cols>
  <sheetData>
    <row r="5" spans="5:20" ht="18.75" x14ac:dyDescent="0.3">
      <c r="H5" s="159"/>
      <c r="I5" s="159"/>
      <c r="J5" s="159"/>
      <c r="K5" s="159"/>
      <c r="M5" s="159"/>
      <c r="N5" s="159"/>
      <c r="O5" s="159"/>
      <c r="P5" s="159"/>
      <c r="Q5" s="159"/>
      <c r="R5" s="159"/>
      <c r="S5" s="159"/>
      <c r="T5" s="159"/>
    </row>
    <row r="6" spans="5:20" ht="18.75" x14ac:dyDescent="0.3">
      <c r="E6" s="160"/>
      <c r="F6" s="160" t="s">
        <v>5007</v>
      </c>
      <c r="G6" s="160"/>
      <c r="H6" s="159"/>
      <c r="I6" s="159"/>
      <c r="J6" s="159" t="s">
        <v>5009</v>
      </c>
      <c r="K6" s="159"/>
      <c r="M6" s="159"/>
      <c r="N6" s="159" t="s">
        <v>5010</v>
      </c>
      <c r="O6" s="159"/>
      <c r="P6" s="159"/>
      <c r="Q6" s="159"/>
      <c r="R6" s="159" t="s">
        <v>5011</v>
      </c>
      <c r="S6" s="159"/>
      <c r="T6" s="159"/>
    </row>
    <row r="7" spans="5:20" ht="18.75" x14ac:dyDescent="0.3">
      <c r="E7" s="160"/>
      <c r="F7" s="160">
        <f>SUM(GETPIVOTDATA("Match ID",Sheet18!$A$3))</f>
        <v>600</v>
      </c>
      <c r="G7" s="160"/>
      <c r="H7" s="159"/>
      <c r="I7" s="159"/>
      <c r="J7" s="159">
        <f>SUM(GETPIVOTDATA("Average of Attendance",Sheet18!$A$3))</f>
        <v>44559.058333333334</v>
      </c>
      <c r="K7" s="159"/>
      <c r="M7" s="159"/>
      <c r="N7" s="159">
        <f>SUM(GETPIVOTDATA("Sum of Away Goals",Sheet18!$A$3))</f>
        <v>1035</v>
      </c>
      <c r="O7" s="159"/>
      <c r="P7" s="159"/>
      <c r="Q7" s="159"/>
      <c r="R7" s="159">
        <f>SUM(GETPIVOTDATA("Sum of Home Goals",Sheet18!$A$3))</f>
        <v>1119</v>
      </c>
      <c r="S7" s="159"/>
      <c r="T7" s="159"/>
    </row>
    <row r="8" spans="5:20" ht="18.75" x14ac:dyDescent="0.3">
      <c r="E8" s="161"/>
      <c r="F8" s="161"/>
      <c r="G8" s="161"/>
      <c r="H8" s="159"/>
      <c r="I8" s="159"/>
      <c r="J8" s="159"/>
      <c r="K8" s="159"/>
      <c r="M8" s="159"/>
      <c r="N8" s="159"/>
      <c r="O8" s="159"/>
      <c r="P8" s="159"/>
      <c r="Q8" s="159"/>
      <c r="R8" s="159"/>
      <c r="S8" s="159"/>
      <c r="T8" s="159"/>
    </row>
    <row r="9" spans="5:20" ht="18.75" x14ac:dyDescent="0.3">
      <c r="P9" s="159"/>
      <c r="Q9" s="159"/>
      <c r="R9" s="159"/>
      <c r="S9" s="159"/>
      <c r="T9" s="159"/>
    </row>
    <row r="10" spans="5:20" ht="16.5" x14ac:dyDescent="0.35">
      <c r="I10" s="162"/>
    </row>
    <row r="42" spans="7:7" x14ac:dyDescent="0.25">
      <c r="G42" s="158" t="s">
        <v>412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F937-1309-471D-9AD3-F08D8005753F}">
  <sheetPr codeName="Sheet46"/>
  <dimension ref="A1:F7"/>
  <sheetViews>
    <sheetView zoomScale="87" zoomScaleNormal="87" workbookViewId="0"/>
  </sheetViews>
  <sheetFormatPr defaultRowHeight="15" x14ac:dyDescent="0.25"/>
  <cols>
    <col min="1" max="1" width="15.7109375" bestFit="1" customWidth="1"/>
    <col min="2" max="2" width="32.140625" bestFit="1" customWidth="1"/>
    <col min="3" max="3" width="36.28515625" bestFit="1" customWidth="1"/>
    <col min="4" max="4" width="14.5703125" bestFit="1" customWidth="1"/>
    <col min="5" max="5" width="19.140625" bestFit="1" customWidth="1"/>
    <col min="6" max="6" width="11.7109375" bestFit="1" customWidth="1"/>
    <col min="7" max="7" width="29.5703125" bestFit="1" customWidth="1"/>
    <col min="8" max="8" width="20.5703125" bestFit="1" customWidth="1"/>
    <col min="9" max="9" width="23.42578125" bestFit="1" customWidth="1"/>
    <col min="10" max="10" width="12.7109375" bestFit="1" customWidth="1"/>
    <col min="11" max="11" width="32.42578125" bestFit="1" customWidth="1"/>
    <col min="12" max="12" width="29.28515625" bestFit="1" customWidth="1"/>
  </cols>
  <sheetData>
    <row r="1" spans="1:6" x14ac:dyDescent="0.25">
      <c r="A1" t="s">
        <v>5012</v>
      </c>
      <c r="B1" t="s">
        <v>886</v>
      </c>
      <c r="C1" t="s">
        <v>887</v>
      </c>
      <c r="D1" t="s">
        <v>63</v>
      </c>
      <c r="E1" t="s">
        <v>888</v>
      </c>
      <c r="F1" t="s">
        <v>889</v>
      </c>
    </row>
    <row r="2" spans="1:6" x14ac:dyDescent="0.25">
      <c r="A2" t="s">
        <v>66</v>
      </c>
      <c r="B2" t="s">
        <v>67</v>
      </c>
      <c r="C2" t="s">
        <v>890</v>
      </c>
      <c r="D2" t="s">
        <v>90</v>
      </c>
      <c r="E2" t="str">
        <f>RIGHT(B2,LEN(B2)-FIND("@",B2))</f>
        <v>gmail.com</v>
      </c>
      <c r="F2" t="s">
        <v>914</v>
      </c>
    </row>
    <row r="3" spans="1:6" x14ac:dyDescent="0.25">
      <c r="A3" t="s">
        <v>891</v>
      </c>
      <c r="B3" t="s">
        <v>892</v>
      </c>
      <c r="C3" t="s">
        <v>893</v>
      </c>
      <c r="D3" t="s">
        <v>91</v>
      </c>
      <c r="E3" t="str">
        <f t="shared" ref="E3:E7" si="0">RIGHT(B3,LEN(B3)-FIND("@",B3))</f>
        <v>OUTLOOK.com</v>
      </c>
      <c r="F3" t="s">
        <v>919</v>
      </c>
    </row>
    <row r="4" spans="1:6" x14ac:dyDescent="0.25">
      <c r="A4" t="s">
        <v>72</v>
      </c>
      <c r="B4" t="s">
        <v>894</v>
      </c>
      <c r="C4" t="s">
        <v>895</v>
      </c>
      <c r="D4" t="s">
        <v>910</v>
      </c>
      <c r="E4" t="str">
        <f t="shared" si="0"/>
        <v>yahoo.co.in</v>
      </c>
      <c r="F4" t="s">
        <v>915</v>
      </c>
    </row>
    <row r="5" spans="1:6" x14ac:dyDescent="0.25">
      <c r="A5" t="s">
        <v>13</v>
      </c>
      <c r="B5" t="s">
        <v>896</v>
      </c>
      <c r="C5" t="s">
        <v>897</v>
      </c>
      <c r="D5" t="s">
        <v>911</v>
      </c>
      <c r="E5" t="str">
        <f t="shared" si="0"/>
        <v>gmail.com</v>
      </c>
      <c r="F5" t="s">
        <v>916</v>
      </c>
    </row>
    <row r="6" spans="1:6" x14ac:dyDescent="0.25">
      <c r="A6" t="s">
        <v>77</v>
      </c>
      <c r="B6" t="s">
        <v>898</v>
      </c>
      <c r="C6" t="s">
        <v>899</v>
      </c>
      <c r="D6" t="s">
        <v>94</v>
      </c>
      <c r="E6" t="str">
        <f t="shared" si="0"/>
        <v>COMPANYMAIL.com</v>
      </c>
      <c r="F6" t="s">
        <v>917</v>
      </c>
    </row>
    <row r="7" spans="1:6" x14ac:dyDescent="0.25">
      <c r="A7" t="s">
        <v>900</v>
      </c>
      <c r="B7" t="s">
        <v>901</v>
      </c>
      <c r="C7" t="s">
        <v>902</v>
      </c>
      <c r="D7" t="s">
        <v>912</v>
      </c>
      <c r="E7" t="str">
        <f t="shared" si="0"/>
        <v>gmail.com</v>
      </c>
      <c r="F7" t="s">
        <v>918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EF358E-A80C-4D5B-BBD4-8F9F73C0EB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Sheet1</vt:lpstr>
      <vt:lpstr>Sheet2</vt:lpstr>
      <vt:lpstr>Sheet3</vt:lpstr>
      <vt:lpstr>Sheet4</vt:lpstr>
      <vt:lpstr>Sheet5</vt:lpstr>
      <vt:lpstr>Sheet6</vt:lpstr>
      <vt:lpstr>Sheet7</vt:lpstr>
      <vt:lpstr>IS functions</vt:lpstr>
      <vt:lpstr>Mathematical</vt:lpstr>
      <vt:lpstr>FIND&amp; SEARCH</vt:lpstr>
      <vt:lpstr>Date &amp; time</vt:lpstr>
      <vt:lpstr>REFERENCE</vt:lpstr>
      <vt:lpstr>LOGICAL</vt:lpstr>
      <vt:lpstr>MISC.</vt:lpstr>
      <vt:lpstr>RANK</vt:lpstr>
      <vt:lpstr>CONDITIONAL</vt:lpstr>
      <vt:lpstr>LOOKUP</vt:lpstr>
      <vt:lpstr>IF QS</vt:lpstr>
      <vt:lpstr>MATHS</vt:lpstr>
      <vt:lpstr>LOGICAL QS</vt:lpstr>
      <vt:lpstr>FIND AND SEARCH QS</vt:lpstr>
      <vt:lpstr>DATE&amp;TIME</vt:lpstr>
      <vt:lpstr>REF..</vt:lpstr>
      <vt:lpstr>LOOKUP QS</vt:lpstr>
      <vt:lpstr>RANK QS</vt:lpstr>
      <vt:lpstr>misc.qs</vt:lpstr>
      <vt:lpstr>Scenario Summary</vt:lpstr>
      <vt:lpstr>what if qs</vt:lpstr>
      <vt:lpstr>data validation qs</vt:lpstr>
      <vt:lpstr>conditional qs</vt:lpstr>
      <vt:lpstr>Sheet10</vt:lpstr>
      <vt:lpstr>Sheet8</vt:lpstr>
      <vt:lpstr>Sheet9</vt:lpstr>
      <vt:lpstr>Sheet11</vt:lpstr>
      <vt:lpstr>DASHBOARD</vt:lpstr>
      <vt:lpstr>Sheet16</vt:lpstr>
      <vt:lpstr>Sheet15</vt:lpstr>
      <vt:lpstr>Sheet12</vt:lpstr>
      <vt:lpstr>Sheet14</vt:lpstr>
      <vt:lpstr>Sheet18</vt:lpstr>
      <vt:lpstr>project</vt:lpstr>
      <vt:lpstr> 45</vt:lpstr>
      <vt:lpstr>macro</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Shibil Kv</dc:creator>
  <cp:lastModifiedBy>c5292</cp:lastModifiedBy>
  <dcterms:created xsi:type="dcterms:W3CDTF">2026-09-10T05:48:05Z</dcterms:created>
  <dcterms:modified xsi:type="dcterms:W3CDTF">2026-10-17T05:14:19Z</dcterms:modified>
</cp:coreProperties>
</file>